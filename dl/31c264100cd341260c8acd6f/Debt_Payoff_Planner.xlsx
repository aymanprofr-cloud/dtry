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My Debts" sheetId="2" state="visible" r:id="rId4"/>
    <sheet name="Dashboard" sheetId="3" state="visible" r:id="rId5"/>
    <sheet name="Sorted" sheetId="4" state="hidden" r:id="rId6"/>
    <sheet name="Schedule" sheetId="5" state="visible" r:id="rId7"/>
    <sheet name="MinOnl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<sst xmlns="http://schemas.openxmlformats.org/spreadsheetml/2006/main" count="157" uniqueCount="69">
  <si>
    <t xml:space="preserve">Debt Payoff Planner</t>
  </si>
  <si>
    <t xml:space="preserve">Snowball &amp; Avalanche calculator  ·  Tidy Money Sheets</t>
  </si>
  <si>
    <t xml:space="preserve">How to use it</t>
  </si>
  <si>
    <t xml:space="preserve">1</t>
  </si>
  <si>
    <t xml:space="preserve">Open the  My Debts  tab. Replace the 4 example debts with yours (name, balance, APR, minimum payment). Up to 10 debts.</t>
  </si>
  <si>
    <t xml:space="preserve">2</t>
  </si>
  <si>
    <t xml:space="preserve">Pick your method: Snowball (smallest balance first, quick wins) or Avalanche (highest interest first, saves the most money).</t>
  </si>
  <si>
    <t xml:space="preserve">3</t>
  </si>
  <si>
    <t xml:space="preserve">Enter how much EXTRA you can pay each month on top of your minimums, and the month you start.</t>
  </si>
  <si>
    <t xml:space="preserve">4</t>
  </si>
  <si>
    <t xml:space="preserve">Open the  Dashboard: your debt-free date, total interest, money saved vs. paying minimums only, and the exact payoff order.</t>
  </si>
  <si>
    <t xml:space="preserve">5</t>
  </si>
  <si>
    <t xml:space="preserve">The  Schedule  tab shows every payment, month by month, for every debt. Follow it and watch the balance chart fall.</t>
  </si>
  <si>
    <t xml:space="preserve">Legend</t>
  </si>
  <si>
    <t xml:space="preserve">Yellow cells = your inputs. Everything else calculates automatically, so don't type over it.</t>
  </si>
  <si>
    <t xml:space="preserve">Snowball vs. Avalanche</t>
  </si>
  <si>
    <t xml:space="preserve">•  Snowball: pay off the smallest balance first. You clear whole debts sooner, which keeps you motivated.</t>
  </si>
  <si>
    <t xml:space="preserve">•  Avalanche: pay off the highest APR first. Mathematically, it costs you the least interest.</t>
  </si>
  <si>
    <t xml:space="preserve">•  Not sure? Switch the method on the My Debts tab and compare the 'Total interest' on the Dashboard. It updates instantly.</t>
  </si>
  <si>
    <t xml:space="preserve">Google Sheets: File → Make a copy. Excel / Numbers: open the file directly.</t>
  </si>
  <si>
    <t xml:space="preserve">This planner is an educational tool, not financial advice. Real lender interest may be calculated slightly differently.</t>
  </si>
  <si>
    <t xml:space="preserve">My Debts</t>
  </si>
  <si>
    <t xml:space="preserve">Fill in the yellow cells. The rest updates by itself.</t>
  </si>
  <si>
    <t xml:space="preserve">Payoff method</t>
  </si>
  <si>
    <t xml:space="preserve">Snowball</t>
  </si>
  <si>
    <t xml:space="preserve">Total monthly payment</t>
  </si>
  <si>
    <t xml:space="preserve">Extra payment per month</t>
  </si>
  <si>
    <t xml:space="preserve">First payment month</t>
  </si>
  <si>
    <t xml:space="preserve">(all minimums + extra)</t>
  </si>
  <si>
    <t xml:space="preserve">Debt name</t>
  </si>
  <si>
    <t xml:space="preserve">Balance</t>
  </si>
  <si>
    <t xml:space="preserve">APR</t>
  </si>
  <si>
    <t xml:space="preserve">Minimum payment</t>
  </si>
  <si>
    <t xml:space="preserve">Priority</t>
  </si>
  <si>
    <t xml:space="preserve">Paid off</t>
  </si>
  <si>
    <t xml:space="preserve">Visa credit card</t>
  </si>
  <si>
    <t xml:space="preserve">Car loan</t>
  </si>
  <si>
    <t xml:space="preserve">Store card</t>
  </si>
  <si>
    <t xml:space="preserve">Personal loan</t>
  </si>
  <si>
    <t xml:space="preserve">Tip: enter APR as a percentage (e.g. 22.99%). Leave unused rows empty.</t>
  </si>
  <si>
    <t xml:space="preserve">Your Debt-Free Dashboard</t>
  </si>
  <si>
    <t xml:space="preserve">Total debt today</t>
  </si>
  <si>
    <t xml:space="preserve">Debt-free date</t>
  </si>
  <si>
    <t xml:space="preserve">Interest saved</t>
  </si>
  <si>
    <t xml:space="preserve">Your plan</t>
  </si>
  <si>
    <t xml:space="preserve">Minimums only</t>
  </si>
  <si>
    <t xml:space="preserve">Months to debt-free</t>
  </si>
  <si>
    <t xml:space="preserve">Total interest paid</t>
  </si>
  <si>
    <t xml:space="preserve">Total you'll pay</t>
  </si>
  <si>
    <t xml:space="preserve">You save</t>
  </si>
  <si>
    <t xml:space="preserve">Payoff order</t>
  </si>
  <si>
    <t xml:space="preserve">#</t>
  </si>
  <si>
    <t xml:space="preserve">Debt</t>
  </si>
  <si>
    <t xml:space="preserve">Months</t>
  </si>
  <si>
    <t xml:space="preserve">Sort key (input row order)</t>
  </si>
  <si>
    <t xml:space="preserve">Sorted key</t>
  </si>
  <si>
    <t xml:space="preserve">Input row #</t>
  </si>
  <si>
    <t xml:space="preserve">Min payment</t>
  </si>
  <si>
    <t xml:space="preserve">Monthly rate</t>
  </si>
  <si>
    <t xml:space="preserve">Payment schedule: your plan</t>
  </si>
  <si>
    <t xml:space="preserve">Month</t>
  </si>
  <si>
    <t xml:space="preserve">Date</t>
  </si>
  <si>
    <t xml:space="preserve">Extra to allocate</t>
  </si>
  <si>
    <t xml:space="preserve">Total paid</t>
  </si>
  <si>
    <t xml:space="preserve">Total balance</t>
  </si>
  <si>
    <t xml:space="preserve">After interest</t>
  </si>
  <si>
    <t xml:space="preserve">Minimum</t>
  </si>
  <si>
    <t xml:space="preserve">Extra</t>
  </si>
  <si>
    <t xml:space="preserve">Minimum payments only (for comparison)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</si>
</sst>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;&quot;-$&quot;#,##0.00;\-"/>
    <numFmt numFmtId="166" formatCode="mmm\ yyyy"/>
    <numFmt numFmtId="167" formatCode="0.00%"/>
    <numFmt numFmtId="168" formatCode="General"/>
    <numFmt numFmtId="169" formatCode="\$#,##0;&quot;-$&quot;#,##0;\-"/>
    <numFmt numFmtId="170" formatCode="\$#,##0&quot; less interest&quot;"/>
    <numFmt numFmtId="171" formatCode="\$#,##0"/>
    <numFmt numFmtId="172" formatCode="0.0000%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0F766E"/>
      <name val="Arial"/>
      <family val="0"/>
      <charset val="1"/>
    </font>
    <font>
      <sz val="11"/>
      <color rgb="FF6B7280"/>
      <name val="Arial"/>
      <family val="0"/>
      <charset val="1"/>
    </font>
    <font>
      <b val="true"/>
      <sz val="13"/>
      <color rgb="FF1F2A37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1F2A37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20"/>
      <color rgb="FF0F766E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11"/>
      <color rgb="FF1F2A37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0"/>
      <color rgb="FF6B7280"/>
      <name val="Arial"/>
      <family val="0"/>
      <charset val="1"/>
    </font>
    <font>
      <b val="true"/>
      <sz val="16"/>
      <color rgb="FF0F766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2A37"/>
      <name val="Arial"/>
      <family val="0"/>
      <charset val="1"/>
    </font>
    <font>
      <sz val="10"/>
      <color rgb="FF1F2A37"/>
      <name val="Arial"/>
      <family val="0"/>
      <charset val="1"/>
    </font>
    <font>
      <b val="true"/>
      <sz val="10"/>
      <color rgb="FF0F766E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0F766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F2A37"/>
      <name val="Arial"/>
      <family val="0"/>
      <charset val="1"/>
    </font>
    <font>
      <b val="true"/>
      <sz val="9"/>
      <color rgb="FF1F2A37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F766E"/>
        <bgColor rgb="FF008080"/>
      </patternFill>
    </fill>
    <fill>
      <patternFill patternType="solid">
        <fgColor rgb="FFFFF6D6"/>
        <bgColor rgb="FFFAFBFC"/>
      </patternFill>
    </fill>
    <fill>
      <patternFill patternType="solid">
        <fgColor rgb="FFE6F4F1"/>
        <bgColor rgb="FFFAFBFC"/>
      </patternFill>
    </fill>
    <fill>
      <patternFill patternType="solid">
        <fgColor rgb="FF134E4A"/>
        <bgColor rgb="FF1F2A3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EE5"/>
      </left>
      <right style="thin">
        <color rgb="FFD9DEE5"/>
      </right>
      <top style="thin">
        <color rgb="FFD9DEE5"/>
      </top>
      <bottom style="thin">
        <color rgb="FFD9DE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AFBFC"/>
        </patternFill>
      </fill>
    </dxf>
    <dxf>
      <fill>
        <patternFill>
          <bgColor rgb="FFE6F4F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6CF"/>
      <rgbColor rgb="FF878787"/>
      <rgbColor rgb="FF9999FF"/>
      <rgbColor rgb="FF993366"/>
      <rgbColor rgb="FFFFF6D6"/>
      <rgbColor rgb="FFE6F4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BFC"/>
      <rgbColor rgb="FFD9DE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2B705"/>
      <rgbColor rgb="FFFF9900"/>
      <rgbColor rgb="FFFF6600"/>
      <rgbColor rgb="FF6B7280"/>
      <rgbColor rgb="FF969696"/>
      <rgbColor rgb="FF134E4A"/>
      <rgbColor rgb="FF339966"/>
      <rgbColor rgb="FF003300"/>
      <rgbColor rgb="FF333300"/>
      <rgbColor rgb="FF993300"/>
      <rgbColor rgb="FF993366"/>
      <rgbColor rgb="FF333399"/>
      <rgbColor rgb="FF1F2A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balance: next 10 years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"Your plan"</c:f>
              <c:strCache>
                <c:ptCount val="1"/>
                <c:pt idx="0">
                  <c:v>Your plan</c:v>
                </c:pt>
              </c:strCache>
            </c:strRef>
          </c:tx>
          <c:spPr>
            <a:solidFill>
              <a:srgbClr val="0f766e"/>
            </a:solidFill>
            <a:ln w="28080">
              <a:solidFill>
                <a:srgbClr val="0f766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Schedule!$A$4:$A$123</c:f>
              <c:strCache>
                <c:ptCount val="1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</c:strCache>
            </c:strRef>
          </c:cat>
          <c:val>
            <c:numRef>
              <c:f>Schedule!$E$4:$E$123</c:f>
              <c:numCache>
                <c:formatCode>\$#,##0.00;"-$"#,##0.00;\-</c:formatCode>
                <c:ptCount val="120"/>
                <c:pt idx="0">
                  <c:v>12984.04</c:v>
                </c:pt>
                <c:pt idx="1">
                  <c:v>12463.21</c:v>
                </c:pt>
                <c:pt idx="2">
                  <c:v>11937.45</c:v>
                </c:pt>
                <c:pt idx="3">
                  <c:v>11406.71</c:v>
                </c:pt>
                <c:pt idx="4">
                  <c:v>10869.07</c:v>
                </c:pt>
                <c:pt idx="5">
                  <c:v>10322.26</c:v>
                </c:pt>
                <c:pt idx="6">
                  <c:v>9766.08</c:v>
                </c:pt>
                <c:pt idx="7">
                  <c:v>9200.32</c:v>
                </c:pt>
                <c:pt idx="8">
                  <c:v>8624.77</c:v>
                </c:pt>
                <c:pt idx="9">
                  <c:v>8043.73</c:v>
                </c:pt>
                <c:pt idx="10">
                  <c:v>7458.53</c:v>
                </c:pt>
                <c:pt idx="11">
                  <c:v>6869.14</c:v>
                </c:pt>
                <c:pt idx="12">
                  <c:v>6275.52</c:v>
                </c:pt>
                <c:pt idx="13">
                  <c:v>5676.21</c:v>
                </c:pt>
                <c:pt idx="14">
                  <c:v>5064.42</c:v>
                </c:pt>
                <c:pt idx="15">
                  <c:v>4439.89</c:v>
                </c:pt>
                <c:pt idx="16">
                  <c:v>3802.35</c:v>
                </c:pt>
                <c:pt idx="17">
                  <c:v>3151.53</c:v>
                </c:pt>
                <c:pt idx="18">
                  <c:v>2487.16</c:v>
                </c:pt>
                <c:pt idx="19">
                  <c:v>1808.96</c:v>
                </c:pt>
                <c:pt idx="20">
                  <c:v>1116.63</c:v>
                </c:pt>
                <c:pt idx="21">
                  <c:v>409.88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"Minimums only"</c:f>
              <c:strCache>
                <c:ptCount val="1"/>
                <c:pt idx="0">
                  <c:v>Minimums only</c:v>
                </c:pt>
              </c:strCache>
            </c:strRef>
          </c:tx>
          <c:spPr>
            <a:solidFill>
              <a:srgbClr val="c0c6cf"/>
            </a:solidFill>
            <a:ln w="20160">
              <a:solidFill>
                <a:srgbClr val="c0c6cf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Schedule!$A$4:$A$123</c:f>
              <c:strCache>
                <c:ptCount val="1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</c:strCache>
            </c:strRef>
          </c:cat>
          <c:val>
            <c:numRef>
              <c:f>MinOnly!$E$4:$E$123</c:f>
              <c:numCache>
                <c:formatCode>\$#,##0.00;"-$"#,##0.00;\-</c:formatCode>
                <c:ptCount val="120"/>
                <c:pt idx="0">
                  <c:v>13184.04</c:v>
                </c:pt>
                <c:pt idx="1">
                  <c:v>12865.12</c:v>
                </c:pt>
                <c:pt idx="2">
                  <c:v>12543.22</c:v>
                </c:pt>
                <c:pt idx="3">
                  <c:v>12218.28</c:v>
                </c:pt>
                <c:pt idx="4">
                  <c:v>11890.27</c:v>
                </c:pt>
                <c:pt idx="5">
                  <c:v>11559.15</c:v>
                </c:pt>
                <c:pt idx="6">
                  <c:v>11224.88</c:v>
                </c:pt>
                <c:pt idx="7">
                  <c:v>10887.42</c:v>
                </c:pt>
                <c:pt idx="8">
                  <c:v>10546.71</c:v>
                </c:pt>
                <c:pt idx="9">
                  <c:v>10202.73</c:v>
                </c:pt>
                <c:pt idx="10">
                  <c:v>9855.42</c:v>
                </c:pt>
                <c:pt idx="11">
                  <c:v>9504.74</c:v>
                </c:pt>
                <c:pt idx="12">
                  <c:v>9150.65</c:v>
                </c:pt>
                <c:pt idx="13">
                  <c:v>8793.09</c:v>
                </c:pt>
                <c:pt idx="14">
                  <c:v>8432.03</c:v>
                </c:pt>
                <c:pt idx="15">
                  <c:v>8067.4</c:v>
                </c:pt>
                <c:pt idx="16">
                  <c:v>7742.81</c:v>
                </c:pt>
                <c:pt idx="17">
                  <c:v>7431.34</c:v>
                </c:pt>
                <c:pt idx="18">
                  <c:v>7116.74</c:v>
                </c:pt>
                <c:pt idx="19">
                  <c:v>7028.26</c:v>
                </c:pt>
                <c:pt idx="20">
                  <c:v>6948.67</c:v>
                </c:pt>
                <c:pt idx="21">
                  <c:v>6867.29</c:v>
                </c:pt>
                <c:pt idx="22">
                  <c:v>6784.08</c:v>
                </c:pt>
                <c:pt idx="23">
                  <c:v>6699.01</c:v>
                </c:pt>
                <c:pt idx="24">
                  <c:v>6612.03</c:v>
                </c:pt>
                <c:pt idx="25">
                  <c:v>6523.09</c:v>
                </c:pt>
                <c:pt idx="26">
                  <c:v>6432.16</c:v>
                </c:pt>
                <c:pt idx="27">
                  <c:v>6339.19</c:v>
                </c:pt>
                <c:pt idx="28">
                  <c:v>6244.13</c:v>
                </c:pt>
                <c:pt idx="29">
                  <c:v>6146.93</c:v>
                </c:pt>
                <c:pt idx="30">
                  <c:v>6047.55</c:v>
                </c:pt>
                <c:pt idx="31">
                  <c:v>5945.94</c:v>
                </c:pt>
                <c:pt idx="32">
                  <c:v>5842.04</c:v>
                </c:pt>
                <c:pt idx="33">
                  <c:v>5735.81</c:v>
                </c:pt>
                <c:pt idx="34">
                  <c:v>5627.19</c:v>
                </c:pt>
                <c:pt idx="35">
                  <c:v>5516.13</c:v>
                </c:pt>
                <c:pt idx="36">
                  <c:v>5402.56</c:v>
                </c:pt>
                <c:pt idx="37">
                  <c:v>5286.44</c:v>
                </c:pt>
                <c:pt idx="38">
                  <c:v>5167.7</c:v>
                </c:pt>
                <c:pt idx="39">
                  <c:v>5046.3</c:v>
                </c:pt>
                <c:pt idx="40">
                  <c:v>4922.16</c:v>
                </c:pt>
                <c:pt idx="41">
                  <c:v>4795.23</c:v>
                </c:pt>
                <c:pt idx="42">
                  <c:v>4665.44</c:v>
                </c:pt>
                <c:pt idx="43">
                  <c:v>4556.29</c:v>
                </c:pt>
                <c:pt idx="44">
                  <c:v>4476.17</c:v>
                </c:pt>
                <c:pt idx="45">
                  <c:v>4394.39</c:v>
                </c:pt>
                <c:pt idx="46">
                  <c:v>4310.9</c:v>
                </c:pt>
                <c:pt idx="47">
                  <c:v>4225.67</c:v>
                </c:pt>
                <c:pt idx="48">
                  <c:v>4138.67</c:v>
                </c:pt>
                <c:pt idx="49">
                  <c:v>4049.86</c:v>
                </c:pt>
                <c:pt idx="50">
                  <c:v>3959.2</c:v>
                </c:pt>
                <c:pt idx="51">
                  <c:v>3866.65</c:v>
                </c:pt>
                <c:pt idx="52">
                  <c:v>3772.17</c:v>
                </c:pt>
                <c:pt idx="53">
                  <c:v>3675.73</c:v>
                </c:pt>
                <c:pt idx="54">
                  <c:v>3577.28</c:v>
                </c:pt>
                <c:pt idx="55">
                  <c:v>3476.78</c:v>
                </c:pt>
                <c:pt idx="56">
                  <c:v>3374.18</c:v>
                </c:pt>
                <c:pt idx="57">
                  <c:v>3269.45</c:v>
                </c:pt>
                <c:pt idx="58">
                  <c:v>3162.54</c:v>
                </c:pt>
                <c:pt idx="59">
                  <c:v>3053.4</c:v>
                </c:pt>
                <c:pt idx="60">
                  <c:v>2941.99</c:v>
                </c:pt>
                <c:pt idx="61">
                  <c:v>2828.26</c:v>
                </c:pt>
                <c:pt idx="62">
                  <c:v>2712.16</c:v>
                </c:pt>
                <c:pt idx="63">
                  <c:v>2593.64</c:v>
                </c:pt>
                <c:pt idx="64">
                  <c:v>2472.65</c:v>
                </c:pt>
                <c:pt idx="65">
                  <c:v>2349.14</c:v>
                </c:pt>
                <c:pt idx="66">
                  <c:v>2223.06</c:v>
                </c:pt>
                <c:pt idx="67">
                  <c:v>2094.36</c:v>
                </c:pt>
                <c:pt idx="68">
                  <c:v>1962.98</c:v>
                </c:pt>
                <c:pt idx="69">
                  <c:v>1828.86</c:v>
                </c:pt>
                <c:pt idx="70">
                  <c:v>1691.95</c:v>
                </c:pt>
                <c:pt idx="71">
                  <c:v>1552.18</c:v>
                </c:pt>
                <c:pt idx="72">
                  <c:v>1409.5</c:v>
                </c:pt>
                <c:pt idx="73">
                  <c:v>1263.85</c:v>
                </c:pt>
                <c:pt idx="74">
                  <c:v>1115.17</c:v>
                </c:pt>
                <c:pt idx="75">
                  <c:v>963.39</c:v>
                </c:pt>
                <c:pt idx="76">
                  <c:v>808.45</c:v>
                </c:pt>
                <c:pt idx="77">
                  <c:v>650.29</c:v>
                </c:pt>
                <c:pt idx="78">
                  <c:v>488.83</c:v>
                </c:pt>
                <c:pt idx="79">
                  <c:v>324.01</c:v>
                </c:pt>
                <c:pt idx="80">
                  <c:v>155.76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5327111"/>
        <c:axId val="29974111"/>
      </c:lineChart>
      <c:catAx>
        <c:axId val="353271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974111"/>
        <c:crosses val="autoZero"/>
        <c:auto val="1"/>
        <c:lblAlgn val="ctr"/>
        <c:lblOffset val="100"/>
        <c:noMultiLvlLbl val="0"/>
      </c:catAx>
      <c:valAx>
        <c:axId val="2997411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Balance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32711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27</xdr:row>
      <xdr:rowOff>56160</xdr:rowOff>
    </xdr:from>
    <xdr:to>
      <xdr:col>6</xdr:col>
      <xdr:colOff>417960</xdr:colOff>
      <xdr:row>43</xdr:row>
      <xdr:rowOff>67680</xdr:rowOff>
    </xdr:to>
    <xdr:graphicFrame>
      <xdr:nvGraphicFramePr>
        <xdr:cNvPr id="0" name="Chart 1"/>
        <xdr:cNvGraphicFramePr/>
      </xdr:nvGraphicFramePr>
      <xdr:xfrm>
        <a:off x="211320" y="5334120"/>
        <a:ext cx="64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766E"/>
    <pageSetUpPr fitToPage="true"/>
  </sheetPr>
  <dimension ref="B2:C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95"/>
  </cols>
  <sheetData>
    <row r="2" customFormat="false" ht="26.8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6.15" hidden="false" customHeight="false" outlineLevel="0" collapsed="false">
      <c r="B5" s="3" t="s">
        <v>2</v>
      </c>
    </row>
    <row r="6" customFormat="false" ht="33.75" hidden="false" customHeight="true" outlineLevel="0" collapsed="false">
      <c r="B6" s="4" t="s">
        <v>3</v>
      </c>
      <c r="C6" s="5" t="s">
        <v>4</v>
      </c>
    </row>
    <row r="7" customFormat="false" ht="33.75" hidden="false" customHeight="true" outlineLevel="0" collapsed="false">
      <c r="B7" s="4" t="s">
        <v>5</v>
      </c>
      <c r="C7" s="5" t="s">
        <v>6</v>
      </c>
    </row>
    <row r="8" customFormat="false" ht="33.75" hidden="false" customHeight="true" outlineLevel="0" collapsed="false">
      <c r="B8" s="4" t="s">
        <v>7</v>
      </c>
      <c r="C8" s="5" t="s">
        <v>8</v>
      </c>
    </row>
    <row r="9" customFormat="false" ht="33.75" hidden="false" customHeight="true" outlineLevel="0" collapsed="false">
      <c r="B9" s="4" t="s">
        <v>9</v>
      </c>
      <c r="C9" s="5" t="s">
        <v>10</v>
      </c>
    </row>
    <row r="10" customFormat="false" ht="33.75" hidden="false" customHeight="true" outlineLevel="0" collapsed="false">
      <c r="B10" s="4" t="s">
        <v>11</v>
      </c>
      <c r="C10" s="5" t="s">
        <v>12</v>
      </c>
    </row>
    <row r="12" customFormat="false" ht="16.15" hidden="false" customHeight="false" outlineLevel="0" collapsed="false">
      <c r="B12" s="3" t="s">
        <v>13</v>
      </c>
    </row>
    <row r="13" customFormat="false" ht="15" hidden="false" customHeight="false" outlineLevel="0" collapsed="false">
      <c r="B13" s="6"/>
      <c r="C13" s="7" t="s">
        <v>14</v>
      </c>
    </row>
    <row r="15" customFormat="false" ht="16.15" hidden="false" customHeight="false" outlineLevel="0" collapsed="false">
      <c r="B15" s="3" t="s">
        <v>15</v>
      </c>
    </row>
    <row r="16" customFormat="false" ht="30" hidden="false" customHeight="true" outlineLevel="0" collapsed="false">
      <c r="C16" s="5" t="s">
        <v>16</v>
      </c>
    </row>
    <row r="17" customFormat="false" ht="30" hidden="false" customHeight="true" outlineLevel="0" collapsed="false">
      <c r="C17" s="5" t="s">
        <v>17</v>
      </c>
    </row>
    <row r="18" customFormat="false" ht="30" hidden="false" customHeight="true" outlineLevel="0" collapsed="false">
      <c r="C18" s="5" t="s">
        <v>18</v>
      </c>
    </row>
    <row r="20" customFormat="false" ht="15" hidden="false" customHeight="false" outlineLevel="0" collapsed="false">
      <c r="B20" s="8" t="s">
        <v>19</v>
      </c>
    </row>
    <row r="21" customFormat="false" ht="15" hidden="false" customHeight="false" outlineLevel="0" collapsed="false">
      <c r="B21" s="9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B705"/>
    <pageSetUpPr fitToPage="true"/>
  </sheetPr>
  <dimension ref="B2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8" min="8" style="0" width="3"/>
  </cols>
  <sheetData>
    <row r="2" customFormat="false" ht="24.45" hidden="false" customHeight="false" outlineLevel="0" collapsed="false">
      <c r="B2" s="10" t="s">
        <v>21</v>
      </c>
    </row>
    <row r="3" customFormat="false" ht="15" hidden="false" customHeight="false" outlineLevel="0" collapsed="false">
      <c r="B3" s="11" t="s">
        <v>22</v>
      </c>
    </row>
    <row r="5" customFormat="false" ht="15" hidden="false" customHeight="false" outlineLevel="0" collapsed="false">
      <c r="B5" s="12" t="s">
        <v>23</v>
      </c>
      <c r="C5" s="13" t="s">
        <v>24</v>
      </c>
      <c r="E5" s="14" t="s">
        <v>25</v>
      </c>
    </row>
    <row r="6" customFormat="false" ht="19.7" hidden="false" customHeight="false" outlineLevel="0" collapsed="false">
      <c r="B6" s="12" t="s">
        <v>26</v>
      </c>
      <c r="C6" s="15" t="n">
        <v>200</v>
      </c>
      <c r="E6" s="16" t="n">
        <f aca="false">SUM(E10:E19)+C6</f>
        <v>730</v>
      </c>
    </row>
    <row r="7" customFormat="false" ht="15" hidden="false" customHeight="false" outlineLevel="0" collapsed="false">
      <c r="B7" s="12" t="s">
        <v>27</v>
      </c>
      <c r="C7" s="17" t="n">
        <v>46327</v>
      </c>
      <c r="E7" s="9" t="s">
        <v>28</v>
      </c>
    </row>
    <row r="9" customFormat="false" ht="21.75" hidden="false" customHeight="true" outlineLevel="0" collapsed="false">
      <c r="B9" s="18" t="s">
        <v>29</v>
      </c>
      <c r="C9" s="18" t="s">
        <v>30</v>
      </c>
      <c r="D9" s="18" t="s">
        <v>31</v>
      </c>
      <c r="E9" s="18" t="s">
        <v>32</v>
      </c>
      <c r="F9" s="18" t="s">
        <v>33</v>
      </c>
      <c r="G9" s="18" t="s">
        <v>34</v>
      </c>
    </row>
    <row r="10" customFormat="false" ht="15" hidden="false" customHeight="false" outlineLevel="0" collapsed="false">
      <c r="B10" s="19" t="s">
        <v>35</v>
      </c>
      <c r="C10" s="20" t="n">
        <v>6850</v>
      </c>
      <c r="D10" s="21" t="n">
        <v>0.2499</v>
      </c>
      <c r="E10" s="20" t="n">
        <v>175</v>
      </c>
      <c r="F10" s="22" t="n">
        <f aca="false">IF(OR(C10="",C10&lt;=0),"",MATCH(1,Sorted!$C$2:$C$11,0))</f>
        <v>4</v>
      </c>
      <c r="G10" s="23" t="n">
        <f aca="false">IF(F10="","",INDEX(Dashboard!$G$17:$G$26,F10))</f>
        <v>46997</v>
      </c>
    </row>
    <row r="11" customFormat="false" ht="15" hidden="false" customHeight="false" outlineLevel="0" collapsed="false">
      <c r="B11" s="19" t="s">
        <v>36</v>
      </c>
      <c r="C11" s="20" t="n">
        <v>4300</v>
      </c>
      <c r="D11" s="21" t="n">
        <v>0.074</v>
      </c>
      <c r="E11" s="20" t="n">
        <v>240</v>
      </c>
      <c r="F11" s="22" t="n">
        <f aca="false">IF(OR(C11="",C11&lt;=0),"",MATCH(2,Sorted!$C$2:$C$11,0))</f>
        <v>3</v>
      </c>
      <c r="G11" s="23" t="n">
        <f aca="false">IF(F11="","",INDEX(Dashboard!$G$17:$G$26,F11))</f>
        <v>46692</v>
      </c>
    </row>
    <row r="12" customFormat="false" ht="15" hidden="false" customHeight="false" outlineLevel="0" collapsed="false">
      <c r="B12" s="19" t="s">
        <v>37</v>
      </c>
      <c r="C12" s="20" t="n">
        <v>1450</v>
      </c>
      <c r="D12" s="21" t="n">
        <v>0.2999</v>
      </c>
      <c r="E12" s="20" t="n">
        <v>55</v>
      </c>
      <c r="F12" s="22" t="n">
        <f aca="false">IF(OR(C12="",C12&lt;=0),"",MATCH(3,Sorted!$C$2:$C$11,0))</f>
        <v>2</v>
      </c>
      <c r="G12" s="23" t="n">
        <f aca="false">IF(F12="","",INDEX(Dashboard!$G$17:$G$26,F12))</f>
        <v>46569</v>
      </c>
    </row>
    <row r="13" customFormat="false" ht="15" hidden="false" customHeight="false" outlineLevel="0" collapsed="false">
      <c r="B13" s="19" t="s">
        <v>38</v>
      </c>
      <c r="C13" s="20" t="n">
        <v>900</v>
      </c>
      <c r="D13" s="21" t="n">
        <v>0.115</v>
      </c>
      <c r="E13" s="20" t="n">
        <v>60</v>
      </c>
      <c r="F13" s="22" t="n">
        <f aca="false">IF(OR(C13="",C13&lt;=0),"",MATCH(4,Sorted!$C$2:$C$11,0))</f>
        <v>1</v>
      </c>
      <c r="G13" s="23" t="n">
        <f aca="false">IF(F13="","",INDEX(Dashboard!$G$17:$G$26,F13))</f>
        <v>46419</v>
      </c>
    </row>
    <row r="14" customFormat="false" ht="15" hidden="false" customHeight="false" outlineLevel="0" collapsed="false">
      <c r="B14" s="19"/>
      <c r="C14" s="20"/>
      <c r="D14" s="21"/>
      <c r="E14" s="20"/>
      <c r="F14" s="22" t="str">
        <f aca="false">IF(OR(C14="",C14&lt;=0),"",MATCH(5,Sorted!$C$2:$C$11,0))</f>
        <v/>
      </c>
      <c r="G14" s="23" t="str">
        <f aca="false">IF(F14="","",INDEX(Dashboard!$G$17:$G$26,F14))</f>
        <v/>
      </c>
    </row>
    <row r="15" customFormat="false" ht="15" hidden="false" customHeight="false" outlineLevel="0" collapsed="false">
      <c r="B15" s="19"/>
      <c r="C15" s="20"/>
      <c r="D15" s="21"/>
      <c r="E15" s="20"/>
      <c r="F15" s="22" t="str">
        <f aca="false">IF(OR(C15="",C15&lt;=0),"",MATCH(6,Sorted!$C$2:$C$11,0))</f>
        <v/>
      </c>
      <c r="G15" s="23" t="str">
        <f aca="false">IF(F15="","",INDEX(Dashboard!$G$17:$G$26,F15))</f>
        <v/>
      </c>
    </row>
    <row r="16" customFormat="false" ht="15" hidden="false" customHeight="false" outlineLevel="0" collapsed="false">
      <c r="B16" s="19"/>
      <c r="C16" s="20"/>
      <c r="D16" s="21"/>
      <c r="E16" s="20"/>
      <c r="F16" s="22" t="str">
        <f aca="false">IF(OR(C16="",C16&lt;=0),"",MATCH(7,Sorted!$C$2:$C$11,0))</f>
        <v/>
      </c>
      <c r="G16" s="23" t="str">
        <f aca="false">IF(F16="","",INDEX(Dashboard!$G$17:$G$26,F16))</f>
        <v/>
      </c>
    </row>
    <row r="17" customFormat="false" ht="15" hidden="false" customHeight="false" outlineLevel="0" collapsed="false">
      <c r="B17" s="19"/>
      <c r="C17" s="20"/>
      <c r="D17" s="21"/>
      <c r="E17" s="20"/>
      <c r="F17" s="22" t="str">
        <f aca="false">IF(OR(C17="",C17&lt;=0),"",MATCH(8,Sorted!$C$2:$C$11,0))</f>
        <v/>
      </c>
      <c r="G17" s="23" t="str">
        <f aca="false">IF(F17="","",INDEX(Dashboard!$G$17:$G$26,F17))</f>
        <v/>
      </c>
    </row>
    <row r="18" customFormat="false" ht="15" hidden="false" customHeight="false" outlineLevel="0" collapsed="false">
      <c r="B18" s="19"/>
      <c r="C18" s="20"/>
      <c r="D18" s="21"/>
      <c r="E18" s="20"/>
      <c r="F18" s="22" t="str">
        <f aca="false">IF(OR(C18="",C18&lt;=0),"",MATCH(9,Sorted!$C$2:$C$11,0))</f>
        <v/>
      </c>
      <c r="G18" s="23" t="str">
        <f aca="false">IF(F18="","",INDEX(Dashboard!$G$17:$G$26,F18))</f>
        <v/>
      </c>
    </row>
    <row r="19" customFormat="false" ht="15" hidden="false" customHeight="false" outlineLevel="0" collapsed="false">
      <c r="B19" s="19"/>
      <c r="C19" s="20"/>
      <c r="D19" s="21"/>
      <c r="E19" s="20"/>
      <c r="F19" s="22" t="str">
        <f aca="false">IF(OR(C19="",C19&lt;=0),"",MATCH(10,Sorted!$C$2:$C$11,0))</f>
        <v/>
      </c>
      <c r="G19" s="23" t="str">
        <f aca="false">IF(F19="","",INDEX(Dashboard!$G$17:$G$26,F19))</f>
        <v/>
      </c>
    </row>
    <row r="21" customFormat="false" ht="15" hidden="false" customHeight="false" outlineLevel="0" collapsed="false">
      <c r="B21" s="9" t="s">
        <v>39</v>
      </c>
    </row>
  </sheetData>
  <dataValidations count="1">
    <dataValidation allowBlank="false" error="Choose Snowball or Avalanche" errorStyle="stop" errorTitle="Payoff method" operator="between" showDropDown="false" showErrorMessage="false" showInputMessage="false" sqref="C5" type="list">
      <formula1>"Snowball,Avalanche"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766E"/>
    <pageSetUpPr fitToPage="true"/>
  </sheetPr>
  <dimension ref="B2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9" min="8" style="0" width="3"/>
  </cols>
  <sheetData>
    <row r="2" customFormat="false" ht="24.45" hidden="false" customHeight="false" outlineLevel="0" collapsed="false">
      <c r="B2" s="10" t="s">
        <v>40</v>
      </c>
    </row>
    <row r="3" customFormat="false" ht="15" hidden="false" customHeight="false" outlineLevel="0" collapsed="false">
      <c r="B3" s="11" t="str">
        <f aca="false">"Method: "&amp;'My Debts'!$C$5&amp;"   ·   Paying "&amp;TEXT('My Debts'!$E$6,"$#,##0")&amp;" per month"</f>
        <v>Method: Snowball   ·   Paying $730 per month</v>
      </c>
    </row>
    <row r="5" customFormat="false" ht="15" hidden="false" customHeight="false" outlineLevel="0" collapsed="false">
      <c r="B5" s="24" t="s">
        <v>41</v>
      </c>
      <c r="C5" s="24"/>
      <c r="D5" s="24" t="s">
        <v>42</v>
      </c>
      <c r="E5" s="24"/>
      <c r="F5" s="24" t="s">
        <v>43</v>
      </c>
      <c r="G5" s="24"/>
    </row>
    <row r="6" customFormat="false" ht="15" hidden="false" customHeight="false" outlineLevel="0" collapsed="false">
      <c r="B6" s="25" t="n">
        <f aca="false">SUM('My Debts'!$C$10:$C$19)</f>
        <v>13500</v>
      </c>
      <c r="C6" s="25"/>
      <c r="D6" s="26" t="n">
        <f aca="false">IF(ISNUMBER(D10),EDATE('My Debts'!$C$7,D10-1),"Not within 20 yrs")</f>
        <v>46997</v>
      </c>
      <c r="E6" s="26"/>
      <c r="F6" s="25" t="n">
        <f aca="false">IF(ISNUMBER(E13),E13,"")</f>
        <v>5799.08</v>
      </c>
      <c r="G6" s="25"/>
    </row>
    <row r="7" customFormat="false" ht="15" hidden="false" customHeight="false" outlineLevel="0" collapsed="false">
      <c r="B7" s="25"/>
      <c r="C7" s="25"/>
      <c r="D7" s="26"/>
      <c r="E7" s="26"/>
      <c r="F7" s="25"/>
      <c r="G7" s="25"/>
    </row>
    <row r="9" customFormat="false" ht="15" hidden="false" customHeight="false" outlineLevel="0" collapsed="false">
      <c r="C9" s="27"/>
      <c r="D9" s="27" t="s">
        <v>44</v>
      </c>
      <c r="E9" s="27" t="s">
        <v>45</v>
      </c>
    </row>
    <row r="10" customFormat="false" ht="15" hidden="false" customHeight="false" outlineLevel="0" collapsed="false">
      <c r="C10" s="28" t="s">
        <v>46</v>
      </c>
      <c r="D10" s="29" t="n">
        <f aca="false">IF(SUM('My Debts'!$C$10:$C$19)&lt;=0,"",IF(COUNTIF(Schedule!$E$4:$E$243,"&gt;0.01")&gt;=240,"20+ yrs",COUNTIF(Schedule!$E$4:$E$243,"&gt;0.01")+1))</f>
        <v>23</v>
      </c>
      <c r="E10" s="29" t="n">
        <f aca="false">IF(SUM('My Debts'!$C$10:$C$19)&lt;=0,"",IF(COUNTIF(MinOnly!$E$4:$E$243,"&gt;0.01")&gt;=240,"20+ yrs",COUNTIF(MinOnly!$E$4:$E$243,"&gt;0.01")+1))</f>
        <v>82</v>
      </c>
    </row>
    <row r="11" customFormat="false" ht="15" hidden="false" customHeight="false" outlineLevel="0" collapsed="false">
      <c r="C11" s="28" t="s">
        <v>47</v>
      </c>
      <c r="D11" s="30" t="n">
        <f aca="false">IF(SUM('My Debts'!$C$10:$C$19)&lt;=0,0,SUM(Schedule!$D$4:$D$243)+Schedule!$E$243-SUM('My Debts'!$C$10:$C$19))</f>
        <v>2978.42</v>
      </c>
      <c r="E11" s="30" t="n">
        <f aca="false">IF(SUM('My Debts'!$C$10:$C$19)&lt;=0,0,SUM(MinOnly!$D$4:$D$243)+MinOnly!$E$243-SUM('My Debts'!$C$10:$C$19))</f>
        <v>8777.5</v>
      </c>
    </row>
    <row r="12" customFormat="false" ht="15" hidden="false" customHeight="false" outlineLevel="0" collapsed="false">
      <c r="C12" s="28" t="s">
        <v>48</v>
      </c>
      <c r="D12" s="30" t="n">
        <f aca="false">SUM('My Debts'!$C$10:$C$19)+D11</f>
        <v>16478.42</v>
      </c>
      <c r="E12" s="30" t="n">
        <f aca="false">SUM('My Debts'!$C$10:$C$19)+E11</f>
        <v>22277.5</v>
      </c>
    </row>
    <row r="13" customFormat="false" ht="15" hidden="false" customHeight="false" outlineLevel="0" collapsed="false">
      <c r="C13" s="28" t="s">
        <v>49</v>
      </c>
      <c r="D13" s="31" t="str">
        <f aca="false">IF(AND(ISNUMBER(D10),ISNUMBER(E10)),(E10-D10)&amp;" months sooner",IF(ISNUMBER(D10),"Free 20+ yrs sooner",""))</f>
        <v>59 months sooner</v>
      </c>
      <c r="E13" s="32" t="n">
        <f aca="false">E11-D11</f>
        <v>5799.08</v>
      </c>
    </row>
    <row r="15" customFormat="false" ht="16.15" hidden="false" customHeight="false" outlineLevel="0" collapsed="false">
      <c r="B15" s="3" t="s">
        <v>50</v>
      </c>
    </row>
    <row r="16" customFormat="false" ht="15" hidden="false" customHeight="false" outlineLevel="0" collapsed="false">
      <c r="B16" s="27" t="s">
        <v>51</v>
      </c>
      <c r="C16" s="27" t="s">
        <v>52</v>
      </c>
      <c r="D16" s="27" t="s">
        <v>30</v>
      </c>
      <c r="E16" s="27" t="s">
        <v>31</v>
      </c>
      <c r="F16" s="27" t="s">
        <v>53</v>
      </c>
      <c r="G16" s="27" t="s">
        <v>34</v>
      </c>
    </row>
    <row r="17" customFormat="false" ht="15" hidden="false" customHeight="false" outlineLevel="0" collapsed="false">
      <c r="B17" s="29" t="n">
        <f aca="false">IF(Sorted!$D$2="","",1)</f>
        <v>1</v>
      </c>
      <c r="C17" s="33" t="str">
        <f aca="false">Sorted!$D$2</f>
        <v>Personal loan</v>
      </c>
      <c r="D17" s="34" t="n">
        <f aca="false">IF(C17="","",Sorted!$E$2)</f>
        <v>900</v>
      </c>
      <c r="E17" s="35" t="n">
        <f aca="false">IF(C17="","",Sorted!$F$2)</f>
        <v>0.115</v>
      </c>
      <c r="F17" s="29" t="n">
        <f aca="false">IF(C17="","",IF(COUNTIF(Schedule!$I$4:$I$243,"&gt;0.01")&gt;=240,"20+ yrs",COUNTIF(Schedule!$I$4:$I$243,"&gt;0.01")+1))</f>
        <v>4</v>
      </c>
      <c r="G17" s="36" t="n">
        <f aca="false">IF(ISNUMBER(F17),EDATE('My Debts'!$C$7,F17-1),IF(C17="","","—"))</f>
        <v>46419</v>
      </c>
    </row>
    <row r="18" customFormat="false" ht="15" hidden="false" customHeight="false" outlineLevel="0" collapsed="false">
      <c r="B18" s="29" t="n">
        <f aca="false">IF(Sorted!$D$3="","",2)</f>
        <v>2</v>
      </c>
      <c r="C18" s="33" t="str">
        <f aca="false">Sorted!$D$3</f>
        <v>Store card</v>
      </c>
      <c r="D18" s="34" t="n">
        <f aca="false">IF(C18="","",Sorted!$E$3)</f>
        <v>1450</v>
      </c>
      <c r="E18" s="35" t="n">
        <f aca="false">IF(C18="","",Sorted!$F$3)</f>
        <v>0.2999</v>
      </c>
      <c r="F18" s="29" t="n">
        <f aca="false">IF(C18="","",IF(COUNTIF(Schedule!$M$4:$M$243,"&gt;0.01")&gt;=240,"20+ yrs",COUNTIF(Schedule!$M$4:$M$243,"&gt;0.01")+1))</f>
        <v>9</v>
      </c>
      <c r="G18" s="36" t="n">
        <f aca="false">IF(ISNUMBER(F18),EDATE('My Debts'!$C$7,F18-1),IF(C18="","","—"))</f>
        <v>46569</v>
      </c>
    </row>
    <row r="19" customFormat="false" ht="15" hidden="false" customHeight="false" outlineLevel="0" collapsed="false">
      <c r="B19" s="29" t="n">
        <f aca="false">IF(Sorted!$D$4="","",3)</f>
        <v>3</v>
      </c>
      <c r="C19" s="33" t="str">
        <f aca="false">Sorted!$D$4</f>
        <v>Car loan</v>
      </c>
      <c r="D19" s="34" t="n">
        <f aca="false">IF(C19="","",Sorted!$E$4)</f>
        <v>4300</v>
      </c>
      <c r="E19" s="35" t="n">
        <f aca="false">IF(C19="","",Sorted!$F$4)</f>
        <v>0.074</v>
      </c>
      <c r="F19" s="29" t="n">
        <f aca="false">IF(C19="","",IF(COUNTIF(Schedule!$Q$4:$Q$243,"&gt;0.01")&gt;=240,"20+ yrs",COUNTIF(Schedule!$Q$4:$Q$243,"&gt;0.01")+1))</f>
        <v>13</v>
      </c>
      <c r="G19" s="36" t="n">
        <f aca="false">IF(ISNUMBER(F19),EDATE('My Debts'!$C$7,F19-1),IF(C19="","","—"))</f>
        <v>46692</v>
      </c>
    </row>
    <row r="20" customFormat="false" ht="15" hidden="false" customHeight="false" outlineLevel="0" collapsed="false">
      <c r="B20" s="29" t="n">
        <f aca="false">IF(Sorted!$D$5="","",4)</f>
        <v>4</v>
      </c>
      <c r="C20" s="33" t="str">
        <f aca="false">Sorted!$D$5</f>
        <v>Visa credit card</v>
      </c>
      <c r="D20" s="34" t="n">
        <f aca="false">IF(C20="","",Sorted!$E$5)</f>
        <v>6850</v>
      </c>
      <c r="E20" s="35" t="n">
        <f aca="false">IF(C20="","",Sorted!$F$5)</f>
        <v>0.2499</v>
      </c>
      <c r="F20" s="29" t="n">
        <f aca="false">IF(C20="","",IF(COUNTIF(Schedule!$U$4:$U$243,"&gt;0.01")&gt;=240,"20+ yrs",COUNTIF(Schedule!$U$4:$U$243,"&gt;0.01")+1))</f>
        <v>23</v>
      </c>
      <c r="G20" s="36" t="n">
        <f aca="false">IF(ISNUMBER(F20),EDATE('My Debts'!$C$7,F20-1),IF(C20="","","—"))</f>
        <v>46997</v>
      </c>
    </row>
    <row r="21" customFormat="false" ht="15" hidden="false" customHeight="false" outlineLevel="0" collapsed="false">
      <c r="B21" s="29" t="str">
        <f aca="false">IF(Sorted!$D$6="","",5)</f>
        <v/>
      </c>
      <c r="C21" s="33" t="str">
        <f aca="false">Sorted!$D$6</f>
        <v/>
      </c>
      <c r="D21" s="34" t="str">
        <f aca="false">IF(C21="","",Sorted!$E$6)</f>
        <v/>
      </c>
      <c r="E21" s="35" t="str">
        <f aca="false">IF(C21="","",Sorted!$F$6)</f>
        <v/>
      </c>
      <c r="F21" s="29" t="str">
        <f aca="false">IF(C21="","",IF(COUNTIF(Schedule!$Y$4:$Y$243,"&gt;0.01")&gt;=240,"20+ yrs",COUNTIF(Schedule!$Y$4:$Y$243,"&gt;0.01")+1))</f>
        <v/>
      </c>
      <c r="G21" s="36" t="str">
        <f aca="false">IF(ISNUMBER(F21),EDATE('My Debts'!$C$7,F21-1),IF(C21="","","—"))</f>
        <v/>
      </c>
    </row>
    <row r="22" customFormat="false" ht="15" hidden="false" customHeight="false" outlineLevel="0" collapsed="false">
      <c r="B22" s="29" t="str">
        <f aca="false">IF(Sorted!$D$7="","",6)</f>
        <v/>
      </c>
      <c r="C22" s="33" t="str">
        <f aca="false">Sorted!$D$7</f>
        <v/>
      </c>
      <c r="D22" s="34" t="str">
        <f aca="false">IF(C22="","",Sorted!$E$7)</f>
        <v/>
      </c>
      <c r="E22" s="35" t="str">
        <f aca="false">IF(C22="","",Sorted!$F$7)</f>
        <v/>
      </c>
      <c r="F22" s="29" t="str">
        <f aca="false">IF(C22="","",IF(COUNTIF(Schedule!$AC$4:$AC$243,"&gt;0.01")&gt;=240,"20+ yrs",COUNTIF(Schedule!$AC$4:$AC$243,"&gt;0.01")+1))</f>
        <v/>
      </c>
      <c r="G22" s="36" t="str">
        <f aca="false">IF(ISNUMBER(F22),EDATE('My Debts'!$C$7,F22-1),IF(C22="","","—"))</f>
        <v/>
      </c>
    </row>
    <row r="23" customFormat="false" ht="15" hidden="false" customHeight="false" outlineLevel="0" collapsed="false">
      <c r="B23" s="29" t="str">
        <f aca="false">IF(Sorted!$D$8="","",7)</f>
        <v/>
      </c>
      <c r="C23" s="33" t="str">
        <f aca="false">Sorted!$D$8</f>
        <v/>
      </c>
      <c r="D23" s="34" t="str">
        <f aca="false">IF(C23="","",Sorted!$E$8)</f>
        <v/>
      </c>
      <c r="E23" s="35" t="str">
        <f aca="false">IF(C23="","",Sorted!$F$8)</f>
        <v/>
      </c>
      <c r="F23" s="29" t="str">
        <f aca="false">IF(C23="","",IF(COUNTIF(Schedule!$AG$4:$AG$243,"&gt;0.01")&gt;=240,"20+ yrs",COUNTIF(Schedule!$AG$4:$AG$243,"&gt;0.01")+1))</f>
        <v/>
      </c>
      <c r="G23" s="36" t="str">
        <f aca="false">IF(ISNUMBER(F23),EDATE('My Debts'!$C$7,F23-1),IF(C23="","","—"))</f>
        <v/>
      </c>
    </row>
    <row r="24" customFormat="false" ht="15" hidden="false" customHeight="false" outlineLevel="0" collapsed="false">
      <c r="B24" s="29" t="str">
        <f aca="false">IF(Sorted!$D$9="","",8)</f>
        <v/>
      </c>
      <c r="C24" s="33" t="str">
        <f aca="false">Sorted!$D$9</f>
        <v/>
      </c>
      <c r="D24" s="34" t="str">
        <f aca="false">IF(C24="","",Sorted!$E$9)</f>
        <v/>
      </c>
      <c r="E24" s="35" t="str">
        <f aca="false">IF(C24="","",Sorted!$F$9)</f>
        <v/>
      </c>
      <c r="F24" s="29" t="str">
        <f aca="false">IF(C24="","",IF(COUNTIF(Schedule!$AK$4:$AK$243,"&gt;0.01")&gt;=240,"20+ yrs",COUNTIF(Schedule!$AK$4:$AK$243,"&gt;0.01")+1))</f>
        <v/>
      </c>
      <c r="G24" s="36" t="str">
        <f aca="false">IF(ISNUMBER(F24),EDATE('My Debts'!$C$7,F24-1),IF(C24="","","—"))</f>
        <v/>
      </c>
    </row>
    <row r="25" customFormat="false" ht="15" hidden="false" customHeight="false" outlineLevel="0" collapsed="false">
      <c r="B25" s="29" t="str">
        <f aca="false">IF(Sorted!$D$10="","",9)</f>
        <v/>
      </c>
      <c r="C25" s="33" t="str">
        <f aca="false">Sorted!$D$10</f>
        <v/>
      </c>
      <c r="D25" s="34" t="str">
        <f aca="false">IF(C25="","",Sorted!$E$10)</f>
        <v/>
      </c>
      <c r="E25" s="35" t="str">
        <f aca="false">IF(C25="","",Sorted!$F$10)</f>
        <v/>
      </c>
      <c r="F25" s="29" t="str">
        <f aca="false">IF(C25="","",IF(COUNTIF(Schedule!$AO$4:$AO$243,"&gt;0.01")&gt;=240,"20+ yrs",COUNTIF(Schedule!$AO$4:$AO$243,"&gt;0.01")+1))</f>
        <v/>
      </c>
      <c r="G25" s="36" t="str">
        <f aca="false">IF(ISNUMBER(F25),EDATE('My Debts'!$C$7,F25-1),IF(C25="","","—"))</f>
        <v/>
      </c>
    </row>
    <row r="26" customFormat="false" ht="15" hidden="false" customHeight="false" outlineLevel="0" collapsed="false">
      <c r="B26" s="29" t="str">
        <f aca="false">IF(Sorted!$D$11="","",10)</f>
        <v/>
      </c>
      <c r="C26" s="33" t="str">
        <f aca="false">Sorted!$D$11</f>
        <v/>
      </c>
      <c r="D26" s="34" t="str">
        <f aca="false">IF(C26="","",Sorted!$E$11)</f>
        <v/>
      </c>
      <c r="E26" s="35" t="str">
        <f aca="false">IF(C26="","",Sorted!$F$11)</f>
        <v/>
      </c>
      <c r="F26" s="29" t="str">
        <f aca="false">IF(C26="","",IF(COUNTIF(Schedule!$AS$4:$AS$243,"&gt;0.01")&gt;=240,"20+ yrs",COUNTIF(Schedule!$AS$4:$AS$243,"&gt;0.01")+1))</f>
        <v/>
      </c>
      <c r="G26" s="36" t="str">
        <f aca="false">IF(ISNUMBER(F26),EDATE('My Debts'!$C$7,F26-1),IF(C26="","","—"))</f>
        <v/>
      </c>
    </row>
  </sheetData>
  <mergeCells count="6">
    <mergeCell ref="B5:C5"/>
    <mergeCell ref="D5:E5"/>
    <mergeCell ref="F5:G5"/>
    <mergeCell ref="B6:C7"/>
    <mergeCell ref="D6:E7"/>
    <mergeCell ref="F6:G7"/>
  </mergeCells>
  <conditionalFormatting sqref="B17:G26">
    <cfRule type="expression" priority="2" aboveAverage="0" equalAverage="0" bottom="0" percent="0" rank="0" text="" dxfId="0">
      <formula>$C17&lt;&gt;""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8"/>
  </cols>
  <sheetData>
    <row r="1" customFormat="false" ht="15" hidden="false" customHeight="false" outlineLevel="0" collapsed="false">
      <c r="A1" s="37" t="s">
        <v>54</v>
      </c>
      <c r="B1" s="37" t="s">
        <v>55</v>
      </c>
      <c r="C1" s="37" t="s">
        <v>56</v>
      </c>
      <c r="D1" s="37" t="s">
        <v>52</v>
      </c>
      <c r="E1" s="37" t="s">
        <v>30</v>
      </c>
      <c r="F1" s="37" t="s">
        <v>31</v>
      </c>
      <c r="G1" s="37" t="s">
        <v>57</v>
      </c>
      <c r="H1" s="37" t="s">
        <v>58</v>
      </c>
    </row>
    <row r="2" customFormat="false" ht="15" hidden="false" customHeight="false" outlineLevel="0" collapsed="false">
      <c r="A2" s="0" t="n">
        <f aca="false">IF(OR('My Debts'!C10="",'My Debts'!C10&lt;=0),1000000000000+1,IF('My Debts'!$C$5="Avalanche",-N('My Debts'!D10)*1000+1/1000,'My Debts'!C10+1/1000000))</f>
        <v>6850.000001</v>
      </c>
      <c r="B2" s="0" t="n">
        <f aca="false">SMALL($A$2:$A$11,1)</f>
        <v>900.000004</v>
      </c>
      <c r="C2" s="0" t="n">
        <f aca="false">MATCH(B2,$A$2:$A$11,0)</f>
        <v>4</v>
      </c>
      <c r="D2" s="0" t="str">
        <f aca="false">IF(B2&lt;1000000000000,INDEX('My Debts'!$B$10:$B$19,C2),"")</f>
        <v>Personal loan</v>
      </c>
      <c r="E2" s="38" t="n">
        <f aca="false">IF(B2&lt;1000000000000,INDEX('My Debts'!$C$10:$C$19,C2),0)</f>
        <v>900</v>
      </c>
      <c r="F2" s="39" t="n">
        <f aca="false">IF(B2&lt;1000000000000,N(INDEX('My Debts'!$D$10:$D$19,C2)),0)</f>
        <v>0.115</v>
      </c>
      <c r="G2" s="38" t="n">
        <f aca="false">IF(B2&lt;1000000000000,N(INDEX('My Debts'!$E$10:$E$19,C2)),0)</f>
        <v>60</v>
      </c>
      <c r="H2" s="40" t="n">
        <f aca="false">F2/12</f>
        <v>0.00958333333333333</v>
      </c>
    </row>
    <row r="3" customFormat="false" ht="15" hidden="false" customHeight="false" outlineLevel="0" collapsed="false">
      <c r="A3" s="0" t="n">
        <f aca="false">IF(OR('My Debts'!C11="",'My Debts'!C11&lt;=0),1000000000000+2,IF('My Debts'!$C$5="Avalanche",-N('My Debts'!D11)*1000+2/1000,'My Debts'!C11+2/1000000))</f>
        <v>4300.000002</v>
      </c>
      <c r="B3" s="0" t="n">
        <f aca="false">SMALL($A$2:$A$11,2)</f>
        <v>1450.000003</v>
      </c>
      <c r="C3" s="0" t="n">
        <f aca="false">MATCH(B3,$A$2:$A$11,0)</f>
        <v>3</v>
      </c>
      <c r="D3" s="0" t="str">
        <f aca="false">IF(B3&lt;1000000000000,INDEX('My Debts'!$B$10:$B$19,C3),"")</f>
        <v>Store card</v>
      </c>
      <c r="E3" s="38" t="n">
        <f aca="false">IF(B3&lt;1000000000000,INDEX('My Debts'!$C$10:$C$19,C3),0)</f>
        <v>1450</v>
      </c>
      <c r="F3" s="39" t="n">
        <f aca="false">IF(B3&lt;1000000000000,N(INDEX('My Debts'!$D$10:$D$19,C3)),0)</f>
        <v>0.2999</v>
      </c>
      <c r="G3" s="38" t="n">
        <f aca="false">IF(B3&lt;1000000000000,N(INDEX('My Debts'!$E$10:$E$19,C3)),0)</f>
        <v>55</v>
      </c>
      <c r="H3" s="40" t="n">
        <f aca="false">F3/12</f>
        <v>0.0249916666666667</v>
      </c>
    </row>
    <row r="4" customFormat="false" ht="15" hidden="false" customHeight="false" outlineLevel="0" collapsed="false">
      <c r="A4" s="0" t="n">
        <f aca="false">IF(OR('My Debts'!C12="",'My Debts'!C12&lt;=0),1000000000000+3,IF('My Debts'!$C$5="Avalanche",-N('My Debts'!D12)*1000+3/1000,'My Debts'!C12+3/1000000))</f>
        <v>1450.000003</v>
      </c>
      <c r="B4" s="0" t="n">
        <f aca="false">SMALL($A$2:$A$11,3)</f>
        <v>4300.000002</v>
      </c>
      <c r="C4" s="0" t="n">
        <f aca="false">MATCH(B4,$A$2:$A$11,0)</f>
        <v>2</v>
      </c>
      <c r="D4" s="0" t="str">
        <f aca="false">IF(B4&lt;1000000000000,INDEX('My Debts'!$B$10:$B$19,C4),"")</f>
        <v>Car loan</v>
      </c>
      <c r="E4" s="38" t="n">
        <f aca="false">IF(B4&lt;1000000000000,INDEX('My Debts'!$C$10:$C$19,C4),0)</f>
        <v>4300</v>
      </c>
      <c r="F4" s="39" t="n">
        <f aca="false">IF(B4&lt;1000000000000,N(INDEX('My Debts'!$D$10:$D$19,C4)),0)</f>
        <v>0.074</v>
      </c>
      <c r="G4" s="38" t="n">
        <f aca="false">IF(B4&lt;1000000000000,N(INDEX('My Debts'!$E$10:$E$19,C4)),0)</f>
        <v>240</v>
      </c>
      <c r="H4" s="40" t="n">
        <f aca="false">F4/12</f>
        <v>0.00616666666666667</v>
      </c>
    </row>
    <row r="5" customFormat="false" ht="15" hidden="false" customHeight="false" outlineLevel="0" collapsed="false">
      <c r="A5" s="0" t="n">
        <f aca="false">IF(OR('My Debts'!C13="",'My Debts'!C13&lt;=0),1000000000000+4,IF('My Debts'!$C$5="Avalanche",-N('My Debts'!D13)*1000+4/1000,'My Debts'!C13+4/1000000))</f>
        <v>900.000004</v>
      </c>
      <c r="B5" s="0" t="n">
        <f aca="false">SMALL($A$2:$A$11,4)</f>
        <v>6850.000001</v>
      </c>
      <c r="C5" s="0" t="n">
        <f aca="false">MATCH(B5,$A$2:$A$11,0)</f>
        <v>1</v>
      </c>
      <c r="D5" s="0" t="str">
        <f aca="false">IF(B5&lt;1000000000000,INDEX('My Debts'!$B$10:$B$19,C5),"")</f>
        <v>Visa credit card</v>
      </c>
      <c r="E5" s="38" t="n">
        <f aca="false">IF(B5&lt;1000000000000,INDEX('My Debts'!$C$10:$C$19,C5),0)</f>
        <v>6850</v>
      </c>
      <c r="F5" s="39" t="n">
        <f aca="false">IF(B5&lt;1000000000000,N(INDEX('My Debts'!$D$10:$D$19,C5)),0)</f>
        <v>0.2499</v>
      </c>
      <c r="G5" s="38" t="n">
        <f aca="false">IF(B5&lt;1000000000000,N(INDEX('My Debts'!$E$10:$E$19,C5)),0)</f>
        <v>175</v>
      </c>
      <c r="H5" s="40" t="n">
        <f aca="false">F5/12</f>
        <v>0.020825</v>
      </c>
    </row>
    <row r="6" customFormat="false" ht="15" hidden="false" customHeight="false" outlineLevel="0" collapsed="false">
      <c r="A6" s="0" t="n">
        <f aca="false">IF(OR('My Debts'!C14="",'My Debts'!C14&lt;=0),1000000000000+5,IF('My Debts'!$C$5="Avalanche",-N('My Debts'!D14)*1000+5/1000,'My Debts'!C14+5/1000000))</f>
        <v>1000000000005</v>
      </c>
      <c r="B6" s="0" t="n">
        <f aca="false">SMALL($A$2:$A$11,5)</f>
        <v>1000000000005</v>
      </c>
      <c r="C6" s="0" t="n">
        <f aca="false">MATCH(B6,$A$2:$A$11,0)</f>
        <v>5</v>
      </c>
      <c r="D6" s="0" t="str">
        <f aca="false">IF(B6&lt;1000000000000,INDEX('My Debts'!$B$10:$B$19,C6),"")</f>
        <v/>
      </c>
      <c r="E6" s="38" t="n">
        <f aca="false">IF(B6&lt;1000000000000,INDEX('My Debts'!$C$10:$C$19,C6),0)</f>
        <v>0</v>
      </c>
      <c r="F6" s="39" t="n">
        <f aca="false">IF(B6&lt;1000000000000,N(INDEX('My Debts'!$D$10:$D$19,C6)),0)</f>
        <v>0</v>
      </c>
      <c r="G6" s="38" t="n">
        <f aca="false">IF(B6&lt;1000000000000,N(INDEX('My Debts'!$E$10:$E$19,C6)),0)</f>
        <v>0</v>
      </c>
      <c r="H6" s="40" t="n">
        <f aca="false">F6/12</f>
        <v>0</v>
      </c>
    </row>
    <row r="7" customFormat="false" ht="15" hidden="false" customHeight="false" outlineLevel="0" collapsed="false">
      <c r="A7" s="0" t="n">
        <f aca="false">IF(OR('My Debts'!C15="",'My Debts'!C15&lt;=0),1000000000000+6,IF('My Debts'!$C$5="Avalanche",-N('My Debts'!D15)*1000+6/1000,'My Debts'!C15+6/1000000))</f>
        <v>1000000000006</v>
      </c>
      <c r="B7" s="0" t="n">
        <f aca="false">SMALL($A$2:$A$11,6)</f>
        <v>1000000000006</v>
      </c>
      <c r="C7" s="0" t="n">
        <f aca="false">MATCH(B7,$A$2:$A$11,0)</f>
        <v>6</v>
      </c>
      <c r="D7" s="0" t="str">
        <f aca="false">IF(B7&lt;1000000000000,INDEX('My Debts'!$B$10:$B$19,C7),"")</f>
        <v/>
      </c>
      <c r="E7" s="38" t="n">
        <f aca="false">IF(B7&lt;1000000000000,INDEX('My Debts'!$C$10:$C$19,C7),0)</f>
        <v>0</v>
      </c>
      <c r="F7" s="39" t="n">
        <f aca="false">IF(B7&lt;1000000000000,N(INDEX('My Debts'!$D$10:$D$19,C7)),0)</f>
        <v>0</v>
      </c>
      <c r="G7" s="38" t="n">
        <f aca="false">IF(B7&lt;1000000000000,N(INDEX('My Debts'!$E$10:$E$19,C7)),0)</f>
        <v>0</v>
      </c>
      <c r="H7" s="40" t="n">
        <f aca="false">F7/12</f>
        <v>0</v>
      </c>
    </row>
    <row r="8" customFormat="false" ht="15" hidden="false" customHeight="false" outlineLevel="0" collapsed="false">
      <c r="A8" s="0" t="n">
        <f aca="false">IF(OR('My Debts'!C16="",'My Debts'!C16&lt;=0),1000000000000+7,IF('My Debts'!$C$5="Avalanche",-N('My Debts'!D16)*1000+7/1000,'My Debts'!C16+7/1000000))</f>
        <v>1000000000007</v>
      </c>
      <c r="B8" s="0" t="n">
        <f aca="false">SMALL($A$2:$A$11,7)</f>
        <v>1000000000007</v>
      </c>
      <c r="C8" s="0" t="n">
        <f aca="false">MATCH(B8,$A$2:$A$11,0)</f>
        <v>7</v>
      </c>
      <c r="D8" s="0" t="str">
        <f aca="false">IF(B8&lt;1000000000000,INDEX('My Debts'!$B$10:$B$19,C8),"")</f>
        <v/>
      </c>
      <c r="E8" s="38" t="n">
        <f aca="false">IF(B8&lt;1000000000000,INDEX('My Debts'!$C$10:$C$19,C8),0)</f>
        <v>0</v>
      </c>
      <c r="F8" s="39" t="n">
        <f aca="false">IF(B8&lt;1000000000000,N(INDEX('My Debts'!$D$10:$D$19,C8)),0)</f>
        <v>0</v>
      </c>
      <c r="G8" s="38" t="n">
        <f aca="false">IF(B8&lt;1000000000000,N(INDEX('My Debts'!$E$10:$E$19,C8)),0)</f>
        <v>0</v>
      </c>
      <c r="H8" s="40" t="n">
        <f aca="false">F8/12</f>
        <v>0</v>
      </c>
    </row>
    <row r="9" customFormat="false" ht="15" hidden="false" customHeight="false" outlineLevel="0" collapsed="false">
      <c r="A9" s="0" t="n">
        <f aca="false">IF(OR('My Debts'!C17="",'My Debts'!C17&lt;=0),1000000000000+8,IF('My Debts'!$C$5="Avalanche",-N('My Debts'!D17)*1000+8/1000,'My Debts'!C17+8/1000000))</f>
        <v>1000000000008</v>
      </c>
      <c r="B9" s="0" t="n">
        <f aca="false">SMALL($A$2:$A$11,8)</f>
        <v>1000000000008</v>
      </c>
      <c r="C9" s="0" t="n">
        <f aca="false">MATCH(B9,$A$2:$A$11,0)</f>
        <v>8</v>
      </c>
      <c r="D9" s="0" t="str">
        <f aca="false">IF(B9&lt;1000000000000,INDEX('My Debts'!$B$10:$B$19,C9),"")</f>
        <v/>
      </c>
      <c r="E9" s="38" t="n">
        <f aca="false">IF(B9&lt;1000000000000,INDEX('My Debts'!$C$10:$C$19,C9),0)</f>
        <v>0</v>
      </c>
      <c r="F9" s="39" t="n">
        <f aca="false">IF(B9&lt;1000000000000,N(INDEX('My Debts'!$D$10:$D$19,C9)),0)</f>
        <v>0</v>
      </c>
      <c r="G9" s="38" t="n">
        <f aca="false">IF(B9&lt;1000000000000,N(INDEX('My Debts'!$E$10:$E$19,C9)),0)</f>
        <v>0</v>
      </c>
      <c r="H9" s="40" t="n">
        <f aca="false">F9/12</f>
        <v>0</v>
      </c>
    </row>
    <row r="10" customFormat="false" ht="15" hidden="false" customHeight="false" outlineLevel="0" collapsed="false">
      <c r="A10" s="0" t="n">
        <f aca="false">IF(OR('My Debts'!C18="",'My Debts'!C18&lt;=0),1000000000000+9,IF('My Debts'!$C$5="Avalanche",-N('My Debts'!D18)*1000+9/1000,'My Debts'!C18+9/1000000))</f>
        <v>1000000000009</v>
      </c>
      <c r="B10" s="0" t="n">
        <f aca="false">SMALL($A$2:$A$11,9)</f>
        <v>1000000000009</v>
      </c>
      <c r="C10" s="0" t="n">
        <f aca="false">MATCH(B10,$A$2:$A$11,0)</f>
        <v>9</v>
      </c>
      <c r="D10" s="0" t="str">
        <f aca="false">IF(B10&lt;1000000000000,INDEX('My Debts'!$B$10:$B$19,C10),"")</f>
        <v/>
      </c>
      <c r="E10" s="38" t="n">
        <f aca="false">IF(B10&lt;1000000000000,INDEX('My Debts'!$C$10:$C$19,C10),0)</f>
        <v>0</v>
      </c>
      <c r="F10" s="39" t="n">
        <f aca="false">IF(B10&lt;1000000000000,N(INDEX('My Debts'!$D$10:$D$19,C10)),0)</f>
        <v>0</v>
      </c>
      <c r="G10" s="38" t="n">
        <f aca="false">IF(B10&lt;1000000000000,N(INDEX('My Debts'!$E$10:$E$19,C10)),0)</f>
        <v>0</v>
      </c>
      <c r="H10" s="40" t="n">
        <f aca="false">F10/12</f>
        <v>0</v>
      </c>
    </row>
    <row r="11" customFormat="false" ht="15" hidden="false" customHeight="false" outlineLevel="0" collapsed="false">
      <c r="A11" s="0" t="n">
        <f aca="false">IF(OR('My Debts'!C19="",'My Debts'!C19&lt;=0),1000000000000+10,IF('My Debts'!$C$5="Avalanche",-N('My Debts'!D19)*1000+10/1000,'My Debts'!C19+10/1000000))</f>
        <v>1000000000010</v>
      </c>
      <c r="B11" s="0" t="n">
        <f aca="false">SMALL($A$2:$A$11,10)</f>
        <v>1000000000010</v>
      </c>
      <c r="C11" s="0" t="n">
        <f aca="false">MATCH(B11,$A$2:$A$11,0)</f>
        <v>10</v>
      </c>
      <c r="D11" s="0" t="str">
        <f aca="false">IF(B11&lt;1000000000000,INDEX('My Debts'!$B$10:$B$19,C11),"")</f>
        <v/>
      </c>
      <c r="E11" s="38" t="n">
        <f aca="false">IF(B11&lt;1000000000000,INDEX('My Debts'!$C$10:$C$19,C11),0)</f>
        <v>0</v>
      </c>
      <c r="F11" s="39" t="n">
        <f aca="false">IF(B11&lt;1000000000000,N(INDEX('My Debts'!$D$10:$D$19,C11)),0)</f>
        <v>0</v>
      </c>
      <c r="G11" s="38" t="n">
        <f aca="false">IF(B11&lt;1000000000000,N(INDEX('My Debts'!$E$10:$E$19,C11)),0)</f>
        <v>0</v>
      </c>
      <c r="H11" s="40" t="n">
        <f aca="false">F11/12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2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4" min="3" style="0" width="12"/>
    <col collapsed="false" customWidth="true" hidden="false" outlineLevel="0" max="5" min="5" style="0" width="13"/>
    <col collapsed="false" customWidth="true" hidden="false" outlineLevel="0" max="45" min="6" style="0" width="12"/>
  </cols>
  <sheetData>
    <row r="1" customFormat="false" ht="17.35" hidden="false" customHeight="false" outlineLevel="0" collapsed="false">
      <c r="A1" s="41" t="s">
        <v>59</v>
      </c>
    </row>
    <row r="2" customFormat="false" ht="15" hidden="false" customHeight="false" outlineLevel="0" collapsed="false">
      <c r="F2" s="42" t="str">
        <f aca="false">IF(Sorted!$D$2="","",Sorted!$D$2)</f>
        <v>Personal loan</v>
      </c>
      <c r="G2" s="42"/>
      <c r="H2" s="42"/>
      <c r="I2" s="42"/>
      <c r="J2" s="42" t="str">
        <f aca="false">IF(Sorted!$D$3="","",Sorted!$D$3)</f>
        <v>Store card</v>
      </c>
      <c r="K2" s="42"/>
      <c r="L2" s="42"/>
      <c r="M2" s="42"/>
      <c r="N2" s="42" t="str">
        <f aca="false">IF(Sorted!$D$4="","",Sorted!$D$4)</f>
        <v>Car loan</v>
      </c>
      <c r="O2" s="42"/>
      <c r="P2" s="42"/>
      <c r="Q2" s="42"/>
      <c r="R2" s="42" t="str">
        <f aca="false">IF(Sorted!$D$5="","",Sorted!$D$5)</f>
        <v>Visa credit card</v>
      </c>
      <c r="S2" s="42"/>
      <c r="T2" s="42"/>
      <c r="U2" s="42"/>
      <c r="V2" s="42" t="str">
        <f aca="false">IF(Sorted!$D$6="","",Sorted!$D$6)</f>
        <v/>
      </c>
      <c r="W2" s="42"/>
      <c r="X2" s="42"/>
      <c r="Y2" s="42"/>
      <c r="Z2" s="42" t="str">
        <f aca="false">IF(Sorted!$D$7="","",Sorted!$D$7)</f>
        <v/>
      </c>
      <c r="AA2" s="42"/>
      <c r="AB2" s="42"/>
      <c r="AC2" s="42"/>
      <c r="AD2" s="42" t="str">
        <f aca="false">IF(Sorted!$D$8="","",Sorted!$D$8)</f>
        <v/>
      </c>
      <c r="AE2" s="42"/>
      <c r="AF2" s="42"/>
      <c r="AG2" s="42"/>
      <c r="AH2" s="42" t="str">
        <f aca="false">IF(Sorted!$D$9="","",Sorted!$D$9)</f>
        <v/>
      </c>
      <c r="AI2" s="42"/>
      <c r="AJ2" s="42"/>
      <c r="AK2" s="42"/>
      <c r="AL2" s="42" t="str">
        <f aca="false">IF(Sorted!$D$10="","",Sorted!$D$10)</f>
        <v/>
      </c>
      <c r="AM2" s="42"/>
      <c r="AN2" s="42"/>
      <c r="AO2" s="42"/>
      <c r="AP2" s="42" t="str">
        <f aca="false">IF(Sorted!$D$11="","",Sorted!$D$11)</f>
        <v/>
      </c>
      <c r="AQ2" s="42"/>
      <c r="AR2" s="42"/>
      <c r="AS2" s="42"/>
    </row>
    <row r="3" customFormat="false" ht="27.75" hidden="false" customHeight="true" outlineLevel="0" collapsed="false">
      <c r="A3" s="43" t="s">
        <v>60</v>
      </c>
      <c r="B3" s="43" t="s">
        <v>61</v>
      </c>
      <c r="C3" s="43" t="s">
        <v>62</v>
      </c>
      <c r="D3" s="43" t="s">
        <v>63</v>
      </c>
      <c r="E3" s="43" t="s">
        <v>64</v>
      </c>
      <c r="F3" s="43" t="s">
        <v>65</v>
      </c>
      <c r="G3" s="43" t="s">
        <v>66</v>
      </c>
      <c r="H3" s="43" t="s">
        <v>67</v>
      </c>
      <c r="I3" s="43" t="s">
        <v>30</v>
      </c>
      <c r="J3" s="44" t="s">
        <v>65</v>
      </c>
      <c r="K3" s="44" t="s">
        <v>66</v>
      </c>
      <c r="L3" s="44" t="s">
        <v>67</v>
      </c>
      <c r="M3" s="44" t="s">
        <v>30</v>
      </c>
      <c r="N3" s="43" t="s">
        <v>65</v>
      </c>
      <c r="O3" s="43" t="s">
        <v>66</v>
      </c>
      <c r="P3" s="43" t="s">
        <v>67</v>
      </c>
      <c r="Q3" s="43" t="s">
        <v>30</v>
      </c>
      <c r="R3" s="44" t="s">
        <v>65</v>
      </c>
      <c r="S3" s="44" t="s">
        <v>66</v>
      </c>
      <c r="T3" s="44" t="s">
        <v>67</v>
      </c>
      <c r="U3" s="44" t="s">
        <v>30</v>
      </c>
      <c r="V3" s="43" t="s">
        <v>65</v>
      </c>
      <c r="W3" s="43" t="s">
        <v>66</v>
      </c>
      <c r="X3" s="43" t="s">
        <v>67</v>
      </c>
      <c r="Y3" s="43" t="s">
        <v>30</v>
      </c>
      <c r="Z3" s="44" t="s">
        <v>65</v>
      </c>
      <c r="AA3" s="44" t="s">
        <v>66</v>
      </c>
      <c r="AB3" s="44" t="s">
        <v>67</v>
      </c>
      <c r="AC3" s="44" t="s">
        <v>30</v>
      </c>
      <c r="AD3" s="43" t="s">
        <v>65</v>
      </c>
      <c r="AE3" s="43" t="s">
        <v>66</v>
      </c>
      <c r="AF3" s="43" t="s">
        <v>67</v>
      </c>
      <c r="AG3" s="43" t="s">
        <v>30</v>
      </c>
      <c r="AH3" s="44" t="s">
        <v>65</v>
      </c>
      <c r="AI3" s="44" t="s">
        <v>66</v>
      </c>
      <c r="AJ3" s="44" t="s">
        <v>67</v>
      </c>
      <c r="AK3" s="44" t="s">
        <v>30</v>
      </c>
      <c r="AL3" s="43" t="s">
        <v>65</v>
      </c>
      <c r="AM3" s="43" t="s">
        <v>66</v>
      </c>
      <c r="AN3" s="43" t="s">
        <v>67</v>
      </c>
      <c r="AO3" s="43" t="s">
        <v>30</v>
      </c>
      <c r="AP3" s="44" t="s">
        <v>65</v>
      </c>
      <c r="AQ3" s="44" t="s">
        <v>66</v>
      </c>
      <c r="AR3" s="44" t="s">
        <v>67</v>
      </c>
      <c r="AS3" s="44" t="s">
        <v>30</v>
      </c>
    </row>
    <row r="4" customFormat="false" ht="15" hidden="false" customHeight="false" outlineLevel="0" collapsed="false">
      <c r="A4" s="45" t="n">
        <v>1</v>
      </c>
      <c r="B4" s="46" t="n">
        <f aca="false">EDATE('My Debts'!$C$7,A4-1)</f>
        <v>46327</v>
      </c>
      <c r="C4" s="47" t="n">
        <f aca="false">MAX(0,'My Debts'!$E$6-(G4+K4+O4+S4+W4+AA4+AE4+AI4+AM4+AQ4))</f>
        <v>200</v>
      </c>
      <c r="D4" s="47" t="n">
        <f aca="false">(F4+J4+N4+R4+V4+Z4+AD4+AH4+AL4+AP4)-(I4+M4+Q4+U4+Y4+AC4+AG4+AK4+AO4+AS4)</f>
        <v>730.000000000002</v>
      </c>
      <c r="E4" s="48" t="n">
        <f aca="false">I4+M4+Q4+U4+Y4+AC4+AG4+AK4+AO4+AS4</f>
        <v>12984.04</v>
      </c>
      <c r="F4" s="47" t="n">
        <f aca="false">ROUND(Sorted!$E$2*(1+Sorted!$H$2),2)</f>
        <v>908.63</v>
      </c>
      <c r="G4" s="47" t="n">
        <f aca="false">MIN(F4,Sorted!$G$2)</f>
        <v>60</v>
      </c>
      <c r="H4" s="47" t="n">
        <f aca="false">MAX(0,MIN(F4-G4,$C4-(0)))</f>
        <v>200</v>
      </c>
      <c r="I4" s="47" t="n">
        <f aca="false">ROUND(F4-G4-H4,2)</f>
        <v>648.63</v>
      </c>
      <c r="J4" s="47" t="n">
        <f aca="false">ROUND(Sorted!$E$3*(1+Sorted!$H$3),2)</f>
        <v>1486.24</v>
      </c>
      <c r="K4" s="47" t="n">
        <f aca="false">MIN(J4,Sorted!$G$3)</f>
        <v>55</v>
      </c>
      <c r="L4" s="47" t="n">
        <f aca="false">MAX(0,MIN(J4-K4,$C4-(H4)))</f>
        <v>0</v>
      </c>
      <c r="M4" s="47" t="n">
        <f aca="false">ROUND(J4-K4-L4,2)</f>
        <v>1431.24</v>
      </c>
      <c r="N4" s="47" t="n">
        <f aca="false">ROUND(Sorted!$E$4*(1+Sorted!$H$4),2)</f>
        <v>4326.52</v>
      </c>
      <c r="O4" s="47" t="n">
        <f aca="false">MIN(N4,Sorted!$G$4)</f>
        <v>240</v>
      </c>
      <c r="P4" s="47" t="n">
        <f aca="false">MAX(0,MIN(N4-O4,$C4-(H4+L4)))</f>
        <v>0</v>
      </c>
      <c r="Q4" s="47" t="n">
        <f aca="false">ROUND(N4-O4-P4,2)</f>
        <v>4086.52</v>
      </c>
      <c r="R4" s="47" t="n">
        <f aca="false">ROUND(Sorted!$E$5*(1+Sorted!$H$5),2)</f>
        <v>6992.65</v>
      </c>
      <c r="S4" s="47" t="n">
        <f aca="false">MIN(R4,Sorted!$G$5)</f>
        <v>175</v>
      </c>
      <c r="T4" s="47" t="n">
        <f aca="false">MAX(0,MIN(R4-S4,$C4-(H4+L4+P4)))</f>
        <v>0</v>
      </c>
      <c r="U4" s="47" t="n">
        <f aca="false">ROUND(R4-S4-T4,2)</f>
        <v>6817.65</v>
      </c>
      <c r="V4" s="47" t="n">
        <f aca="false">ROUND(Sorted!$E$6*(1+Sorted!$H$6),2)</f>
        <v>0</v>
      </c>
      <c r="W4" s="47" t="n">
        <f aca="false">MIN(V4,Sorted!$G$6)</f>
        <v>0</v>
      </c>
      <c r="X4" s="47" t="n">
        <f aca="false">MAX(0,MIN(V4-W4,$C4-(H4+L4+P4+T4)))</f>
        <v>0</v>
      </c>
      <c r="Y4" s="47" t="n">
        <f aca="false">ROUND(V4-W4-X4,2)</f>
        <v>0</v>
      </c>
      <c r="Z4" s="47" t="n">
        <f aca="false">ROUND(Sorted!$E$7*(1+Sorted!$H$7),2)</f>
        <v>0</v>
      </c>
      <c r="AA4" s="47" t="n">
        <f aca="false">MIN(Z4,Sorted!$G$7)</f>
        <v>0</v>
      </c>
      <c r="AB4" s="47" t="n">
        <f aca="false">MAX(0,MIN(Z4-AA4,$C4-(H4+L4+P4+T4+X4)))</f>
        <v>0</v>
      </c>
      <c r="AC4" s="47" t="n">
        <f aca="false">ROUND(Z4-AA4-AB4,2)</f>
        <v>0</v>
      </c>
      <c r="AD4" s="47" t="n">
        <f aca="false">ROUND(Sorted!$E$8*(1+Sorted!$H$8),2)</f>
        <v>0</v>
      </c>
      <c r="AE4" s="47" t="n">
        <f aca="false">MIN(AD4,Sorted!$G$8)</f>
        <v>0</v>
      </c>
      <c r="AF4" s="47" t="n">
        <f aca="false">MAX(0,MIN(AD4-AE4,$C4-(H4+L4+P4+T4+X4+AB4)))</f>
        <v>0</v>
      </c>
      <c r="AG4" s="47" t="n">
        <f aca="false">ROUND(AD4-AE4-AF4,2)</f>
        <v>0</v>
      </c>
      <c r="AH4" s="47" t="n">
        <f aca="false">ROUND(Sorted!$E$9*(1+Sorted!$H$9),2)</f>
        <v>0</v>
      </c>
      <c r="AI4" s="47" t="n">
        <f aca="false">MIN(AH4,Sorted!$G$9)</f>
        <v>0</v>
      </c>
      <c r="AJ4" s="47" t="n">
        <f aca="false">MAX(0,MIN(AH4-AI4,$C4-(H4+L4+P4+T4+X4+AB4+AF4)))</f>
        <v>0</v>
      </c>
      <c r="AK4" s="47" t="n">
        <f aca="false">ROUND(AH4-AI4-AJ4,2)</f>
        <v>0</v>
      </c>
      <c r="AL4" s="47" t="n">
        <f aca="false">ROUND(Sorted!$E$10*(1+Sorted!$H$10),2)</f>
        <v>0</v>
      </c>
      <c r="AM4" s="47" t="n">
        <f aca="false">MIN(AL4,Sorted!$G$10)</f>
        <v>0</v>
      </c>
      <c r="AN4" s="47" t="n">
        <f aca="false">MAX(0,MIN(AL4-AM4,$C4-(H4+L4+P4+T4+X4+AB4+AF4+AJ4)))</f>
        <v>0</v>
      </c>
      <c r="AO4" s="47" t="n">
        <f aca="false">ROUND(AL4-AM4-AN4,2)</f>
        <v>0</v>
      </c>
      <c r="AP4" s="47" t="n">
        <f aca="false">ROUND(Sorted!$E$11*(1+Sorted!$H$11),2)</f>
        <v>0</v>
      </c>
      <c r="AQ4" s="47" t="n">
        <f aca="false">MIN(AP4,Sorted!$G$11)</f>
        <v>0</v>
      </c>
      <c r="AR4" s="47" t="n">
        <f aca="false">MAX(0,MIN(AP4-AQ4,$C4-(H4+L4+P4+T4+X4+AB4+AF4+AJ4+AN4)))</f>
        <v>0</v>
      </c>
      <c r="AS4" s="47" t="n">
        <f aca="false">ROUND(AP4-AQ4-AR4,2)</f>
        <v>0</v>
      </c>
    </row>
    <row r="5" customFormat="false" ht="15" hidden="false" customHeight="false" outlineLevel="0" collapsed="false">
      <c r="A5" s="45" t="n">
        <v>2</v>
      </c>
      <c r="B5" s="46" t="n">
        <f aca="false">EDATE('My Debts'!$C$7,A5-1)</f>
        <v>46357</v>
      </c>
      <c r="C5" s="47" t="n">
        <f aca="false">MAX(0,'My Debts'!$E$6-(G5+K5+O5+S5+W5+AA5+AE5+AI5+AM5+AQ5))</f>
        <v>200</v>
      </c>
      <c r="D5" s="47" t="n">
        <f aca="false">(F5+J5+N5+R5+V5+Z5+AD5+AH5+AL5+AP5)-(I5+M5+Q5+U5+Y5+AC5+AG5+AK5+AO5+AS5)</f>
        <v>730</v>
      </c>
      <c r="E5" s="48" t="n">
        <f aca="false">I5+M5+Q5+U5+Y5+AC5+AG5+AK5+AO5+AS5</f>
        <v>12463.21</v>
      </c>
      <c r="F5" s="47" t="n">
        <f aca="false">ROUND(I4*(1+Sorted!$H$2),2)</f>
        <v>654.85</v>
      </c>
      <c r="G5" s="47" t="n">
        <f aca="false">MIN(F5,Sorted!$G$2)</f>
        <v>60</v>
      </c>
      <c r="H5" s="47" t="n">
        <f aca="false">MAX(0,MIN(F5-G5,$C5-(0)))</f>
        <v>200</v>
      </c>
      <c r="I5" s="47" t="n">
        <f aca="false">ROUND(F5-G5-H5,2)</f>
        <v>394.85</v>
      </c>
      <c r="J5" s="47" t="n">
        <f aca="false">ROUND(M4*(1+Sorted!$H$3),2)</f>
        <v>1467.01</v>
      </c>
      <c r="K5" s="47" t="n">
        <f aca="false">MIN(J5,Sorted!$G$3)</f>
        <v>55</v>
      </c>
      <c r="L5" s="47" t="n">
        <f aca="false">MAX(0,MIN(J5-K5,$C5-(H5)))</f>
        <v>0</v>
      </c>
      <c r="M5" s="47" t="n">
        <f aca="false">ROUND(J5-K5-L5,2)</f>
        <v>1412.01</v>
      </c>
      <c r="N5" s="47" t="n">
        <f aca="false">ROUND(Q4*(1+Sorted!$H$4),2)</f>
        <v>4111.72</v>
      </c>
      <c r="O5" s="47" t="n">
        <f aca="false">MIN(N5,Sorted!$G$4)</f>
        <v>240</v>
      </c>
      <c r="P5" s="47" t="n">
        <f aca="false">MAX(0,MIN(N5-O5,$C5-(H5+L5)))</f>
        <v>0</v>
      </c>
      <c r="Q5" s="47" t="n">
        <f aca="false">ROUND(N5-O5-P5,2)</f>
        <v>3871.72</v>
      </c>
      <c r="R5" s="47" t="n">
        <f aca="false">ROUND(U4*(1+Sorted!$H$5),2)</f>
        <v>6959.63</v>
      </c>
      <c r="S5" s="47" t="n">
        <f aca="false">MIN(R5,Sorted!$G$5)</f>
        <v>175</v>
      </c>
      <c r="T5" s="47" t="n">
        <f aca="false">MAX(0,MIN(R5-S5,$C5-(H5+L5+P5)))</f>
        <v>0</v>
      </c>
      <c r="U5" s="47" t="n">
        <f aca="false">ROUND(R5-S5-T5,2)</f>
        <v>6784.63</v>
      </c>
      <c r="V5" s="47" t="n">
        <f aca="false">ROUND(Y4*(1+Sorted!$H$6),2)</f>
        <v>0</v>
      </c>
      <c r="W5" s="47" t="n">
        <f aca="false">MIN(V5,Sorted!$G$6)</f>
        <v>0</v>
      </c>
      <c r="X5" s="47" t="n">
        <f aca="false">MAX(0,MIN(V5-W5,$C5-(H5+L5+P5+T5)))</f>
        <v>0</v>
      </c>
      <c r="Y5" s="47" t="n">
        <f aca="false">ROUND(V5-W5-X5,2)</f>
        <v>0</v>
      </c>
      <c r="Z5" s="47" t="n">
        <f aca="false">ROUND(AC4*(1+Sorted!$H$7),2)</f>
        <v>0</v>
      </c>
      <c r="AA5" s="47" t="n">
        <f aca="false">MIN(Z5,Sorted!$G$7)</f>
        <v>0</v>
      </c>
      <c r="AB5" s="47" t="n">
        <f aca="false">MAX(0,MIN(Z5-AA5,$C5-(H5+L5+P5+T5+X5)))</f>
        <v>0</v>
      </c>
      <c r="AC5" s="47" t="n">
        <f aca="false">ROUND(Z5-AA5-AB5,2)</f>
        <v>0</v>
      </c>
      <c r="AD5" s="47" t="n">
        <f aca="false">ROUND(AG4*(1+Sorted!$H$8),2)</f>
        <v>0</v>
      </c>
      <c r="AE5" s="47" t="n">
        <f aca="false">MIN(AD5,Sorted!$G$8)</f>
        <v>0</v>
      </c>
      <c r="AF5" s="47" t="n">
        <f aca="false">MAX(0,MIN(AD5-AE5,$C5-(H5+L5+P5+T5+X5+AB5)))</f>
        <v>0</v>
      </c>
      <c r="AG5" s="47" t="n">
        <f aca="false">ROUND(AD5-AE5-AF5,2)</f>
        <v>0</v>
      </c>
      <c r="AH5" s="47" t="n">
        <f aca="false">ROUND(AK4*(1+Sorted!$H$9),2)</f>
        <v>0</v>
      </c>
      <c r="AI5" s="47" t="n">
        <f aca="false">MIN(AH5,Sorted!$G$9)</f>
        <v>0</v>
      </c>
      <c r="AJ5" s="47" t="n">
        <f aca="false">MAX(0,MIN(AH5-AI5,$C5-(H5+L5+P5+T5+X5+AB5+AF5)))</f>
        <v>0</v>
      </c>
      <c r="AK5" s="47" t="n">
        <f aca="false">ROUND(AH5-AI5-AJ5,2)</f>
        <v>0</v>
      </c>
      <c r="AL5" s="47" t="n">
        <f aca="false">ROUND(AO4*(1+Sorted!$H$10),2)</f>
        <v>0</v>
      </c>
      <c r="AM5" s="47" t="n">
        <f aca="false">MIN(AL5,Sorted!$G$10)</f>
        <v>0</v>
      </c>
      <c r="AN5" s="47" t="n">
        <f aca="false">MAX(0,MIN(AL5-AM5,$C5-(H5+L5+P5+T5+X5+AB5+AF5+AJ5)))</f>
        <v>0</v>
      </c>
      <c r="AO5" s="47" t="n">
        <f aca="false">ROUND(AL5-AM5-AN5,2)</f>
        <v>0</v>
      </c>
      <c r="AP5" s="47" t="n">
        <f aca="false">ROUND(AS4*(1+Sorted!$H$11),2)</f>
        <v>0</v>
      </c>
      <c r="AQ5" s="47" t="n">
        <f aca="false">MIN(AP5,Sorted!$G$11)</f>
        <v>0</v>
      </c>
      <c r="AR5" s="47" t="n">
        <f aca="false">MAX(0,MIN(AP5-AQ5,$C5-(H5+L5+P5+T5+X5+AB5+AF5+AJ5+AN5)))</f>
        <v>0</v>
      </c>
      <c r="AS5" s="47" t="n">
        <f aca="false">ROUND(AP5-AQ5-AR5,2)</f>
        <v>0</v>
      </c>
    </row>
    <row r="6" customFormat="false" ht="15" hidden="false" customHeight="false" outlineLevel="0" collapsed="false">
      <c r="A6" s="45" t="n">
        <v>3</v>
      </c>
      <c r="B6" s="46" t="n">
        <f aca="false">EDATE('My Debts'!$C$7,A6-1)</f>
        <v>46388</v>
      </c>
      <c r="C6" s="47" t="n">
        <f aca="false">MAX(0,'My Debts'!$E$6-(G6+K6+O6+S6+W6+AA6+AE6+AI6+AM6+AQ6))</f>
        <v>200</v>
      </c>
      <c r="D6" s="47" t="n">
        <f aca="false">(F6+J6+N6+R6+V6+Z6+AD6+AH6+AL6+AP6)-(I6+M6+Q6+U6+Y6+AC6+AG6+AK6+AO6+AS6)</f>
        <v>730</v>
      </c>
      <c r="E6" s="48" t="n">
        <f aca="false">I6+M6+Q6+U6+Y6+AC6+AG6+AK6+AO6+AS6</f>
        <v>11937.45</v>
      </c>
      <c r="F6" s="47" t="n">
        <f aca="false">ROUND(I5*(1+Sorted!$H$2),2)</f>
        <v>398.63</v>
      </c>
      <c r="G6" s="47" t="n">
        <f aca="false">MIN(F6,Sorted!$G$2)</f>
        <v>60</v>
      </c>
      <c r="H6" s="47" t="n">
        <f aca="false">MAX(0,MIN(F6-G6,$C6-(0)))</f>
        <v>200</v>
      </c>
      <c r="I6" s="47" t="n">
        <f aca="false">ROUND(F6-G6-H6,2)</f>
        <v>138.63</v>
      </c>
      <c r="J6" s="47" t="n">
        <f aca="false">ROUND(M5*(1+Sorted!$H$3),2)</f>
        <v>1447.3</v>
      </c>
      <c r="K6" s="47" t="n">
        <f aca="false">MIN(J6,Sorted!$G$3)</f>
        <v>55</v>
      </c>
      <c r="L6" s="47" t="n">
        <f aca="false">MAX(0,MIN(J6-K6,$C6-(H6)))</f>
        <v>0</v>
      </c>
      <c r="M6" s="47" t="n">
        <f aca="false">ROUND(J6-K6-L6,2)</f>
        <v>1392.3</v>
      </c>
      <c r="N6" s="47" t="n">
        <f aca="false">ROUND(Q5*(1+Sorted!$H$4),2)</f>
        <v>3895.6</v>
      </c>
      <c r="O6" s="47" t="n">
        <f aca="false">MIN(N6,Sorted!$G$4)</f>
        <v>240</v>
      </c>
      <c r="P6" s="47" t="n">
        <f aca="false">MAX(0,MIN(N6-O6,$C6-(H6+L6)))</f>
        <v>0</v>
      </c>
      <c r="Q6" s="47" t="n">
        <f aca="false">ROUND(N6-O6-P6,2)</f>
        <v>3655.6</v>
      </c>
      <c r="R6" s="47" t="n">
        <f aca="false">ROUND(U5*(1+Sorted!$H$5),2)</f>
        <v>6925.92</v>
      </c>
      <c r="S6" s="47" t="n">
        <f aca="false">MIN(R6,Sorted!$G$5)</f>
        <v>175</v>
      </c>
      <c r="T6" s="47" t="n">
        <f aca="false">MAX(0,MIN(R6-S6,$C6-(H6+L6+P6)))</f>
        <v>0</v>
      </c>
      <c r="U6" s="47" t="n">
        <f aca="false">ROUND(R6-S6-T6,2)</f>
        <v>6750.92</v>
      </c>
      <c r="V6" s="47" t="n">
        <f aca="false">ROUND(Y5*(1+Sorted!$H$6),2)</f>
        <v>0</v>
      </c>
      <c r="W6" s="47" t="n">
        <f aca="false">MIN(V6,Sorted!$G$6)</f>
        <v>0</v>
      </c>
      <c r="X6" s="47" t="n">
        <f aca="false">MAX(0,MIN(V6-W6,$C6-(H6+L6+P6+T6)))</f>
        <v>0</v>
      </c>
      <c r="Y6" s="47" t="n">
        <f aca="false">ROUND(V6-W6-X6,2)</f>
        <v>0</v>
      </c>
      <c r="Z6" s="47" t="n">
        <f aca="false">ROUND(AC5*(1+Sorted!$H$7),2)</f>
        <v>0</v>
      </c>
      <c r="AA6" s="47" t="n">
        <f aca="false">MIN(Z6,Sorted!$G$7)</f>
        <v>0</v>
      </c>
      <c r="AB6" s="47" t="n">
        <f aca="false">MAX(0,MIN(Z6-AA6,$C6-(H6+L6+P6+T6+X6)))</f>
        <v>0</v>
      </c>
      <c r="AC6" s="47" t="n">
        <f aca="false">ROUND(Z6-AA6-AB6,2)</f>
        <v>0</v>
      </c>
      <c r="AD6" s="47" t="n">
        <f aca="false">ROUND(AG5*(1+Sorted!$H$8),2)</f>
        <v>0</v>
      </c>
      <c r="AE6" s="47" t="n">
        <f aca="false">MIN(AD6,Sorted!$G$8)</f>
        <v>0</v>
      </c>
      <c r="AF6" s="47" t="n">
        <f aca="false">MAX(0,MIN(AD6-AE6,$C6-(H6+L6+P6+T6+X6+AB6)))</f>
        <v>0</v>
      </c>
      <c r="AG6" s="47" t="n">
        <f aca="false">ROUND(AD6-AE6-AF6,2)</f>
        <v>0</v>
      </c>
      <c r="AH6" s="47" t="n">
        <f aca="false">ROUND(AK5*(1+Sorted!$H$9),2)</f>
        <v>0</v>
      </c>
      <c r="AI6" s="47" t="n">
        <f aca="false">MIN(AH6,Sorted!$G$9)</f>
        <v>0</v>
      </c>
      <c r="AJ6" s="47" t="n">
        <f aca="false">MAX(0,MIN(AH6-AI6,$C6-(H6+L6+P6+T6+X6+AB6+AF6)))</f>
        <v>0</v>
      </c>
      <c r="AK6" s="47" t="n">
        <f aca="false">ROUND(AH6-AI6-AJ6,2)</f>
        <v>0</v>
      </c>
      <c r="AL6" s="47" t="n">
        <f aca="false">ROUND(AO5*(1+Sorted!$H$10),2)</f>
        <v>0</v>
      </c>
      <c r="AM6" s="47" t="n">
        <f aca="false">MIN(AL6,Sorted!$G$10)</f>
        <v>0</v>
      </c>
      <c r="AN6" s="47" t="n">
        <f aca="false">MAX(0,MIN(AL6-AM6,$C6-(H6+L6+P6+T6+X6+AB6+AF6+AJ6)))</f>
        <v>0</v>
      </c>
      <c r="AO6" s="47" t="n">
        <f aca="false">ROUND(AL6-AM6-AN6,2)</f>
        <v>0</v>
      </c>
      <c r="AP6" s="47" t="n">
        <f aca="false">ROUND(AS5*(1+Sorted!$H$11),2)</f>
        <v>0</v>
      </c>
      <c r="AQ6" s="47" t="n">
        <f aca="false">MIN(AP6,Sorted!$G$11)</f>
        <v>0</v>
      </c>
      <c r="AR6" s="47" t="n">
        <f aca="false">MAX(0,MIN(AP6-AQ6,$C6-(H6+L6+P6+T6+X6+AB6+AF6+AJ6+AN6)))</f>
        <v>0</v>
      </c>
      <c r="AS6" s="47" t="n">
        <f aca="false">ROUND(AP6-AQ6-AR6,2)</f>
        <v>0</v>
      </c>
    </row>
    <row r="7" customFormat="false" ht="15" hidden="false" customHeight="false" outlineLevel="0" collapsed="false">
      <c r="A7" s="45" t="n">
        <v>4</v>
      </c>
      <c r="B7" s="46" t="n">
        <f aca="false">EDATE('My Debts'!$C$7,A7-1)</f>
        <v>46419</v>
      </c>
      <c r="C7" s="47" t="n">
        <f aca="false">MAX(0,'My Debts'!$E$6-(G7+K7+O7+S7+W7+AA7+AE7+AI7+AM7+AQ7))</f>
        <v>200</v>
      </c>
      <c r="D7" s="47" t="n">
        <f aca="false">(F7+J7+N7+R7+V7+Z7+AD7+AH7+AL7+AP7)-(I7+M7+Q7+U7+Y7+AC7+AG7+AK7+AO7+AS7)</f>
        <v>730</v>
      </c>
      <c r="E7" s="48" t="n">
        <f aca="false">I7+M7+Q7+U7+Y7+AC7+AG7+AK7+AO7+AS7</f>
        <v>11406.71</v>
      </c>
      <c r="F7" s="47" t="n">
        <f aca="false">ROUND(I6*(1+Sorted!$H$2),2)</f>
        <v>139.96</v>
      </c>
      <c r="G7" s="47" t="n">
        <f aca="false">MIN(F7,Sorted!$G$2)</f>
        <v>60</v>
      </c>
      <c r="H7" s="47" t="n">
        <f aca="false">MAX(0,MIN(F7-G7,$C7-(0)))</f>
        <v>79.96</v>
      </c>
      <c r="I7" s="47" t="n">
        <f aca="false">ROUND(F7-G7-H7,2)</f>
        <v>0</v>
      </c>
      <c r="J7" s="47" t="n">
        <f aca="false">ROUND(M6*(1+Sorted!$H$3),2)</f>
        <v>1427.1</v>
      </c>
      <c r="K7" s="47" t="n">
        <f aca="false">MIN(J7,Sorted!$G$3)</f>
        <v>55</v>
      </c>
      <c r="L7" s="47" t="n">
        <f aca="false">MAX(0,MIN(J7-K7,$C7-(H7)))</f>
        <v>120.04</v>
      </c>
      <c r="M7" s="47" t="n">
        <f aca="false">ROUND(J7-K7-L7,2)</f>
        <v>1252.06</v>
      </c>
      <c r="N7" s="47" t="n">
        <f aca="false">ROUND(Q6*(1+Sorted!$H$4),2)</f>
        <v>3678.14</v>
      </c>
      <c r="O7" s="47" t="n">
        <f aca="false">MIN(N7,Sorted!$G$4)</f>
        <v>240</v>
      </c>
      <c r="P7" s="47" t="n">
        <f aca="false">MAX(0,MIN(N7-O7,$C7-(H7+L7)))</f>
        <v>0</v>
      </c>
      <c r="Q7" s="47" t="n">
        <f aca="false">ROUND(N7-O7-P7,2)</f>
        <v>3438.14</v>
      </c>
      <c r="R7" s="47" t="n">
        <f aca="false">ROUND(U6*(1+Sorted!$H$5),2)</f>
        <v>6891.51</v>
      </c>
      <c r="S7" s="47" t="n">
        <f aca="false">MIN(R7,Sorted!$G$5)</f>
        <v>175</v>
      </c>
      <c r="T7" s="47" t="n">
        <f aca="false">MAX(0,MIN(R7-S7,$C7-(H7+L7+P7)))</f>
        <v>0</v>
      </c>
      <c r="U7" s="47" t="n">
        <f aca="false">ROUND(R7-S7-T7,2)</f>
        <v>6716.51</v>
      </c>
      <c r="V7" s="47" t="n">
        <f aca="false">ROUND(Y6*(1+Sorted!$H$6),2)</f>
        <v>0</v>
      </c>
      <c r="W7" s="47" t="n">
        <f aca="false">MIN(V7,Sorted!$G$6)</f>
        <v>0</v>
      </c>
      <c r="X7" s="47" t="n">
        <f aca="false">MAX(0,MIN(V7-W7,$C7-(H7+L7+P7+T7)))</f>
        <v>0</v>
      </c>
      <c r="Y7" s="47" t="n">
        <f aca="false">ROUND(V7-W7-X7,2)</f>
        <v>0</v>
      </c>
      <c r="Z7" s="47" t="n">
        <f aca="false">ROUND(AC6*(1+Sorted!$H$7),2)</f>
        <v>0</v>
      </c>
      <c r="AA7" s="47" t="n">
        <f aca="false">MIN(Z7,Sorted!$G$7)</f>
        <v>0</v>
      </c>
      <c r="AB7" s="47" t="n">
        <f aca="false">MAX(0,MIN(Z7-AA7,$C7-(H7+L7+P7+T7+X7)))</f>
        <v>0</v>
      </c>
      <c r="AC7" s="47" t="n">
        <f aca="false">ROUND(Z7-AA7-AB7,2)</f>
        <v>0</v>
      </c>
      <c r="AD7" s="47" t="n">
        <f aca="false">ROUND(AG6*(1+Sorted!$H$8),2)</f>
        <v>0</v>
      </c>
      <c r="AE7" s="47" t="n">
        <f aca="false">MIN(AD7,Sorted!$G$8)</f>
        <v>0</v>
      </c>
      <c r="AF7" s="47" t="n">
        <f aca="false">MAX(0,MIN(AD7-AE7,$C7-(H7+L7+P7+T7+X7+AB7)))</f>
        <v>0</v>
      </c>
      <c r="AG7" s="47" t="n">
        <f aca="false">ROUND(AD7-AE7-AF7,2)</f>
        <v>0</v>
      </c>
      <c r="AH7" s="47" t="n">
        <f aca="false">ROUND(AK6*(1+Sorted!$H$9),2)</f>
        <v>0</v>
      </c>
      <c r="AI7" s="47" t="n">
        <f aca="false">MIN(AH7,Sorted!$G$9)</f>
        <v>0</v>
      </c>
      <c r="AJ7" s="47" t="n">
        <f aca="false">MAX(0,MIN(AH7-AI7,$C7-(H7+L7+P7+T7+X7+AB7+AF7)))</f>
        <v>0</v>
      </c>
      <c r="AK7" s="47" t="n">
        <f aca="false">ROUND(AH7-AI7-AJ7,2)</f>
        <v>0</v>
      </c>
      <c r="AL7" s="47" t="n">
        <f aca="false">ROUND(AO6*(1+Sorted!$H$10),2)</f>
        <v>0</v>
      </c>
      <c r="AM7" s="47" t="n">
        <f aca="false">MIN(AL7,Sorted!$G$10)</f>
        <v>0</v>
      </c>
      <c r="AN7" s="47" t="n">
        <f aca="false">MAX(0,MIN(AL7-AM7,$C7-(H7+L7+P7+T7+X7+AB7+AF7+AJ7)))</f>
        <v>0</v>
      </c>
      <c r="AO7" s="47" t="n">
        <f aca="false">ROUND(AL7-AM7-AN7,2)</f>
        <v>0</v>
      </c>
      <c r="AP7" s="47" t="n">
        <f aca="false">ROUND(AS6*(1+Sorted!$H$11),2)</f>
        <v>0</v>
      </c>
      <c r="AQ7" s="47" t="n">
        <f aca="false">MIN(AP7,Sorted!$G$11)</f>
        <v>0</v>
      </c>
      <c r="AR7" s="47" t="n">
        <f aca="false">MAX(0,MIN(AP7-AQ7,$C7-(H7+L7+P7+T7+X7+AB7+AF7+AJ7+AN7)))</f>
        <v>0</v>
      </c>
      <c r="AS7" s="47" t="n">
        <f aca="false">ROUND(AP7-AQ7-AR7,2)</f>
        <v>0</v>
      </c>
    </row>
    <row r="8" customFormat="false" ht="15" hidden="false" customHeight="false" outlineLevel="0" collapsed="false">
      <c r="A8" s="45" t="n">
        <v>5</v>
      </c>
      <c r="B8" s="46" t="n">
        <f aca="false">EDATE('My Debts'!$C$7,A8-1)</f>
        <v>46447</v>
      </c>
      <c r="C8" s="47" t="n">
        <f aca="false">MAX(0,'My Debts'!$E$6-(G8+K8+O8+S8+W8+AA8+AE8+AI8+AM8+AQ8))</f>
        <v>260</v>
      </c>
      <c r="D8" s="47" t="n">
        <f aca="false">(F8+J8+N8+R8+V8+Z8+AD8+AH8+AL8+AP8)-(I8+M8+Q8+U8+Y8+AC8+AG8+AK8+AO8+AS8)</f>
        <v>730</v>
      </c>
      <c r="E8" s="48" t="n">
        <f aca="false">I8+M8+Q8+U8+Y8+AC8+AG8+AK8+AO8+AS8</f>
        <v>10869.07</v>
      </c>
      <c r="F8" s="47" t="n">
        <f aca="false">ROUND(I7*(1+Sorted!$H$2),2)</f>
        <v>0</v>
      </c>
      <c r="G8" s="47" t="n">
        <f aca="false">MIN(F8,Sorted!$G$2)</f>
        <v>0</v>
      </c>
      <c r="H8" s="47" t="n">
        <f aca="false">MAX(0,MIN(F8-G8,$C8-(0)))</f>
        <v>0</v>
      </c>
      <c r="I8" s="47" t="n">
        <f aca="false">ROUND(F8-G8-H8,2)</f>
        <v>0</v>
      </c>
      <c r="J8" s="47" t="n">
        <f aca="false">ROUND(M7*(1+Sorted!$H$3),2)</f>
        <v>1283.35</v>
      </c>
      <c r="K8" s="47" t="n">
        <f aca="false">MIN(J8,Sorted!$G$3)</f>
        <v>55</v>
      </c>
      <c r="L8" s="47" t="n">
        <f aca="false">MAX(0,MIN(J8-K8,$C8-(H8)))</f>
        <v>260</v>
      </c>
      <c r="M8" s="47" t="n">
        <f aca="false">ROUND(J8-K8-L8,2)</f>
        <v>968.35</v>
      </c>
      <c r="N8" s="47" t="n">
        <f aca="false">ROUND(Q7*(1+Sorted!$H$4),2)</f>
        <v>3459.34</v>
      </c>
      <c r="O8" s="47" t="n">
        <f aca="false">MIN(N8,Sorted!$G$4)</f>
        <v>240</v>
      </c>
      <c r="P8" s="47" t="n">
        <f aca="false">MAX(0,MIN(N8-O8,$C8-(H8+L8)))</f>
        <v>0</v>
      </c>
      <c r="Q8" s="47" t="n">
        <f aca="false">ROUND(N8-O8-P8,2)</f>
        <v>3219.34</v>
      </c>
      <c r="R8" s="47" t="n">
        <f aca="false">ROUND(U7*(1+Sorted!$H$5),2)</f>
        <v>6856.38</v>
      </c>
      <c r="S8" s="47" t="n">
        <f aca="false">MIN(R8,Sorted!$G$5)</f>
        <v>175</v>
      </c>
      <c r="T8" s="47" t="n">
        <f aca="false">MAX(0,MIN(R8-S8,$C8-(H8+L8+P8)))</f>
        <v>0</v>
      </c>
      <c r="U8" s="47" t="n">
        <f aca="false">ROUND(R8-S8-T8,2)</f>
        <v>6681.38</v>
      </c>
      <c r="V8" s="47" t="n">
        <f aca="false">ROUND(Y7*(1+Sorted!$H$6),2)</f>
        <v>0</v>
      </c>
      <c r="W8" s="47" t="n">
        <f aca="false">MIN(V8,Sorted!$G$6)</f>
        <v>0</v>
      </c>
      <c r="X8" s="47" t="n">
        <f aca="false">MAX(0,MIN(V8-W8,$C8-(H8+L8+P8+T8)))</f>
        <v>0</v>
      </c>
      <c r="Y8" s="47" t="n">
        <f aca="false">ROUND(V8-W8-X8,2)</f>
        <v>0</v>
      </c>
      <c r="Z8" s="47" t="n">
        <f aca="false">ROUND(AC7*(1+Sorted!$H$7),2)</f>
        <v>0</v>
      </c>
      <c r="AA8" s="47" t="n">
        <f aca="false">MIN(Z8,Sorted!$G$7)</f>
        <v>0</v>
      </c>
      <c r="AB8" s="47" t="n">
        <f aca="false">MAX(0,MIN(Z8-AA8,$C8-(H8+L8+P8+T8+X8)))</f>
        <v>0</v>
      </c>
      <c r="AC8" s="47" t="n">
        <f aca="false">ROUND(Z8-AA8-AB8,2)</f>
        <v>0</v>
      </c>
      <c r="AD8" s="47" t="n">
        <f aca="false">ROUND(AG7*(1+Sorted!$H$8),2)</f>
        <v>0</v>
      </c>
      <c r="AE8" s="47" t="n">
        <f aca="false">MIN(AD8,Sorted!$G$8)</f>
        <v>0</v>
      </c>
      <c r="AF8" s="47" t="n">
        <f aca="false">MAX(0,MIN(AD8-AE8,$C8-(H8+L8+P8+T8+X8+AB8)))</f>
        <v>0</v>
      </c>
      <c r="AG8" s="47" t="n">
        <f aca="false">ROUND(AD8-AE8-AF8,2)</f>
        <v>0</v>
      </c>
      <c r="AH8" s="47" t="n">
        <f aca="false">ROUND(AK7*(1+Sorted!$H$9),2)</f>
        <v>0</v>
      </c>
      <c r="AI8" s="47" t="n">
        <f aca="false">MIN(AH8,Sorted!$G$9)</f>
        <v>0</v>
      </c>
      <c r="AJ8" s="47" t="n">
        <f aca="false">MAX(0,MIN(AH8-AI8,$C8-(H8+L8+P8+T8+X8+AB8+AF8)))</f>
        <v>0</v>
      </c>
      <c r="AK8" s="47" t="n">
        <f aca="false">ROUND(AH8-AI8-AJ8,2)</f>
        <v>0</v>
      </c>
      <c r="AL8" s="47" t="n">
        <f aca="false">ROUND(AO7*(1+Sorted!$H$10),2)</f>
        <v>0</v>
      </c>
      <c r="AM8" s="47" t="n">
        <f aca="false">MIN(AL8,Sorted!$G$10)</f>
        <v>0</v>
      </c>
      <c r="AN8" s="47" t="n">
        <f aca="false">MAX(0,MIN(AL8-AM8,$C8-(H8+L8+P8+T8+X8+AB8+AF8+AJ8)))</f>
        <v>0</v>
      </c>
      <c r="AO8" s="47" t="n">
        <f aca="false">ROUND(AL8-AM8-AN8,2)</f>
        <v>0</v>
      </c>
      <c r="AP8" s="47" t="n">
        <f aca="false">ROUND(AS7*(1+Sorted!$H$11),2)</f>
        <v>0</v>
      </c>
      <c r="AQ8" s="47" t="n">
        <f aca="false">MIN(AP8,Sorted!$G$11)</f>
        <v>0</v>
      </c>
      <c r="AR8" s="47" t="n">
        <f aca="false">MAX(0,MIN(AP8-AQ8,$C8-(H8+L8+P8+T8+X8+AB8+AF8+AJ8+AN8)))</f>
        <v>0</v>
      </c>
      <c r="AS8" s="47" t="n">
        <f aca="false">ROUND(AP8-AQ8-AR8,2)</f>
        <v>0</v>
      </c>
    </row>
    <row r="9" customFormat="false" ht="15" hidden="false" customHeight="false" outlineLevel="0" collapsed="false">
      <c r="A9" s="45" t="n">
        <v>6</v>
      </c>
      <c r="B9" s="46" t="n">
        <f aca="false">EDATE('My Debts'!$C$7,A9-1)</f>
        <v>46478</v>
      </c>
      <c r="C9" s="47" t="n">
        <f aca="false">MAX(0,'My Debts'!$E$6-(G9+K9+O9+S9+W9+AA9+AE9+AI9+AM9+AQ9))</f>
        <v>260</v>
      </c>
      <c r="D9" s="47" t="n">
        <f aca="false">(F9+J9+N9+R9+V9+Z9+AD9+AH9+AL9+AP9)-(I9+M9+Q9+U9+Y9+AC9+AG9+AK9+AO9+AS9)</f>
        <v>730</v>
      </c>
      <c r="E9" s="48" t="n">
        <f aca="false">I9+M9+Q9+U9+Y9+AC9+AG9+AK9+AO9+AS9</f>
        <v>10322.26</v>
      </c>
      <c r="F9" s="47" t="n">
        <f aca="false">ROUND(I8*(1+Sorted!$H$2),2)</f>
        <v>0</v>
      </c>
      <c r="G9" s="47" t="n">
        <f aca="false">MIN(F9,Sorted!$G$2)</f>
        <v>0</v>
      </c>
      <c r="H9" s="47" t="n">
        <f aca="false">MAX(0,MIN(F9-G9,$C9-(0)))</f>
        <v>0</v>
      </c>
      <c r="I9" s="47" t="n">
        <f aca="false">ROUND(F9-G9-H9,2)</f>
        <v>0</v>
      </c>
      <c r="J9" s="47" t="n">
        <f aca="false">ROUND(M8*(1+Sorted!$H$3),2)</f>
        <v>992.55</v>
      </c>
      <c r="K9" s="47" t="n">
        <f aca="false">MIN(J9,Sorted!$G$3)</f>
        <v>55</v>
      </c>
      <c r="L9" s="47" t="n">
        <f aca="false">MAX(0,MIN(J9-K9,$C9-(H9)))</f>
        <v>260</v>
      </c>
      <c r="M9" s="47" t="n">
        <f aca="false">ROUND(J9-K9-L9,2)</f>
        <v>677.55</v>
      </c>
      <c r="N9" s="47" t="n">
        <f aca="false">ROUND(Q8*(1+Sorted!$H$4),2)</f>
        <v>3239.19</v>
      </c>
      <c r="O9" s="47" t="n">
        <f aca="false">MIN(N9,Sorted!$G$4)</f>
        <v>240</v>
      </c>
      <c r="P9" s="47" t="n">
        <f aca="false">MAX(0,MIN(N9-O9,$C9-(H9+L9)))</f>
        <v>0</v>
      </c>
      <c r="Q9" s="47" t="n">
        <f aca="false">ROUND(N9-O9-P9,2)</f>
        <v>2999.19</v>
      </c>
      <c r="R9" s="47" t="n">
        <f aca="false">ROUND(U8*(1+Sorted!$H$5),2)</f>
        <v>6820.52</v>
      </c>
      <c r="S9" s="47" t="n">
        <f aca="false">MIN(R9,Sorted!$G$5)</f>
        <v>175</v>
      </c>
      <c r="T9" s="47" t="n">
        <f aca="false">MAX(0,MIN(R9-S9,$C9-(H9+L9+P9)))</f>
        <v>0</v>
      </c>
      <c r="U9" s="47" t="n">
        <f aca="false">ROUND(R9-S9-T9,2)</f>
        <v>6645.52</v>
      </c>
      <c r="V9" s="47" t="n">
        <f aca="false">ROUND(Y8*(1+Sorted!$H$6),2)</f>
        <v>0</v>
      </c>
      <c r="W9" s="47" t="n">
        <f aca="false">MIN(V9,Sorted!$G$6)</f>
        <v>0</v>
      </c>
      <c r="X9" s="47" t="n">
        <f aca="false">MAX(0,MIN(V9-W9,$C9-(H9+L9+P9+T9)))</f>
        <v>0</v>
      </c>
      <c r="Y9" s="47" t="n">
        <f aca="false">ROUND(V9-W9-X9,2)</f>
        <v>0</v>
      </c>
      <c r="Z9" s="47" t="n">
        <f aca="false">ROUND(AC8*(1+Sorted!$H$7),2)</f>
        <v>0</v>
      </c>
      <c r="AA9" s="47" t="n">
        <f aca="false">MIN(Z9,Sorted!$G$7)</f>
        <v>0</v>
      </c>
      <c r="AB9" s="47" t="n">
        <f aca="false">MAX(0,MIN(Z9-AA9,$C9-(H9+L9+P9+T9+X9)))</f>
        <v>0</v>
      </c>
      <c r="AC9" s="47" t="n">
        <f aca="false">ROUND(Z9-AA9-AB9,2)</f>
        <v>0</v>
      </c>
      <c r="AD9" s="47" t="n">
        <f aca="false">ROUND(AG8*(1+Sorted!$H$8),2)</f>
        <v>0</v>
      </c>
      <c r="AE9" s="47" t="n">
        <f aca="false">MIN(AD9,Sorted!$G$8)</f>
        <v>0</v>
      </c>
      <c r="AF9" s="47" t="n">
        <f aca="false">MAX(0,MIN(AD9-AE9,$C9-(H9+L9+P9+T9+X9+AB9)))</f>
        <v>0</v>
      </c>
      <c r="AG9" s="47" t="n">
        <f aca="false">ROUND(AD9-AE9-AF9,2)</f>
        <v>0</v>
      </c>
      <c r="AH9" s="47" t="n">
        <f aca="false">ROUND(AK8*(1+Sorted!$H$9),2)</f>
        <v>0</v>
      </c>
      <c r="AI9" s="47" t="n">
        <f aca="false">MIN(AH9,Sorted!$G$9)</f>
        <v>0</v>
      </c>
      <c r="AJ9" s="47" t="n">
        <f aca="false">MAX(0,MIN(AH9-AI9,$C9-(H9+L9+P9+T9+X9+AB9+AF9)))</f>
        <v>0</v>
      </c>
      <c r="AK9" s="47" t="n">
        <f aca="false">ROUND(AH9-AI9-AJ9,2)</f>
        <v>0</v>
      </c>
      <c r="AL9" s="47" t="n">
        <f aca="false">ROUND(AO8*(1+Sorted!$H$10),2)</f>
        <v>0</v>
      </c>
      <c r="AM9" s="47" t="n">
        <f aca="false">MIN(AL9,Sorted!$G$10)</f>
        <v>0</v>
      </c>
      <c r="AN9" s="47" t="n">
        <f aca="false">MAX(0,MIN(AL9-AM9,$C9-(H9+L9+P9+T9+X9+AB9+AF9+AJ9)))</f>
        <v>0</v>
      </c>
      <c r="AO9" s="47" t="n">
        <f aca="false">ROUND(AL9-AM9-AN9,2)</f>
        <v>0</v>
      </c>
      <c r="AP9" s="47" t="n">
        <f aca="false">ROUND(AS8*(1+Sorted!$H$11),2)</f>
        <v>0</v>
      </c>
      <c r="AQ9" s="47" t="n">
        <f aca="false">MIN(AP9,Sorted!$G$11)</f>
        <v>0</v>
      </c>
      <c r="AR9" s="47" t="n">
        <f aca="false">MAX(0,MIN(AP9-AQ9,$C9-(H9+L9+P9+T9+X9+AB9+AF9+AJ9+AN9)))</f>
        <v>0</v>
      </c>
      <c r="AS9" s="47" t="n">
        <f aca="false">ROUND(AP9-AQ9-AR9,2)</f>
        <v>0</v>
      </c>
    </row>
    <row r="10" customFormat="false" ht="15" hidden="false" customHeight="false" outlineLevel="0" collapsed="false">
      <c r="A10" s="45" t="n">
        <v>7</v>
      </c>
      <c r="B10" s="46" t="n">
        <f aca="false">EDATE('My Debts'!$C$7,A10-1)</f>
        <v>46508</v>
      </c>
      <c r="C10" s="47" t="n">
        <f aca="false">MAX(0,'My Debts'!$E$6-(G10+K10+O10+S10+W10+AA10+AE10+AI10+AM10+AQ10))</f>
        <v>260</v>
      </c>
      <c r="D10" s="47" t="n">
        <f aca="false">(F10+J10+N10+R10+V10+Z10+AD10+AH10+AL10+AP10)-(I10+M10+Q10+U10+Y10+AC10+AG10+AK10+AO10+AS10)</f>
        <v>730</v>
      </c>
      <c r="E10" s="48" t="n">
        <f aca="false">I10+M10+Q10+U10+Y10+AC10+AG10+AK10+AO10+AS10</f>
        <v>9766.08</v>
      </c>
      <c r="F10" s="47" t="n">
        <f aca="false">ROUND(I9*(1+Sorted!$H$2),2)</f>
        <v>0</v>
      </c>
      <c r="G10" s="47" t="n">
        <f aca="false">MIN(F10,Sorted!$G$2)</f>
        <v>0</v>
      </c>
      <c r="H10" s="47" t="n">
        <f aca="false">MAX(0,MIN(F10-G10,$C10-(0)))</f>
        <v>0</v>
      </c>
      <c r="I10" s="47" t="n">
        <f aca="false">ROUND(F10-G10-H10,2)</f>
        <v>0</v>
      </c>
      <c r="J10" s="47" t="n">
        <f aca="false">ROUND(M9*(1+Sorted!$H$3),2)</f>
        <v>694.48</v>
      </c>
      <c r="K10" s="47" t="n">
        <f aca="false">MIN(J10,Sorted!$G$3)</f>
        <v>55</v>
      </c>
      <c r="L10" s="47" t="n">
        <f aca="false">MAX(0,MIN(J10-K10,$C10-(H10)))</f>
        <v>260</v>
      </c>
      <c r="M10" s="47" t="n">
        <f aca="false">ROUND(J10-K10-L10,2)</f>
        <v>379.48</v>
      </c>
      <c r="N10" s="47" t="n">
        <f aca="false">ROUND(Q9*(1+Sorted!$H$4),2)</f>
        <v>3017.69</v>
      </c>
      <c r="O10" s="47" t="n">
        <f aca="false">MIN(N10,Sorted!$G$4)</f>
        <v>240</v>
      </c>
      <c r="P10" s="47" t="n">
        <f aca="false">MAX(0,MIN(N10-O10,$C10-(H10+L10)))</f>
        <v>0</v>
      </c>
      <c r="Q10" s="47" t="n">
        <f aca="false">ROUND(N10-O10-P10,2)</f>
        <v>2777.69</v>
      </c>
      <c r="R10" s="47" t="n">
        <f aca="false">ROUND(U9*(1+Sorted!$H$5),2)</f>
        <v>6783.91</v>
      </c>
      <c r="S10" s="47" t="n">
        <f aca="false">MIN(R10,Sorted!$G$5)</f>
        <v>175</v>
      </c>
      <c r="T10" s="47" t="n">
        <f aca="false">MAX(0,MIN(R10-S10,$C10-(H10+L10+P10)))</f>
        <v>0</v>
      </c>
      <c r="U10" s="47" t="n">
        <f aca="false">ROUND(R10-S10-T10,2)</f>
        <v>6608.91</v>
      </c>
      <c r="V10" s="47" t="n">
        <f aca="false">ROUND(Y9*(1+Sorted!$H$6),2)</f>
        <v>0</v>
      </c>
      <c r="W10" s="47" t="n">
        <f aca="false">MIN(V10,Sorted!$G$6)</f>
        <v>0</v>
      </c>
      <c r="X10" s="47" t="n">
        <f aca="false">MAX(0,MIN(V10-W10,$C10-(H10+L10+P10+T10)))</f>
        <v>0</v>
      </c>
      <c r="Y10" s="47" t="n">
        <f aca="false">ROUND(V10-W10-X10,2)</f>
        <v>0</v>
      </c>
      <c r="Z10" s="47" t="n">
        <f aca="false">ROUND(AC9*(1+Sorted!$H$7),2)</f>
        <v>0</v>
      </c>
      <c r="AA10" s="47" t="n">
        <f aca="false">MIN(Z10,Sorted!$G$7)</f>
        <v>0</v>
      </c>
      <c r="AB10" s="47" t="n">
        <f aca="false">MAX(0,MIN(Z10-AA10,$C10-(H10+L10+P10+T10+X10)))</f>
        <v>0</v>
      </c>
      <c r="AC10" s="47" t="n">
        <f aca="false">ROUND(Z10-AA10-AB10,2)</f>
        <v>0</v>
      </c>
      <c r="AD10" s="47" t="n">
        <f aca="false">ROUND(AG9*(1+Sorted!$H$8),2)</f>
        <v>0</v>
      </c>
      <c r="AE10" s="47" t="n">
        <f aca="false">MIN(AD10,Sorted!$G$8)</f>
        <v>0</v>
      </c>
      <c r="AF10" s="47" t="n">
        <f aca="false">MAX(0,MIN(AD10-AE10,$C10-(H10+L10+P10+T10+X10+AB10)))</f>
        <v>0</v>
      </c>
      <c r="AG10" s="47" t="n">
        <f aca="false">ROUND(AD10-AE10-AF10,2)</f>
        <v>0</v>
      </c>
      <c r="AH10" s="47" t="n">
        <f aca="false">ROUND(AK9*(1+Sorted!$H$9),2)</f>
        <v>0</v>
      </c>
      <c r="AI10" s="47" t="n">
        <f aca="false">MIN(AH10,Sorted!$G$9)</f>
        <v>0</v>
      </c>
      <c r="AJ10" s="47" t="n">
        <f aca="false">MAX(0,MIN(AH10-AI10,$C10-(H10+L10+P10+T10+X10+AB10+AF10)))</f>
        <v>0</v>
      </c>
      <c r="AK10" s="47" t="n">
        <f aca="false">ROUND(AH10-AI10-AJ10,2)</f>
        <v>0</v>
      </c>
      <c r="AL10" s="47" t="n">
        <f aca="false">ROUND(AO9*(1+Sorted!$H$10),2)</f>
        <v>0</v>
      </c>
      <c r="AM10" s="47" t="n">
        <f aca="false">MIN(AL10,Sorted!$G$10)</f>
        <v>0</v>
      </c>
      <c r="AN10" s="47" t="n">
        <f aca="false">MAX(0,MIN(AL10-AM10,$C10-(H10+L10+P10+T10+X10+AB10+AF10+AJ10)))</f>
        <v>0</v>
      </c>
      <c r="AO10" s="47" t="n">
        <f aca="false">ROUND(AL10-AM10-AN10,2)</f>
        <v>0</v>
      </c>
      <c r="AP10" s="47" t="n">
        <f aca="false">ROUND(AS9*(1+Sorted!$H$11),2)</f>
        <v>0</v>
      </c>
      <c r="AQ10" s="47" t="n">
        <f aca="false">MIN(AP10,Sorted!$G$11)</f>
        <v>0</v>
      </c>
      <c r="AR10" s="47" t="n">
        <f aca="false">MAX(0,MIN(AP10-AQ10,$C10-(H10+L10+P10+T10+X10+AB10+AF10+AJ10+AN10)))</f>
        <v>0</v>
      </c>
      <c r="AS10" s="47" t="n">
        <f aca="false">ROUND(AP10-AQ10-AR10,2)</f>
        <v>0</v>
      </c>
    </row>
    <row r="11" customFormat="false" ht="15" hidden="false" customHeight="false" outlineLevel="0" collapsed="false">
      <c r="A11" s="45" t="n">
        <v>8</v>
      </c>
      <c r="B11" s="46" t="n">
        <f aca="false">EDATE('My Debts'!$C$7,A11-1)</f>
        <v>46539</v>
      </c>
      <c r="C11" s="47" t="n">
        <f aca="false">MAX(0,'My Debts'!$E$6-(G11+K11+O11+S11+W11+AA11+AE11+AI11+AM11+AQ11))</f>
        <v>260</v>
      </c>
      <c r="D11" s="47" t="n">
        <f aca="false">(F11+J11+N11+R11+V11+Z11+AD11+AH11+AL11+AP11)-(I11+M11+Q11+U11+Y11+AC11+AG11+AK11+AO11+AS11)</f>
        <v>730</v>
      </c>
      <c r="E11" s="48" t="n">
        <f aca="false">I11+M11+Q11+U11+Y11+AC11+AG11+AK11+AO11+AS11</f>
        <v>9200.32</v>
      </c>
      <c r="F11" s="47" t="n">
        <f aca="false">ROUND(I10*(1+Sorted!$H$2),2)</f>
        <v>0</v>
      </c>
      <c r="G11" s="47" t="n">
        <f aca="false">MIN(F11,Sorted!$G$2)</f>
        <v>0</v>
      </c>
      <c r="H11" s="47" t="n">
        <f aca="false">MAX(0,MIN(F11-G11,$C11-(0)))</f>
        <v>0</v>
      </c>
      <c r="I11" s="47" t="n">
        <f aca="false">ROUND(F11-G11-H11,2)</f>
        <v>0</v>
      </c>
      <c r="J11" s="47" t="n">
        <f aca="false">ROUND(M10*(1+Sorted!$H$3),2)</f>
        <v>388.96</v>
      </c>
      <c r="K11" s="47" t="n">
        <f aca="false">MIN(J11,Sorted!$G$3)</f>
        <v>55</v>
      </c>
      <c r="L11" s="47" t="n">
        <f aca="false">MAX(0,MIN(J11-K11,$C11-(H11)))</f>
        <v>260</v>
      </c>
      <c r="M11" s="47" t="n">
        <f aca="false">ROUND(J11-K11-L11,2)</f>
        <v>73.96</v>
      </c>
      <c r="N11" s="47" t="n">
        <f aca="false">ROUND(Q10*(1+Sorted!$H$4),2)</f>
        <v>2794.82</v>
      </c>
      <c r="O11" s="47" t="n">
        <f aca="false">MIN(N11,Sorted!$G$4)</f>
        <v>240</v>
      </c>
      <c r="P11" s="47" t="n">
        <f aca="false">MAX(0,MIN(N11-O11,$C11-(H11+L11)))</f>
        <v>0</v>
      </c>
      <c r="Q11" s="47" t="n">
        <f aca="false">ROUND(N11-O11-P11,2)</f>
        <v>2554.82</v>
      </c>
      <c r="R11" s="47" t="n">
        <f aca="false">ROUND(U10*(1+Sorted!$H$5),2)</f>
        <v>6746.54</v>
      </c>
      <c r="S11" s="47" t="n">
        <f aca="false">MIN(R11,Sorted!$G$5)</f>
        <v>175</v>
      </c>
      <c r="T11" s="47" t="n">
        <f aca="false">MAX(0,MIN(R11-S11,$C11-(H11+L11+P11)))</f>
        <v>0</v>
      </c>
      <c r="U11" s="47" t="n">
        <f aca="false">ROUND(R11-S11-T11,2)</f>
        <v>6571.54</v>
      </c>
      <c r="V11" s="47" t="n">
        <f aca="false">ROUND(Y10*(1+Sorted!$H$6),2)</f>
        <v>0</v>
      </c>
      <c r="W11" s="47" t="n">
        <f aca="false">MIN(V11,Sorted!$G$6)</f>
        <v>0</v>
      </c>
      <c r="X11" s="47" t="n">
        <f aca="false">MAX(0,MIN(V11-W11,$C11-(H11+L11+P11+T11)))</f>
        <v>0</v>
      </c>
      <c r="Y11" s="47" t="n">
        <f aca="false">ROUND(V11-W11-X11,2)</f>
        <v>0</v>
      </c>
      <c r="Z11" s="47" t="n">
        <f aca="false">ROUND(AC10*(1+Sorted!$H$7),2)</f>
        <v>0</v>
      </c>
      <c r="AA11" s="47" t="n">
        <f aca="false">MIN(Z11,Sorted!$G$7)</f>
        <v>0</v>
      </c>
      <c r="AB11" s="47" t="n">
        <f aca="false">MAX(0,MIN(Z11-AA11,$C11-(H11+L11+P11+T11+X11)))</f>
        <v>0</v>
      </c>
      <c r="AC11" s="47" t="n">
        <f aca="false">ROUND(Z11-AA11-AB11,2)</f>
        <v>0</v>
      </c>
      <c r="AD11" s="47" t="n">
        <f aca="false">ROUND(AG10*(1+Sorted!$H$8),2)</f>
        <v>0</v>
      </c>
      <c r="AE11" s="47" t="n">
        <f aca="false">MIN(AD11,Sorted!$G$8)</f>
        <v>0</v>
      </c>
      <c r="AF11" s="47" t="n">
        <f aca="false">MAX(0,MIN(AD11-AE11,$C11-(H11+L11+P11+T11+X11+AB11)))</f>
        <v>0</v>
      </c>
      <c r="AG11" s="47" t="n">
        <f aca="false">ROUND(AD11-AE11-AF11,2)</f>
        <v>0</v>
      </c>
      <c r="AH11" s="47" t="n">
        <f aca="false">ROUND(AK10*(1+Sorted!$H$9),2)</f>
        <v>0</v>
      </c>
      <c r="AI11" s="47" t="n">
        <f aca="false">MIN(AH11,Sorted!$G$9)</f>
        <v>0</v>
      </c>
      <c r="AJ11" s="47" t="n">
        <f aca="false">MAX(0,MIN(AH11-AI11,$C11-(H11+L11+P11+T11+X11+AB11+AF11)))</f>
        <v>0</v>
      </c>
      <c r="AK11" s="47" t="n">
        <f aca="false">ROUND(AH11-AI11-AJ11,2)</f>
        <v>0</v>
      </c>
      <c r="AL11" s="47" t="n">
        <f aca="false">ROUND(AO10*(1+Sorted!$H$10),2)</f>
        <v>0</v>
      </c>
      <c r="AM11" s="47" t="n">
        <f aca="false">MIN(AL11,Sorted!$G$10)</f>
        <v>0</v>
      </c>
      <c r="AN11" s="47" t="n">
        <f aca="false">MAX(0,MIN(AL11-AM11,$C11-(H11+L11+P11+T11+X11+AB11+AF11+AJ11)))</f>
        <v>0</v>
      </c>
      <c r="AO11" s="47" t="n">
        <f aca="false">ROUND(AL11-AM11-AN11,2)</f>
        <v>0</v>
      </c>
      <c r="AP11" s="47" t="n">
        <f aca="false">ROUND(AS10*(1+Sorted!$H$11),2)</f>
        <v>0</v>
      </c>
      <c r="AQ11" s="47" t="n">
        <f aca="false">MIN(AP11,Sorted!$G$11)</f>
        <v>0</v>
      </c>
      <c r="AR11" s="47" t="n">
        <f aca="false">MAX(0,MIN(AP11-AQ11,$C11-(H11+L11+P11+T11+X11+AB11+AF11+AJ11+AN11)))</f>
        <v>0</v>
      </c>
      <c r="AS11" s="47" t="n">
        <f aca="false">ROUND(AP11-AQ11-AR11,2)</f>
        <v>0</v>
      </c>
    </row>
    <row r="12" customFormat="false" ht="15" hidden="false" customHeight="false" outlineLevel="0" collapsed="false">
      <c r="A12" s="45" t="n">
        <v>9</v>
      </c>
      <c r="B12" s="46" t="n">
        <f aca="false">EDATE('My Debts'!$C$7,A12-1)</f>
        <v>46569</v>
      </c>
      <c r="C12" s="47" t="n">
        <f aca="false">MAX(0,'My Debts'!$E$6-(G12+K12+O12+S12+W12+AA12+AE12+AI12+AM12+AQ12))</f>
        <v>260</v>
      </c>
      <c r="D12" s="47" t="n">
        <f aca="false">(F12+J12+N12+R12+V12+Z12+AD12+AH12+AL12+AP12)-(I12+M12+Q12+U12+Y12+AC12+AG12+AK12+AO12+AS12)</f>
        <v>730</v>
      </c>
      <c r="E12" s="48" t="n">
        <f aca="false">I12+M12+Q12+U12+Y12+AC12+AG12+AK12+AO12+AS12</f>
        <v>8624.77</v>
      </c>
      <c r="F12" s="47" t="n">
        <f aca="false">ROUND(I11*(1+Sorted!$H$2),2)</f>
        <v>0</v>
      </c>
      <c r="G12" s="47" t="n">
        <f aca="false">MIN(F12,Sorted!$G$2)</f>
        <v>0</v>
      </c>
      <c r="H12" s="47" t="n">
        <f aca="false">MAX(0,MIN(F12-G12,$C12-(0)))</f>
        <v>0</v>
      </c>
      <c r="I12" s="47" t="n">
        <f aca="false">ROUND(F12-G12-H12,2)</f>
        <v>0</v>
      </c>
      <c r="J12" s="47" t="n">
        <f aca="false">ROUND(M11*(1+Sorted!$H$3),2)</f>
        <v>75.81</v>
      </c>
      <c r="K12" s="47" t="n">
        <f aca="false">MIN(J12,Sorted!$G$3)</f>
        <v>55</v>
      </c>
      <c r="L12" s="47" t="n">
        <f aca="false">MAX(0,MIN(J12-K12,$C12-(H12)))</f>
        <v>20.81</v>
      </c>
      <c r="M12" s="47" t="n">
        <f aca="false">ROUND(J12-K12-L12,2)</f>
        <v>0</v>
      </c>
      <c r="N12" s="47" t="n">
        <f aca="false">ROUND(Q11*(1+Sorted!$H$4),2)</f>
        <v>2570.57</v>
      </c>
      <c r="O12" s="47" t="n">
        <f aca="false">MIN(N12,Sorted!$G$4)</f>
        <v>240</v>
      </c>
      <c r="P12" s="47" t="n">
        <f aca="false">MAX(0,MIN(N12-O12,$C12-(H12+L12)))</f>
        <v>239.19</v>
      </c>
      <c r="Q12" s="47" t="n">
        <f aca="false">ROUND(N12-O12-P12,2)</f>
        <v>2091.38</v>
      </c>
      <c r="R12" s="47" t="n">
        <f aca="false">ROUND(U11*(1+Sorted!$H$5),2)</f>
        <v>6708.39</v>
      </c>
      <c r="S12" s="47" t="n">
        <f aca="false">MIN(R12,Sorted!$G$5)</f>
        <v>175</v>
      </c>
      <c r="T12" s="47" t="n">
        <f aca="false">MAX(0,MIN(R12-S12,$C12-(H12+L12+P12)))</f>
        <v>0</v>
      </c>
      <c r="U12" s="47" t="n">
        <f aca="false">ROUND(R12-S12-T12,2)</f>
        <v>6533.39</v>
      </c>
      <c r="V12" s="47" t="n">
        <f aca="false">ROUND(Y11*(1+Sorted!$H$6),2)</f>
        <v>0</v>
      </c>
      <c r="W12" s="47" t="n">
        <f aca="false">MIN(V12,Sorted!$G$6)</f>
        <v>0</v>
      </c>
      <c r="X12" s="47" t="n">
        <f aca="false">MAX(0,MIN(V12-W12,$C12-(H12+L12+P12+T12)))</f>
        <v>0</v>
      </c>
      <c r="Y12" s="47" t="n">
        <f aca="false">ROUND(V12-W12-X12,2)</f>
        <v>0</v>
      </c>
      <c r="Z12" s="47" t="n">
        <f aca="false">ROUND(AC11*(1+Sorted!$H$7),2)</f>
        <v>0</v>
      </c>
      <c r="AA12" s="47" t="n">
        <f aca="false">MIN(Z12,Sorted!$G$7)</f>
        <v>0</v>
      </c>
      <c r="AB12" s="47" t="n">
        <f aca="false">MAX(0,MIN(Z12-AA12,$C12-(H12+L12+P12+T12+X12)))</f>
        <v>0</v>
      </c>
      <c r="AC12" s="47" t="n">
        <f aca="false">ROUND(Z12-AA12-AB12,2)</f>
        <v>0</v>
      </c>
      <c r="AD12" s="47" t="n">
        <f aca="false">ROUND(AG11*(1+Sorted!$H$8),2)</f>
        <v>0</v>
      </c>
      <c r="AE12" s="47" t="n">
        <f aca="false">MIN(AD12,Sorted!$G$8)</f>
        <v>0</v>
      </c>
      <c r="AF12" s="47" t="n">
        <f aca="false">MAX(0,MIN(AD12-AE12,$C12-(H12+L12+P12+T12+X12+AB12)))</f>
        <v>0</v>
      </c>
      <c r="AG12" s="47" t="n">
        <f aca="false">ROUND(AD12-AE12-AF12,2)</f>
        <v>0</v>
      </c>
      <c r="AH12" s="47" t="n">
        <f aca="false">ROUND(AK11*(1+Sorted!$H$9),2)</f>
        <v>0</v>
      </c>
      <c r="AI12" s="47" t="n">
        <f aca="false">MIN(AH12,Sorted!$G$9)</f>
        <v>0</v>
      </c>
      <c r="AJ12" s="47" t="n">
        <f aca="false">MAX(0,MIN(AH12-AI12,$C12-(H12+L12+P12+T12+X12+AB12+AF12)))</f>
        <v>0</v>
      </c>
      <c r="AK12" s="47" t="n">
        <f aca="false">ROUND(AH12-AI12-AJ12,2)</f>
        <v>0</v>
      </c>
      <c r="AL12" s="47" t="n">
        <f aca="false">ROUND(AO11*(1+Sorted!$H$10),2)</f>
        <v>0</v>
      </c>
      <c r="AM12" s="47" t="n">
        <f aca="false">MIN(AL12,Sorted!$G$10)</f>
        <v>0</v>
      </c>
      <c r="AN12" s="47" t="n">
        <f aca="false">MAX(0,MIN(AL12-AM12,$C12-(H12+L12+P12+T12+X12+AB12+AF12+AJ12)))</f>
        <v>0</v>
      </c>
      <c r="AO12" s="47" t="n">
        <f aca="false">ROUND(AL12-AM12-AN12,2)</f>
        <v>0</v>
      </c>
      <c r="AP12" s="47" t="n">
        <f aca="false">ROUND(AS11*(1+Sorted!$H$11),2)</f>
        <v>0</v>
      </c>
      <c r="AQ12" s="47" t="n">
        <f aca="false">MIN(AP12,Sorted!$G$11)</f>
        <v>0</v>
      </c>
      <c r="AR12" s="47" t="n">
        <f aca="false">MAX(0,MIN(AP12-AQ12,$C12-(H12+L12+P12+T12+X12+AB12+AF12+AJ12+AN12)))</f>
        <v>0</v>
      </c>
      <c r="AS12" s="47" t="n">
        <f aca="false">ROUND(AP12-AQ12-AR12,2)</f>
        <v>0</v>
      </c>
    </row>
    <row r="13" customFormat="false" ht="15" hidden="false" customHeight="false" outlineLevel="0" collapsed="false">
      <c r="A13" s="45" t="n">
        <v>10</v>
      </c>
      <c r="B13" s="46" t="n">
        <f aca="false">EDATE('My Debts'!$C$7,A13-1)</f>
        <v>46600</v>
      </c>
      <c r="C13" s="47" t="n">
        <f aca="false">MAX(0,'My Debts'!$E$6-(G13+K13+O13+S13+W13+AA13+AE13+AI13+AM13+AQ13))</f>
        <v>315</v>
      </c>
      <c r="D13" s="47" t="n">
        <f aca="false">(F13+J13+N13+R13+V13+Z13+AD13+AH13+AL13+AP13)-(I13+M13+Q13+U13+Y13+AC13+AG13+AK13+AO13+AS13)</f>
        <v>730</v>
      </c>
      <c r="E13" s="48" t="n">
        <f aca="false">I13+M13+Q13+U13+Y13+AC13+AG13+AK13+AO13+AS13</f>
        <v>8043.73</v>
      </c>
      <c r="F13" s="47" t="n">
        <f aca="false">ROUND(I12*(1+Sorted!$H$2),2)</f>
        <v>0</v>
      </c>
      <c r="G13" s="47" t="n">
        <f aca="false">MIN(F13,Sorted!$G$2)</f>
        <v>0</v>
      </c>
      <c r="H13" s="47" t="n">
        <f aca="false">MAX(0,MIN(F13-G13,$C13-(0)))</f>
        <v>0</v>
      </c>
      <c r="I13" s="47" t="n">
        <f aca="false">ROUND(F13-G13-H13,2)</f>
        <v>0</v>
      </c>
      <c r="J13" s="47" t="n">
        <f aca="false">ROUND(M12*(1+Sorted!$H$3),2)</f>
        <v>0</v>
      </c>
      <c r="K13" s="47" t="n">
        <f aca="false">MIN(J13,Sorted!$G$3)</f>
        <v>0</v>
      </c>
      <c r="L13" s="47" t="n">
        <f aca="false">MAX(0,MIN(J13-K13,$C13-(H13)))</f>
        <v>0</v>
      </c>
      <c r="M13" s="47" t="n">
        <f aca="false">ROUND(J13-K13-L13,2)</f>
        <v>0</v>
      </c>
      <c r="N13" s="47" t="n">
        <f aca="false">ROUND(Q12*(1+Sorted!$H$4),2)</f>
        <v>2104.28</v>
      </c>
      <c r="O13" s="47" t="n">
        <f aca="false">MIN(N13,Sorted!$G$4)</f>
        <v>240</v>
      </c>
      <c r="P13" s="47" t="n">
        <f aca="false">MAX(0,MIN(N13-O13,$C13-(H13+L13)))</f>
        <v>315</v>
      </c>
      <c r="Q13" s="47" t="n">
        <f aca="false">ROUND(N13-O13-P13,2)</f>
        <v>1549.28</v>
      </c>
      <c r="R13" s="47" t="n">
        <f aca="false">ROUND(U12*(1+Sorted!$H$5),2)</f>
        <v>6669.45</v>
      </c>
      <c r="S13" s="47" t="n">
        <f aca="false">MIN(R13,Sorted!$G$5)</f>
        <v>175</v>
      </c>
      <c r="T13" s="47" t="n">
        <f aca="false">MAX(0,MIN(R13-S13,$C13-(H13+L13+P13)))</f>
        <v>0</v>
      </c>
      <c r="U13" s="47" t="n">
        <f aca="false">ROUND(R13-S13-T13,2)</f>
        <v>6494.45</v>
      </c>
      <c r="V13" s="47" t="n">
        <f aca="false">ROUND(Y12*(1+Sorted!$H$6),2)</f>
        <v>0</v>
      </c>
      <c r="W13" s="47" t="n">
        <f aca="false">MIN(V13,Sorted!$G$6)</f>
        <v>0</v>
      </c>
      <c r="X13" s="47" t="n">
        <f aca="false">MAX(0,MIN(V13-W13,$C13-(H13+L13+P13+T13)))</f>
        <v>0</v>
      </c>
      <c r="Y13" s="47" t="n">
        <f aca="false">ROUND(V13-W13-X13,2)</f>
        <v>0</v>
      </c>
      <c r="Z13" s="47" t="n">
        <f aca="false">ROUND(AC12*(1+Sorted!$H$7),2)</f>
        <v>0</v>
      </c>
      <c r="AA13" s="47" t="n">
        <f aca="false">MIN(Z13,Sorted!$G$7)</f>
        <v>0</v>
      </c>
      <c r="AB13" s="47" t="n">
        <f aca="false">MAX(0,MIN(Z13-AA13,$C13-(H13+L13+P13+T13+X13)))</f>
        <v>0</v>
      </c>
      <c r="AC13" s="47" t="n">
        <f aca="false">ROUND(Z13-AA13-AB13,2)</f>
        <v>0</v>
      </c>
      <c r="AD13" s="47" t="n">
        <f aca="false">ROUND(AG12*(1+Sorted!$H$8),2)</f>
        <v>0</v>
      </c>
      <c r="AE13" s="47" t="n">
        <f aca="false">MIN(AD13,Sorted!$G$8)</f>
        <v>0</v>
      </c>
      <c r="AF13" s="47" t="n">
        <f aca="false">MAX(0,MIN(AD13-AE13,$C13-(H13+L13+P13+T13+X13+AB13)))</f>
        <v>0</v>
      </c>
      <c r="AG13" s="47" t="n">
        <f aca="false">ROUND(AD13-AE13-AF13,2)</f>
        <v>0</v>
      </c>
      <c r="AH13" s="47" t="n">
        <f aca="false">ROUND(AK12*(1+Sorted!$H$9),2)</f>
        <v>0</v>
      </c>
      <c r="AI13" s="47" t="n">
        <f aca="false">MIN(AH13,Sorted!$G$9)</f>
        <v>0</v>
      </c>
      <c r="AJ13" s="47" t="n">
        <f aca="false">MAX(0,MIN(AH13-AI13,$C13-(H13+L13+P13+T13+X13+AB13+AF13)))</f>
        <v>0</v>
      </c>
      <c r="AK13" s="47" t="n">
        <f aca="false">ROUND(AH13-AI13-AJ13,2)</f>
        <v>0</v>
      </c>
      <c r="AL13" s="47" t="n">
        <f aca="false">ROUND(AO12*(1+Sorted!$H$10),2)</f>
        <v>0</v>
      </c>
      <c r="AM13" s="47" t="n">
        <f aca="false">MIN(AL13,Sorted!$G$10)</f>
        <v>0</v>
      </c>
      <c r="AN13" s="47" t="n">
        <f aca="false">MAX(0,MIN(AL13-AM13,$C13-(H13+L13+P13+T13+X13+AB13+AF13+AJ13)))</f>
        <v>0</v>
      </c>
      <c r="AO13" s="47" t="n">
        <f aca="false">ROUND(AL13-AM13-AN13,2)</f>
        <v>0</v>
      </c>
      <c r="AP13" s="47" t="n">
        <f aca="false">ROUND(AS12*(1+Sorted!$H$11),2)</f>
        <v>0</v>
      </c>
      <c r="AQ13" s="47" t="n">
        <f aca="false">MIN(AP13,Sorted!$G$11)</f>
        <v>0</v>
      </c>
      <c r="AR13" s="47" t="n">
        <f aca="false">MAX(0,MIN(AP13-AQ13,$C13-(H13+L13+P13+T13+X13+AB13+AF13+AJ13+AN13)))</f>
        <v>0</v>
      </c>
      <c r="AS13" s="47" t="n">
        <f aca="false">ROUND(AP13-AQ13-AR13,2)</f>
        <v>0</v>
      </c>
    </row>
    <row r="14" customFormat="false" ht="15" hidden="false" customHeight="false" outlineLevel="0" collapsed="false">
      <c r="A14" s="45" t="n">
        <v>11</v>
      </c>
      <c r="B14" s="46" t="n">
        <f aca="false">EDATE('My Debts'!$C$7,A14-1)</f>
        <v>46631</v>
      </c>
      <c r="C14" s="47" t="n">
        <f aca="false">MAX(0,'My Debts'!$E$6-(G14+K14+O14+S14+W14+AA14+AE14+AI14+AM14+AQ14))</f>
        <v>315</v>
      </c>
      <c r="D14" s="47" t="n">
        <f aca="false">(F14+J14+N14+R14+V14+Z14+AD14+AH14+AL14+AP14)-(I14+M14+Q14+U14+Y14+AC14+AG14+AK14+AO14+AS14)</f>
        <v>730</v>
      </c>
      <c r="E14" s="48" t="n">
        <f aca="false">I14+M14+Q14+U14+Y14+AC14+AG14+AK14+AO14+AS14</f>
        <v>7458.53</v>
      </c>
      <c r="F14" s="47" t="n">
        <f aca="false">ROUND(I13*(1+Sorted!$H$2),2)</f>
        <v>0</v>
      </c>
      <c r="G14" s="47" t="n">
        <f aca="false">MIN(F14,Sorted!$G$2)</f>
        <v>0</v>
      </c>
      <c r="H14" s="47" t="n">
        <f aca="false">MAX(0,MIN(F14-G14,$C14-(0)))</f>
        <v>0</v>
      </c>
      <c r="I14" s="47" t="n">
        <f aca="false">ROUND(F14-G14-H14,2)</f>
        <v>0</v>
      </c>
      <c r="J14" s="47" t="n">
        <f aca="false">ROUND(M13*(1+Sorted!$H$3),2)</f>
        <v>0</v>
      </c>
      <c r="K14" s="47" t="n">
        <f aca="false">MIN(J14,Sorted!$G$3)</f>
        <v>0</v>
      </c>
      <c r="L14" s="47" t="n">
        <f aca="false">MAX(0,MIN(J14-K14,$C14-(H14)))</f>
        <v>0</v>
      </c>
      <c r="M14" s="47" t="n">
        <f aca="false">ROUND(J14-K14-L14,2)</f>
        <v>0</v>
      </c>
      <c r="N14" s="47" t="n">
        <f aca="false">ROUND(Q13*(1+Sorted!$H$4),2)</f>
        <v>1558.83</v>
      </c>
      <c r="O14" s="47" t="n">
        <f aca="false">MIN(N14,Sorted!$G$4)</f>
        <v>240</v>
      </c>
      <c r="P14" s="47" t="n">
        <f aca="false">MAX(0,MIN(N14-O14,$C14-(H14+L14)))</f>
        <v>315</v>
      </c>
      <c r="Q14" s="47" t="n">
        <f aca="false">ROUND(N14-O14-P14,2)</f>
        <v>1003.83</v>
      </c>
      <c r="R14" s="47" t="n">
        <f aca="false">ROUND(U13*(1+Sorted!$H$5),2)</f>
        <v>6629.7</v>
      </c>
      <c r="S14" s="47" t="n">
        <f aca="false">MIN(R14,Sorted!$G$5)</f>
        <v>175</v>
      </c>
      <c r="T14" s="47" t="n">
        <f aca="false">MAX(0,MIN(R14-S14,$C14-(H14+L14+P14)))</f>
        <v>0</v>
      </c>
      <c r="U14" s="47" t="n">
        <f aca="false">ROUND(R14-S14-T14,2)</f>
        <v>6454.7</v>
      </c>
      <c r="V14" s="47" t="n">
        <f aca="false">ROUND(Y13*(1+Sorted!$H$6),2)</f>
        <v>0</v>
      </c>
      <c r="W14" s="47" t="n">
        <f aca="false">MIN(V14,Sorted!$G$6)</f>
        <v>0</v>
      </c>
      <c r="X14" s="47" t="n">
        <f aca="false">MAX(0,MIN(V14-W14,$C14-(H14+L14+P14+T14)))</f>
        <v>0</v>
      </c>
      <c r="Y14" s="47" t="n">
        <f aca="false">ROUND(V14-W14-X14,2)</f>
        <v>0</v>
      </c>
      <c r="Z14" s="47" t="n">
        <f aca="false">ROUND(AC13*(1+Sorted!$H$7),2)</f>
        <v>0</v>
      </c>
      <c r="AA14" s="47" t="n">
        <f aca="false">MIN(Z14,Sorted!$G$7)</f>
        <v>0</v>
      </c>
      <c r="AB14" s="47" t="n">
        <f aca="false">MAX(0,MIN(Z14-AA14,$C14-(H14+L14+P14+T14+X14)))</f>
        <v>0</v>
      </c>
      <c r="AC14" s="47" t="n">
        <f aca="false">ROUND(Z14-AA14-AB14,2)</f>
        <v>0</v>
      </c>
      <c r="AD14" s="47" t="n">
        <f aca="false">ROUND(AG13*(1+Sorted!$H$8),2)</f>
        <v>0</v>
      </c>
      <c r="AE14" s="47" t="n">
        <f aca="false">MIN(AD14,Sorted!$G$8)</f>
        <v>0</v>
      </c>
      <c r="AF14" s="47" t="n">
        <f aca="false">MAX(0,MIN(AD14-AE14,$C14-(H14+L14+P14+T14+X14+AB14)))</f>
        <v>0</v>
      </c>
      <c r="AG14" s="47" t="n">
        <f aca="false">ROUND(AD14-AE14-AF14,2)</f>
        <v>0</v>
      </c>
      <c r="AH14" s="47" t="n">
        <f aca="false">ROUND(AK13*(1+Sorted!$H$9),2)</f>
        <v>0</v>
      </c>
      <c r="AI14" s="47" t="n">
        <f aca="false">MIN(AH14,Sorted!$G$9)</f>
        <v>0</v>
      </c>
      <c r="AJ14" s="47" t="n">
        <f aca="false">MAX(0,MIN(AH14-AI14,$C14-(H14+L14+P14+T14+X14+AB14+AF14)))</f>
        <v>0</v>
      </c>
      <c r="AK14" s="47" t="n">
        <f aca="false">ROUND(AH14-AI14-AJ14,2)</f>
        <v>0</v>
      </c>
      <c r="AL14" s="47" t="n">
        <f aca="false">ROUND(AO13*(1+Sorted!$H$10),2)</f>
        <v>0</v>
      </c>
      <c r="AM14" s="47" t="n">
        <f aca="false">MIN(AL14,Sorted!$G$10)</f>
        <v>0</v>
      </c>
      <c r="AN14" s="47" t="n">
        <f aca="false">MAX(0,MIN(AL14-AM14,$C14-(H14+L14+P14+T14+X14+AB14+AF14+AJ14)))</f>
        <v>0</v>
      </c>
      <c r="AO14" s="47" t="n">
        <f aca="false">ROUND(AL14-AM14-AN14,2)</f>
        <v>0</v>
      </c>
      <c r="AP14" s="47" t="n">
        <f aca="false">ROUND(AS13*(1+Sorted!$H$11),2)</f>
        <v>0</v>
      </c>
      <c r="AQ14" s="47" t="n">
        <f aca="false">MIN(AP14,Sorted!$G$11)</f>
        <v>0</v>
      </c>
      <c r="AR14" s="47" t="n">
        <f aca="false">MAX(0,MIN(AP14-AQ14,$C14-(H14+L14+P14+T14+X14+AB14+AF14+AJ14+AN14)))</f>
        <v>0</v>
      </c>
      <c r="AS14" s="47" t="n">
        <f aca="false">ROUND(AP14-AQ14-AR14,2)</f>
        <v>0</v>
      </c>
    </row>
    <row r="15" customFormat="false" ht="15" hidden="false" customHeight="false" outlineLevel="0" collapsed="false">
      <c r="A15" s="45" t="n">
        <v>12</v>
      </c>
      <c r="B15" s="46" t="n">
        <f aca="false">EDATE('My Debts'!$C$7,A15-1)</f>
        <v>46661</v>
      </c>
      <c r="C15" s="47" t="n">
        <f aca="false">MAX(0,'My Debts'!$E$6-(G15+K15+O15+S15+W15+AA15+AE15+AI15+AM15+AQ15))</f>
        <v>315</v>
      </c>
      <c r="D15" s="47" t="n">
        <f aca="false">(F15+J15+N15+R15+V15+Z15+AD15+AH15+AL15+AP15)-(I15+M15+Q15+U15+Y15+AC15+AG15+AK15+AO15+AS15)</f>
        <v>730</v>
      </c>
      <c r="E15" s="48" t="n">
        <f aca="false">I15+M15+Q15+U15+Y15+AC15+AG15+AK15+AO15+AS15</f>
        <v>6869.14</v>
      </c>
      <c r="F15" s="47" t="n">
        <f aca="false">ROUND(I14*(1+Sorted!$H$2),2)</f>
        <v>0</v>
      </c>
      <c r="G15" s="47" t="n">
        <f aca="false">MIN(F15,Sorted!$G$2)</f>
        <v>0</v>
      </c>
      <c r="H15" s="47" t="n">
        <f aca="false">MAX(0,MIN(F15-G15,$C15-(0)))</f>
        <v>0</v>
      </c>
      <c r="I15" s="47" t="n">
        <f aca="false">ROUND(F15-G15-H15,2)</f>
        <v>0</v>
      </c>
      <c r="J15" s="47" t="n">
        <f aca="false">ROUND(M14*(1+Sorted!$H$3),2)</f>
        <v>0</v>
      </c>
      <c r="K15" s="47" t="n">
        <f aca="false">MIN(J15,Sorted!$G$3)</f>
        <v>0</v>
      </c>
      <c r="L15" s="47" t="n">
        <f aca="false">MAX(0,MIN(J15-K15,$C15-(H15)))</f>
        <v>0</v>
      </c>
      <c r="M15" s="47" t="n">
        <f aca="false">ROUND(J15-K15-L15,2)</f>
        <v>0</v>
      </c>
      <c r="N15" s="47" t="n">
        <f aca="false">ROUND(Q14*(1+Sorted!$H$4),2)</f>
        <v>1010.02</v>
      </c>
      <c r="O15" s="47" t="n">
        <f aca="false">MIN(N15,Sorted!$G$4)</f>
        <v>240</v>
      </c>
      <c r="P15" s="47" t="n">
        <f aca="false">MAX(0,MIN(N15-O15,$C15-(H15+L15)))</f>
        <v>315</v>
      </c>
      <c r="Q15" s="47" t="n">
        <f aca="false">ROUND(N15-O15-P15,2)</f>
        <v>455.02</v>
      </c>
      <c r="R15" s="47" t="n">
        <f aca="false">ROUND(U14*(1+Sorted!$H$5),2)</f>
        <v>6589.12</v>
      </c>
      <c r="S15" s="47" t="n">
        <f aca="false">MIN(R15,Sorted!$G$5)</f>
        <v>175</v>
      </c>
      <c r="T15" s="47" t="n">
        <f aca="false">MAX(0,MIN(R15-S15,$C15-(H15+L15+P15)))</f>
        <v>0</v>
      </c>
      <c r="U15" s="47" t="n">
        <f aca="false">ROUND(R15-S15-T15,2)</f>
        <v>6414.12</v>
      </c>
      <c r="V15" s="47" t="n">
        <f aca="false">ROUND(Y14*(1+Sorted!$H$6),2)</f>
        <v>0</v>
      </c>
      <c r="W15" s="47" t="n">
        <f aca="false">MIN(V15,Sorted!$G$6)</f>
        <v>0</v>
      </c>
      <c r="X15" s="47" t="n">
        <f aca="false">MAX(0,MIN(V15-W15,$C15-(H15+L15+P15+T15)))</f>
        <v>0</v>
      </c>
      <c r="Y15" s="47" t="n">
        <f aca="false">ROUND(V15-W15-X15,2)</f>
        <v>0</v>
      </c>
      <c r="Z15" s="47" t="n">
        <f aca="false">ROUND(AC14*(1+Sorted!$H$7),2)</f>
        <v>0</v>
      </c>
      <c r="AA15" s="47" t="n">
        <f aca="false">MIN(Z15,Sorted!$G$7)</f>
        <v>0</v>
      </c>
      <c r="AB15" s="47" t="n">
        <f aca="false">MAX(0,MIN(Z15-AA15,$C15-(H15+L15+P15+T15+X15)))</f>
        <v>0</v>
      </c>
      <c r="AC15" s="47" t="n">
        <f aca="false">ROUND(Z15-AA15-AB15,2)</f>
        <v>0</v>
      </c>
      <c r="AD15" s="47" t="n">
        <f aca="false">ROUND(AG14*(1+Sorted!$H$8),2)</f>
        <v>0</v>
      </c>
      <c r="AE15" s="47" t="n">
        <f aca="false">MIN(AD15,Sorted!$G$8)</f>
        <v>0</v>
      </c>
      <c r="AF15" s="47" t="n">
        <f aca="false">MAX(0,MIN(AD15-AE15,$C15-(H15+L15+P15+T15+X15+AB15)))</f>
        <v>0</v>
      </c>
      <c r="AG15" s="47" t="n">
        <f aca="false">ROUND(AD15-AE15-AF15,2)</f>
        <v>0</v>
      </c>
      <c r="AH15" s="47" t="n">
        <f aca="false">ROUND(AK14*(1+Sorted!$H$9),2)</f>
        <v>0</v>
      </c>
      <c r="AI15" s="47" t="n">
        <f aca="false">MIN(AH15,Sorted!$G$9)</f>
        <v>0</v>
      </c>
      <c r="AJ15" s="47" t="n">
        <f aca="false">MAX(0,MIN(AH15-AI15,$C15-(H15+L15+P15+T15+X15+AB15+AF15)))</f>
        <v>0</v>
      </c>
      <c r="AK15" s="47" t="n">
        <f aca="false">ROUND(AH15-AI15-AJ15,2)</f>
        <v>0</v>
      </c>
      <c r="AL15" s="47" t="n">
        <f aca="false">ROUND(AO14*(1+Sorted!$H$10),2)</f>
        <v>0</v>
      </c>
      <c r="AM15" s="47" t="n">
        <f aca="false">MIN(AL15,Sorted!$G$10)</f>
        <v>0</v>
      </c>
      <c r="AN15" s="47" t="n">
        <f aca="false">MAX(0,MIN(AL15-AM15,$C15-(H15+L15+P15+T15+X15+AB15+AF15+AJ15)))</f>
        <v>0</v>
      </c>
      <c r="AO15" s="47" t="n">
        <f aca="false">ROUND(AL15-AM15-AN15,2)</f>
        <v>0</v>
      </c>
      <c r="AP15" s="47" t="n">
        <f aca="false">ROUND(AS14*(1+Sorted!$H$11),2)</f>
        <v>0</v>
      </c>
      <c r="AQ15" s="47" t="n">
        <f aca="false">MIN(AP15,Sorted!$G$11)</f>
        <v>0</v>
      </c>
      <c r="AR15" s="47" t="n">
        <f aca="false">MAX(0,MIN(AP15-AQ15,$C15-(H15+L15+P15+T15+X15+AB15+AF15+AJ15+AN15)))</f>
        <v>0</v>
      </c>
      <c r="AS15" s="47" t="n">
        <f aca="false">ROUND(AP15-AQ15-AR15,2)</f>
        <v>0</v>
      </c>
    </row>
    <row r="16" customFormat="false" ht="15" hidden="false" customHeight="false" outlineLevel="0" collapsed="false">
      <c r="A16" s="45" t="n">
        <v>13</v>
      </c>
      <c r="B16" s="46" t="n">
        <f aca="false">EDATE('My Debts'!$C$7,A16-1)</f>
        <v>46692</v>
      </c>
      <c r="C16" s="47" t="n">
        <f aca="false">MAX(0,'My Debts'!$E$6-(G16+K16+O16+S16+W16+AA16+AE16+AI16+AM16+AQ16))</f>
        <v>315</v>
      </c>
      <c r="D16" s="47" t="n">
        <f aca="false">(F16+J16+N16+R16+V16+Z16+AD16+AH16+AL16+AP16)-(I16+M16+Q16+U16+Y16+AC16+AG16+AK16+AO16+AS16)</f>
        <v>729.999999999999</v>
      </c>
      <c r="E16" s="48" t="n">
        <f aca="false">I16+M16+Q16+U16+Y16+AC16+AG16+AK16+AO16+AS16</f>
        <v>6275.52</v>
      </c>
      <c r="F16" s="47" t="n">
        <f aca="false">ROUND(I15*(1+Sorted!$H$2),2)</f>
        <v>0</v>
      </c>
      <c r="G16" s="47" t="n">
        <f aca="false">MIN(F16,Sorted!$G$2)</f>
        <v>0</v>
      </c>
      <c r="H16" s="47" t="n">
        <f aca="false">MAX(0,MIN(F16-G16,$C16-(0)))</f>
        <v>0</v>
      </c>
      <c r="I16" s="47" t="n">
        <f aca="false">ROUND(F16-G16-H16,2)</f>
        <v>0</v>
      </c>
      <c r="J16" s="47" t="n">
        <f aca="false">ROUND(M15*(1+Sorted!$H$3),2)</f>
        <v>0</v>
      </c>
      <c r="K16" s="47" t="n">
        <f aca="false">MIN(J16,Sorted!$G$3)</f>
        <v>0</v>
      </c>
      <c r="L16" s="47" t="n">
        <f aca="false">MAX(0,MIN(J16-K16,$C16-(H16)))</f>
        <v>0</v>
      </c>
      <c r="M16" s="47" t="n">
        <f aca="false">ROUND(J16-K16-L16,2)</f>
        <v>0</v>
      </c>
      <c r="N16" s="47" t="n">
        <f aca="false">ROUND(Q15*(1+Sorted!$H$4),2)</f>
        <v>457.83</v>
      </c>
      <c r="O16" s="47" t="n">
        <f aca="false">MIN(N16,Sorted!$G$4)</f>
        <v>240</v>
      </c>
      <c r="P16" s="47" t="n">
        <f aca="false">MAX(0,MIN(N16-O16,$C16-(H16+L16)))</f>
        <v>217.83</v>
      </c>
      <c r="Q16" s="47" t="n">
        <f aca="false">ROUND(N16-O16-P16,2)</f>
        <v>0</v>
      </c>
      <c r="R16" s="47" t="n">
        <f aca="false">ROUND(U15*(1+Sorted!$H$5),2)</f>
        <v>6547.69</v>
      </c>
      <c r="S16" s="47" t="n">
        <f aca="false">MIN(R16,Sorted!$G$5)</f>
        <v>175</v>
      </c>
      <c r="T16" s="47" t="n">
        <f aca="false">MAX(0,MIN(R16-S16,$C16-(H16+L16+P16)))</f>
        <v>97.17</v>
      </c>
      <c r="U16" s="47" t="n">
        <f aca="false">ROUND(R16-S16-T16,2)</f>
        <v>6275.52</v>
      </c>
      <c r="V16" s="47" t="n">
        <f aca="false">ROUND(Y15*(1+Sorted!$H$6),2)</f>
        <v>0</v>
      </c>
      <c r="W16" s="47" t="n">
        <f aca="false">MIN(V16,Sorted!$G$6)</f>
        <v>0</v>
      </c>
      <c r="X16" s="47" t="n">
        <f aca="false">MAX(0,MIN(V16-W16,$C16-(H16+L16+P16+T16)))</f>
        <v>0</v>
      </c>
      <c r="Y16" s="47" t="n">
        <f aca="false">ROUND(V16-W16-X16,2)</f>
        <v>0</v>
      </c>
      <c r="Z16" s="47" t="n">
        <f aca="false">ROUND(AC15*(1+Sorted!$H$7),2)</f>
        <v>0</v>
      </c>
      <c r="AA16" s="47" t="n">
        <f aca="false">MIN(Z16,Sorted!$G$7)</f>
        <v>0</v>
      </c>
      <c r="AB16" s="47" t="n">
        <f aca="false">MAX(0,MIN(Z16-AA16,$C16-(H16+L16+P16+T16+X16)))</f>
        <v>0</v>
      </c>
      <c r="AC16" s="47" t="n">
        <f aca="false">ROUND(Z16-AA16-AB16,2)</f>
        <v>0</v>
      </c>
      <c r="AD16" s="47" t="n">
        <f aca="false">ROUND(AG15*(1+Sorted!$H$8),2)</f>
        <v>0</v>
      </c>
      <c r="AE16" s="47" t="n">
        <f aca="false">MIN(AD16,Sorted!$G$8)</f>
        <v>0</v>
      </c>
      <c r="AF16" s="47" t="n">
        <f aca="false">MAX(0,MIN(AD16-AE16,$C16-(H16+L16+P16+T16+X16+AB16)))</f>
        <v>0</v>
      </c>
      <c r="AG16" s="47" t="n">
        <f aca="false">ROUND(AD16-AE16-AF16,2)</f>
        <v>0</v>
      </c>
      <c r="AH16" s="47" t="n">
        <f aca="false">ROUND(AK15*(1+Sorted!$H$9),2)</f>
        <v>0</v>
      </c>
      <c r="AI16" s="47" t="n">
        <f aca="false">MIN(AH16,Sorted!$G$9)</f>
        <v>0</v>
      </c>
      <c r="AJ16" s="47" t="n">
        <f aca="false">MAX(0,MIN(AH16-AI16,$C16-(H16+L16+P16+T16+X16+AB16+AF16)))</f>
        <v>0</v>
      </c>
      <c r="AK16" s="47" t="n">
        <f aca="false">ROUND(AH16-AI16-AJ16,2)</f>
        <v>0</v>
      </c>
      <c r="AL16" s="47" t="n">
        <f aca="false">ROUND(AO15*(1+Sorted!$H$10),2)</f>
        <v>0</v>
      </c>
      <c r="AM16" s="47" t="n">
        <f aca="false">MIN(AL16,Sorted!$G$10)</f>
        <v>0</v>
      </c>
      <c r="AN16" s="47" t="n">
        <f aca="false">MAX(0,MIN(AL16-AM16,$C16-(H16+L16+P16+T16+X16+AB16+AF16+AJ16)))</f>
        <v>0</v>
      </c>
      <c r="AO16" s="47" t="n">
        <f aca="false">ROUND(AL16-AM16-AN16,2)</f>
        <v>0</v>
      </c>
      <c r="AP16" s="47" t="n">
        <f aca="false">ROUND(AS15*(1+Sorted!$H$11),2)</f>
        <v>0</v>
      </c>
      <c r="AQ16" s="47" t="n">
        <f aca="false">MIN(AP16,Sorted!$G$11)</f>
        <v>0</v>
      </c>
      <c r="AR16" s="47" t="n">
        <f aca="false">MAX(0,MIN(AP16-AQ16,$C16-(H16+L16+P16+T16+X16+AB16+AF16+AJ16+AN16)))</f>
        <v>0</v>
      </c>
      <c r="AS16" s="47" t="n">
        <f aca="false">ROUND(AP16-AQ16-AR16,2)</f>
        <v>0</v>
      </c>
    </row>
    <row r="17" customFormat="false" ht="15" hidden="false" customHeight="false" outlineLevel="0" collapsed="false">
      <c r="A17" s="45" t="n">
        <v>14</v>
      </c>
      <c r="B17" s="46" t="n">
        <f aca="false">EDATE('My Debts'!$C$7,A17-1)</f>
        <v>46722</v>
      </c>
      <c r="C17" s="47" t="n">
        <f aca="false">MAX(0,'My Debts'!$E$6-(G17+K17+O17+S17+W17+AA17+AE17+AI17+AM17+AQ17))</f>
        <v>555</v>
      </c>
      <c r="D17" s="47" t="n">
        <f aca="false">(F17+J17+N17+R17+V17+Z17+AD17+AH17+AL17+AP17)-(I17+M17+Q17+U17+Y17+AC17+AG17+AK17+AO17+AS17)</f>
        <v>730</v>
      </c>
      <c r="E17" s="48" t="n">
        <f aca="false">I17+M17+Q17+U17+Y17+AC17+AG17+AK17+AO17+AS17</f>
        <v>5676.21</v>
      </c>
      <c r="F17" s="47" t="n">
        <f aca="false">ROUND(I16*(1+Sorted!$H$2),2)</f>
        <v>0</v>
      </c>
      <c r="G17" s="47" t="n">
        <f aca="false">MIN(F17,Sorted!$G$2)</f>
        <v>0</v>
      </c>
      <c r="H17" s="47" t="n">
        <f aca="false">MAX(0,MIN(F17-G17,$C17-(0)))</f>
        <v>0</v>
      </c>
      <c r="I17" s="47" t="n">
        <f aca="false">ROUND(F17-G17-H17,2)</f>
        <v>0</v>
      </c>
      <c r="J17" s="47" t="n">
        <f aca="false">ROUND(M16*(1+Sorted!$H$3),2)</f>
        <v>0</v>
      </c>
      <c r="K17" s="47" t="n">
        <f aca="false">MIN(J17,Sorted!$G$3)</f>
        <v>0</v>
      </c>
      <c r="L17" s="47" t="n">
        <f aca="false">MAX(0,MIN(J17-K17,$C17-(H17)))</f>
        <v>0</v>
      </c>
      <c r="M17" s="47" t="n">
        <f aca="false">ROUND(J17-K17-L17,2)</f>
        <v>0</v>
      </c>
      <c r="N17" s="47" t="n">
        <f aca="false">ROUND(Q16*(1+Sorted!$H$4),2)</f>
        <v>0</v>
      </c>
      <c r="O17" s="47" t="n">
        <f aca="false">MIN(N17,Sorted!$G$4)</f>
        <v>0</v>
      </c>
      <c r="P17" s="47" t="n">
        <f aca="false">MAX(0,MIN(N17-O17,$C17-(H17+L17)))</f>
        <v>0</v>
      </c>
      <c r="Q17" s="47" t="n">
        <f aca="false">ROUND(N17-O17-P17,2)</f>
        <v>0</v>
      </c>
      <c r="R17" s="47" t="n">
        <f aca="false">ROUND(U16*(1+Sorted!$H$5),2)</f>
        <v>6406.21</v>
      </c>
      <c r="S17" s="47" t="n">
        <f aca="false">MIN(R17,Sorted!$G$5)</f>
        <v>175</v>
      </c>
      <c r="T17" s="47" t="n">
        <f aca="false">MAX(0,MIN(R17-S17,$C17-(H17+L17+P17)))</f>
        <v>555</v>
      </c>
      <c r="U17" s="47" t="n">
        <f aca="false">ROUND(R17-S17-T17,2)</f>
        <v>5676.21</v>
      </c>
      <c r="V17" s="47" t="n">
        <f aca="false">ROUND(Y16*(1+Sorted!$H$6),2)</f>
        <v>0</v>
      </c>
      <c r="W17" s="47" t="n">
        <f aca="false">MIN(V17,Sorted!$G$6)</f>
        <v>0</v>
      </c>
      <c r="X17" s="47" t="n">
        <f aca="false">MAX(0,MIN(V17-W17,$C17-(H17+L17+P17+T17)))</f>
        <v>0</v>
      </c>
      <c r="Y17" s="47" t="n">
        <f aca="false">ROUND(V17-W17-X17,2)</f>
        <v>0</v>
      </c>
      <c r="Z17" s="47" t="n">
        <f aca="false">ROUND(AC16*(1+Sorted!$H$7),2)</f>
        <v>0</v>
      </c>
      <c r="AA17" s="47" t="n">
        <f aca="false">MIN(Z17,Sorted!$G$7)</f>
        <v>0</v>
      </c>
      <c r="AB17" s="47" t="n">
        <f aca="false">MAX(0,MIN(Z17-AA17,$C17-(H17+L17+P17+T17+X17)))</f>
        <v>0</v>
      </c>
      <c r="AC17" s="47" t="n">
        <f aca="false">ROUND(Z17-AA17-AB17,2)</f>
        <v>0</v>
      </c>
      <c r="AD17" s="47" t="n">
        <f aca="false">ROUND(AG16*(1+Sorted!$H$8),2)</f>
        <v>0</v>
      </c>
      <c r="AE17" s="47" t="n">
        <f aca="false">MIN(AD17,Sorted!$G$8)</f>
        <v>0</v>
      </c>
      <c r="AF17" s="47" t="n">
        <f aca="false">MAX(0,MIN(AD17-AE17,$C17-(H17+L17+P17+T17+X17+AB17)))</f>
        <v>0</v>
      </c>
      <c r="AG17" s="47" t="n">
        <f aca="false">ROUND(AD17-AE17-AF17,2)</f>
        <v>0</v>
      </c>
      <c r="AH17" s="47" t="n">
        <f aca="false">ROUND(AK16*(1+Sorted!$H$9),2)</f>
        <v>0</v>
      </c>
      <c r="AI17" s="47" t="n">
        <f aca="false">MIN(AH17,Sorted!$G$9)</f>
        <v>0</v>
      </c>
      <c r="AJ17" s="47" t="n">
        <f aca="false">MAX(0,MIN(AH17-AI17,$C17-(H17+L17+P17+T17+X17+AB17+AF17)))</f>
        <v>0</v>
      </c>
      <c r="AK17" s="47" t="n">
        <f aca="false">ROUND(AH17-AI17-AJ17,2)</f>
        <v>0</v>
      </c>
      <c r="AL17" s="47" t="n">
        <f aca="false">ROUND(AO16*(1+Sorted!$H$10),2)</f>
        <v>0</v>
      </c>
      <c r="AM17" s="47" t="n">
        <f aca="false">MIN(AL17,Sorted!$G$10)</f>
        <v>0</v>
      </c>
      <c r="AN17" s="47" t="n">
        <f aca="false">MAX(0,MIN(AL17-AM17,$C17-(H17+L17+P17+T17+X17+AB17+AF17+AJ17)))</f>
        <v>0</v>
      </c>
      <c r="AO17" s="47" t="n">
        <f aca="false">ROUND(AL17-AM17-AN17,2)</f>
        <v>0</v>
      </c>
      <c r="AP17" s="47" t="n">
        <f aca="false">ROUND(AS16*(1+Sorted!$H$11),2)</f>
        <v>0</v>
      </c>
      <c r="AQ17" s="47" t="n">
        <f aca="false">MIN(AP17,Sorted!$G$11)</f>
        <v>0</v>
      </c>
      <c r="AR17" s="47" t="n">
        <f aca="false">MAX(0,MIN(AP17-AQ17,$C17-(H17+L17+P17+T17+X17+AB17+AF17+AJ17+AN17)))</f>
        <v>0</v>
      </c>
      <c r="AS17" s="47" t="n">
        <f aca="false">ROUND(AP17-AQ17-AR17,2)</f>
        <v>0</v>
      </c>
    </row>
    <row r="18" customFormat="false" ht="15" hidden="false" customHeight="false" outlineLevel="0" collapsed="false">
      <c r="A18" s="45" t="n">
        <v>15</v>
      </c>
      <c r="B18" s="46" t="n">
        <f aca="false">EDATE('My Debts'!$C$7,A18-1)</f>
        <v>46753</v>
      </c>
      <c r="C18" s="47" t="n">
        <f aca="false">MAX(0,'My Debts'!$E$6-(G18+K18+O18+S18+W18+AA18+AE18+AI18+AM18+AQ18))</f>
        <v>555</v>
      </c>
      <c r="D18" s="47" t="n">
        <f aca="false">(F18+J18+N18+R18+V18+Z18+AD18+AH18+AL18+AP18)-(I18+M18+Q18+U18+Y18+AC18+AG18+AK18+AO18+AS18)</f>
        <v>730</v>
      </c>
      <c r="E18" s="48" t="n">
        <f aca="false">I18+M18+Q18+U18+Y18+AC18+AG18+AK18+AO18+AS18</f>
        <v>5064.42</v>
      </c>
      <c r="F18" s="47" t="n">
        <f aca="false">ROUND(I17*(1+Sorted!$H$2),2)</f>
        <v>0</v>
      </c>
      <c r="G18" s="47" t="n">
        <f aca="false">MIN(F18,Sorted!$G$2)</f>
        <v>0</v>
      </c>
      <c r="H18" s="47" t="n">
        <f aca="false">MAX(0,MIN(F18-G18,$C18-(0)))</f>
        <v>0</v>
      </c>
      <c r="I18" s="47" t="n">
        <f aca="false">ROUND(F18-G18-H18,2)</f>
        <v>0</v>
      </c>
      <c r="J18" s="47" t="n">
        <f aca="false">ROUND(M17*(1+Sorted!$H$3),2)</f>
        <v>0</v>
      </c>
      <c r="K18" s="47" t="n">
        <f aca="false">MIN(J18,Sorted!$G$3)</f>
        <v>0</v>
      </c>
      <c r="L18" s="47" t="n">
        <f aca="false">MAX(0,MIN(J18-K18,$C18-(H18)))</f>
        <v>0</v>
      </c>
      <c r="M18" s="47" t="n">
        <f aca="false">ROUND(J18-K18-L18,2)</f>
        <v>0</v>
      </c>
      <c r="N18" s="47" t="n">
        <f aca="false">ROUND(Q17*(1+Sorted!$H$4),2)</f>
        <v>0</v>
      </c>
      <c r="O18" s="47" t="n">
        <f aca="false">MIN(N18,Sorted!$G$4)</f>
        <v>0</v>
      </c>
      <c r="P18" s="47" t="n">
        <f aca="false">MAX(0,MIN(N18-O18,$C18-(H18+L18)))</f>
        <v>0</v>
      </c>
      <c r="Q18" s="47" t="n">
        <f aca="false">ROUND(N18-O18-P18,2)</f>
        <v>0</v>
      </c>
      <c r="R18" s="47" t="n">
        <f aca="false">ROUND(U17*(1+Sorted!$H$5),2)</f>
        <v>5794.42</v>
      </c>
      <c r="S18" s="47" t="n">
        <f aca="false">MIN(R18,Sorted!$G$5)</f>
        <v>175</v>
      </c>
      <c r="T18" s="47" t="n">
        <f aca="false">MAX(0,MIN(R18-S18,$C18-(H18+L18+P18)))</f>
        <v>555</v>
      </c>
      <c r="U18" s="47" t="n">
        <f aca="false">ROUND(R18-S18-T18,2)</f>
        <v>5064.42</v>
      </c>
      <c r="V18" s="47" t="n">
        <f aca="false">ROUND(Y17*(1+Sorted!$H$6),2)</f>
        <v>0</v>
      </c>
      <c r="W18" s="47" t="n">
        <f aca="false">MIN(V18,Sorted!$G$6)</f>
        <v>0</v>
      </c>
      <c r="X18" s="47" t="n">
        <f aca="false">MAX(0,MIN(V18-W18,$C18-(H18+L18+P18+T18)))</f>
        <v>0</v>
      </c>
      <c r="Y18" s="47" t="n">
        <f aca="false">ROUND(V18-W18-X18,2)</f>
        <v>0</v>
      </c>
      <c r="Z18" s="47" t="n">
        <f aca="false">ROUND(AC17*(1+Sorted!$H$7),2)</f>
        <v>0</v>
      </c>
      <c r="AA18" s="47" t="n">
        <f aca="false">MIN(Z18,Sorted!$G$7)</f>
        <v>0</v>
      </c>
      <c r="AB18" s="47" t="n">
        <f aca="false">MAX(0,MIN(Z18-AA18,$C18-(H18+L18+P18+T18+X18)))</f>
        <v>0</v>
      </c>
      <c r="AC18" s="47" t="n">
        <f aca="false">ROUND(Z18-AA18-AB18,2)</f>
        <v>0</v>
      </c>
      <c r="AD18" s="47" t="n">
        <f aca="false">ROUND(AG17*(1+Sorted!$H$8),2)</f>
        <v>0</v>
      </c>
      <c r="AE18" s="47" t="n">
        <f aca="false">MIN(AD18,Sorted!$G$8)</f>
        <v>0</v>
      </c>
      <c r="AF18" s="47" t="n">
        <f aca="false">MAX(0,MIN(AD18-AE18,$C18-(H18+L18+P18+T18+X18+AB18)))</f>
        <v>0</v>
      </c>
      <c r="AG18" s="47" t="n">
        <f aca="false">ROUND(AD18-AE18-AF18,2)</f>
        <v>0</v>
      </c>
      <c r="AH18" s="47" t="n">
        <f aca="false">ROUND(AK17*(1+Sorted!$H$9),2)</f>
        <v>0</v>
      </c>
      <c r="AI18" s="47" t="n">
        <f aca="false">MIN(AH18,Sorted!$G$9)</f>
        <v>0</v>
      </c>
      <c r="AJ18" s="47" t="n">
        <f aca="false">MAX(0,MIN(AH18-AI18,$C18-(H18+L18+P18+T18+X18+AB18+AF18)))</f>
        <v>0</v>
      </c>
      <c r="AK18" s="47" t="n">
        <f aca="false">ROUND(AH18-AI18-AJ18,2)</f>
        <v>0</v>
      </c>
      <c r="AL18" s="47" t="n">
        <f aca="false">ROUND(AO17*(1+Sorted!$H$10),2)</f>
        <v>0</v>
      </c>
      <c r="AM18" s="47" t="n">
        <f aca="false">MIN(AL18,Sorted!$G$10)</f>
        <v>0</v>
      </c>
      <c r="AN18" s="47" t="n">
        <f aca="false">MAX(0,MIN(AL18-AM18,$C18-(H18+L18+P18+T18+X18+AB18+AF18+AJ18)))</f>
        <v>0</v>
      </c>
      <c r="AO18" s="47" t="n">
        <f aca="false">ROUND(AL18-AM18-AN18,2)</f>
        <v>0</v>
      </c>
      <c r="AP18" s="47" t="n">
        <f aca="false">ROUND(AS17*(1+Sorted!$H$11),2)</f>
        <v>0</v>
      </c>
      <c r="AQ18" s="47" t="n">
        <f aca="false">MIN(AP18,Sorted!$G$11)</f>
        <v>0</v>
      </c>
      <c r="AR18" s="47" t="n">
        <f aca="false">MAX(0,MIN(AP18-AQ18,$C18-(H18+L18+P18+T18+X18+AB18+AF18+AJ18+AN18)))</f>
        <v>0</v>
      </c>
      <c r="AS18" s="47" t="n">
        <f aca="false">ROUND(AP18-AQ18-AR18,2)</f>
        <v>0</v>
      </c>
    </row>
    <row r="19" customFormat="false" ht="15" hidden="false" customHeight="false" outlineLevel="0" collapsed="false">
      <c r="A19" s="45" t="n">
        <v>16</v>
      </c>
      <c r="B19" s="46" t="n">
        <f aca="false">EDATE('My Debts'!$C$7,A19-1)</f>
        <v>46784</v>
      </c>
      <c r="C19" s="47" t="n">
        <f aca="false">MAX(0,'My Debts'!$E$6-(G19+K19+O19+S19+W19+AA19+AE19+AI19+AM19+AQ19))</f>
        <v>555</v>
      </c>
      <c r="D19" s="47" t="n">
        <f aca="false">(F19+J19+N19+R19+V19+Z19+AD19+AH19+AL19+AP19)-(I19+M19+Q19+U19+Y19+AC19+AG19+AK19+AO19+AS19)</f>
        <v>730</v>
      </c>
      <c r="E19" s="48" t="n">
        <f aca="false">I19+M19+Q19+U19+Y19+AC19+AG19+AK19+AO19+AS19</f>
        <v>4439.89</v>
      </c>
      <c r="F19" s="47" t="n">
        <f aca="false">ROUND(I18*(1+Sorted!$H$2),2)</f>
        <v>0</v>
      </c>
      <c r="G19" s="47" t="n">
        <f aca="false">MIN(F19,Sorted!$G$2)</f>
        <v>0</v>
      </c>
      <c r="H19" s="47" t="n">
        <f aca="false">MAX(0,MIN(F19-G19,$C19-(0)))</f>
        <v>0</v>
      </c>
      <c r="I19" s="47" t="n">
        <f aca="false">ROUND(F19-G19-H19,2)</f>
        <v>0</v>
      </c>
      <c r="J19" s="47" t="n">
        <f aca="false">ROUND(M18*(1+Sorted!$H$3),2)</f>
        <v>0</v>
      </c>
      <c r="K19" s="47" t="n">
        <f aca="false">MIN(J19,Sorted!$G$3)</f>
        <v>0</v>
      </c>
      <c r="L19" s="47" t="n">
        <f aca="false">MAX(0,MIN(J19-K19,$C19-(H19)))</f>
        <v>0</v>
      </c>
      <c r="M19" s="47" t="n">
        <f aca="false">ROUND(J19-K19-L19,2)</f>
        <v>0</v>
      </c>
      <c r="N19" s="47" t="n">
        <f aca="false">ROUND(Q18*(1+Sorted!$H$4),2)</f>
        <v>0</v>
      </c>
      <c r="O19" s="47" t="n">
        <f aca="false">MIN(N19,Sorted!$G$4)</f>
        <v>0</v>
      </c>
      <c r="P19" s="47" t="n">
        <f aca="false">MAX(0,MIN(N19-O19,$C19-(H19+L19)))</f>
        <v>0</v>
      </c>
      <c r="Q19" s="47" t="n">
        <f aca="false">ROUND(N19-O19-P19,2)</f>
        <v>0</v>
      </c>
      <c r="R19" s="47" t="n">
        <f aca="false">ROUND(U18*(1+Sorted!$H$5),2)</f>
        <v>5169.89</v>
      </c>
      <c r="S19" s="47" t="n">
        <f aca="false">MIN(R19,Sorted!$G$5)</f>
        <v>175</v>
      </c>
      <c r="T19" s="47" t="n">
        <f aca="false">MAX(0,MIN(R19-S19,$C19-(H19+L19+P19)))</f>
        <v>555</v>
      </c>
      <c r="U19" s="47" t="n">
        <f aca="false">ROUND(R19-S19-T19,2)</f>
        <v>4439.89</v>
      </c>
      <c r="V19" s="47" t="n">
        <f aca="false">ROUND(Y18*(1+Sorted!$H$6),2)</f>
        <v>0</v>
      </c>
      <c r="W19" s="47" t="n">
        <f aca="false">MIN(V19,Sorted!$G$6)</f>
        <v>0</v>
      </c>
      <c r="X19" s="47" t="n">
        <f aca="false">MAX(0,MIN(V19-W19,$C19-(H19+L19+P19+T19)))</f>
        <v>0</v>
      </c>
      <c r="Y19" s="47" t="n">
        <f aca="false">ROUND(V19-W19-X19,2)</f>
        <v>0</v>
      </c>
      <c r="Z19" s="47" t="n">
        <f aca="false">ROUND(AC18*(1+Sorted!$H$7),2)</f>
        <v>0</v>
      </c>
      <c r="AA19" s="47" t="n">
        <f aca="false">MIN(Z19,Sorted!$G$7)</f>
        <v>0</v>
      </c>
      <c r="AB19" s="47" t="n">
        <f aca="false">MAX(0,MIN(Z19-AA19,$C19-(H19+L19+P19+T19+X19)))</f>
        <v>0</v>
      </c>
      <c r="AC19" s="47" t="n">
        <f aca="false">ROUND(Z19-AA19-AB19,2)</f>
        <v>0</v>
      </c>
      <c r="AD19" s="47" t="n">
        <f aca="false">ROUND(AG18*(1+Sorted!$H$8),2)</f>
        <v>0</v>
      </c>
      <c r="AE19" s="47" t="n">
        <f aca="false">MIN(AD19,Sorted!$G$8)</f>
        <v>0</v>
      </c>
      <c r="AF19" s="47" t="n">
        <f aca="false">MAX(0,MIN(AD19-AE19,$C19-(H19+L19+P19+T19+X19+AB19)))</f>
        <v>0</v>
      </c>
      <c r="AG19" s="47" t="n">
        <f aca="false">ROUND(AD19-AE19-AF19,2)</f>
        <v>0</v>
      </c>
      <c r="AH19" s="47" t="n">
        <f aca="false">ROUND(AK18*(1+Sorted!$H$9),2)</f>
        <v>0</v>
      </c>
      <c r="AI19" s="47" t="n">
        <f aca="false">MIN(AH19,Sorted!$G$9)</f>
        <v>0</v>
      </c>
      <c r="AJ19" s="47" t="n">
        <f aca="false">MAX(0,MIN(AH19-AI19,$C19-(H19+L19+P19+T19+X19+AB19+AF19)))</f>
        <v>0</v>
      </c>
      <c r="AK19" s="47" t="n">
        <f aca="false">ROUND(AH19-AI19-AJ19,2)</f>
        <v>0</v>
      </c>
      <c r="AL19" s="47" t="n">
        <f aca="false">ROUND(AO18*(1+Sorted!$H$10),2)</f>
        <v>0</v>
      </c>
      <c r="AM19" s="47" t="n">
        <f aca="false">MIN(AL19,Sorted!$G$10)</f>
        <v>0</v>
      </c>
      <c r="AN19" s="47" t="n">
        <f aca="false">MAX(0,MIN(AL19-AM19,$C19-(H19+L19+P19+T19+X19+AB19+AF19+AJ19)))</f>
        <v>0</v>
      </c>
      <c r="AO19" s="47" t="n">
        <f aca="false">ROUND(AL19-AM19-AN19,2)</f>
        <v>0</v>
      </c>
      <c r="AP19" s="47" t="n">
        <f aca="false">ROUND(AS18*(1+Sorted!$H$11),2)</f>
        <v>0</v>
      </c>
      <c r="AQ19" s="47" t="n">
        <f aca="false">MIN(AP19,Sorted!$G$11)</f>
        <v>0</v>
      </c>
      <c r="AR19" s="47" t="n">
        <f aca="false">MAX(0,MIN(AP19-AQ19,$C19-(H19+L19+P19+T19+X19+AB19+AF19+AJ19+AN19)))</f>
        <v>0</v>
      </c>
      <c r="AS19" s="47" t="n">
        <f aca="false">ROUND(AP19-AQ19-AR19,2)</f>
        <v>0</v>
      </c>
    </row>
    <row r="20" customFormat="false" ht="15" hidden="false" customHeight="false" outlineLevel="0" collapsed="false">
      <c r="A20" s="45" t="n">
        <v>17</v>
      </c>
      <c r="B20" s="46" t="n">
        <f aca="false">EDATE('My Debts'!$C$7,A20-1)</f>
        <v>46813</v>
      </c>
      <c r="C20" s="47" t="n">
        <f aca="false">MAX(0,'My Debts'!$E$6-(G20+K20+O20+S20+W20+AA20+AE20+AI20+AM20+AQ20))</f>
        <v>555</v>
      </c>
      <c r="D20" s="47" t="n">
        <f aca="false">(F20+J20+N20+R20+V20+Z20+AD20+AH20+AL20+AP20)-(I20+M20+Q20+U20+Y20+AC20+AG20+AK20+AO20+AS20)</f>
        <v>730.000000000001</v>
      </c>
      <c r="E20" s="48" t="n">
        <f aca="false">I20+M20+Q20+U20+Y20+AC20+AG20+AK20+AO20+AS20</f>
        <v>3802.35</v>
      </c>
      <c r="F20" s="47" t="n">
        <f aca="false">ROUND(I19*(1+Sorted!$H$2),2)</f>
        <v>0</v>
      </c>
      <c r="G20" s="47" t="n">
        <f aca="false">MIN(F20,Sorted!$G$2)</f>
        <v>0</v>
      </c>
      <c r="H20" s="47" t="n">
        <f aca="false">MAX(0,MIN(F20-G20,$C20-(0)))</f>
        <v>0</v>
      </c>
      <c r="I20" s="47" t="n">
        <f aca="false">ROUND(F20-G20-H20,2)</f>
        <v>0</v>
      </c>
      <c r="J20" s="47" t="n">
        <f aca="false">ROUND(M19*(1+Sorted!$H$3),2)</f>
        <v>0</v>
      </c>
      <c r="K20" s="47" t="n">
        <f aca="false">MIN(J20,Sorted!$G$3)</f>
        <v>0</v>
      </c>
      <c r="L20" s="47" t="n">
        <f aca="false">MAX(0,MIN(J20-K20,$C20-(H20)))</f>
        <v>0</v>
      </c>
      <c r="M20" s="47" t="n">
        <f aca="false">ROUND(J20-K20-L20,2)</f>
        <v>0</v>
      </c>
      <c r="N20" s="47" t="n">
        <f aca="false">ROUND(Q19*(1+Sorted!$H$4),2)</f>
        <v>0</v>
      </c>
      <c r="O20" s="47" t="n">
        <f aca="false">MIN(N20,Sorted!$G$4)</f>
        <v>0</v>
      </c>
      <c r="P20" s="47" t="n">
        <f aca="false">MAX(0,MIN(N20-O20,$C20-(H20+L20)))</f>
        <v>0</v>
      </c>
      <c r="Q20" s="47" t="n">
        <f aca="false">ROUND(N20-O20-P20,2)</f>
        <v>0</v>
      </c>
      <c r="R20" s="47" t="n">
        <f aca="false">ROUND(U19*(1+Sorted!$H$5),2)</f>
        <v>4532.35</v>
      </c>
      <c r="S20" s="47" t="n">
        <f aca="false">MIN(R20,Sorted!$G$5)</f>
        <v>175</v>
      </c>
      <c r="T20" s="47" t="n">
        <f aca="false">MAX(0,MIN(R20-S20,$C20-(H20+L20+P20)))</f>
        <v>555</v>
      </c>
      <c r="U20" s="47" t="n">
        <f aca="false">ROUND(R20-S20-T20,2)</f>
        <v>3802.35</v>
      </c>
      <c r="V20" s="47" t="n">
        <f aca="false">ROUND(Y19*(1+Sorted!$H$6),2)</f>
        <v>0</v>
      </c>
      <c r="W20" s="47" t="n">
        <f aca="false">MIN(V20,Sorted!$G$6)</f>
        <v>0</v>
      </c>
      <c r="X20" s="47" t="n">
        <f aca="false">MAX(0,MIN(V20-W20,$C20-(H20+L20+P20+T20)))</f>
        <v>0</v>
      </c>
      <c r="Y20" s="47" t="n">
        <f aca="false">ROUND(V20-W20-X20,2)</f>
        <v>0</v>
      </c>
      <c r="Z20" s="47" t="n">
        <f aca="false">ROUND(AC19*(1+Sorted!$H$7),2)</f>
        <v>0</v>
      </c>
      <c r="AA20" s="47" t="n">
        <f aca="false">MIN(Z20,Sorted!$G$7)</f>
        <v>0</v>
      </c>
      <c r="AB20" s="47" t="n">
        <f aca="false">MAX(0,MIN(Z20-AA20,$C20-(H20+L20+P20+T20+X20)))</f>
        <v>0</v>
      </c>
      <c r="AC20" s="47" t="n">
        <f aca="false">ROUND(Z20-AA20-AB20,2)</f>
        <v>0</v>
      </c>
      <c r="AD20" s="47" t="n">
        <f aca="false">ROUND(AG19*(1+Sorted!$H$8),2)</f>
        <v>0</v>
      </c>
      <c r="AE20" s="47" t="n">
        <f aca="false">MIN(AD20,Sorted!$G$8)</f>
        <v>0</v>
      </c>
      <c r="AF20" s="47" t="n">
        <f aca="false">MAX(0,MIN(AD20-AE20,$C20-(H20+L20+P20+T20+X20+AB20)))</f>
        <v>0</v>
      </c>
      <c r="AG20" s="47" t="n">
        <f aca="false">ROUND(AD20-AE20-AF20,2)</f>
        <v>0</v>
      </c>
      <c r="AH20" s="47" t="n">
        <f aca="false">ROUND(AK19*(1+Sorted!$H$9),2)</f>
        <v>0</v>
      </c>
      <c r="AI20" s="47" t="n">
        <f aca="false">MIN(AH20,Sorted!$G$9)</f>
        <v>0</v>
      </c>
      <c r="AJ20" s="47" t="n">
        <f aca="false">MAX(0,MIN(AH20-AI20,$C20-(H20+L20+P20+T20+X20+AB20+AF20)))</f>
        <v>0</v>
      </c>
      <c r="AK20" s="47" t="n">
        <f aca="false">ROUND(AH20-AI20-AJ20,2)</f>
        <v>0</v>
      </c>
      <c r="AL20" s="47" t="n">
        <f aca="false">ROUND(AO19*(1+Sorted!$H$10),2)</f>
        <v>0</v>
      </c>
      <c r="AM20" s="47" t="n">
        <f aca="false">MIN(AL20,Sorted!$G$10)</f>
        <v>0</v>
      </c>
      <c r="AN20" s="47" t="n">
        <f aca="false">MAX(0,MIN(AL20-AM20,$C20-(H20+L20+P20+T20+X20+AB20+AF20+AJ20)))</f>
        <v>0</v>
      </c>
      <c r="AO20" s="47" t="n">
        <f aca="false">ROUND(AL20-AM20-AN20,2)</f>
        <v>0</v>
      </c>
      <c r="AP20" s="47" t="n">
        <f aca="false">ROUND(AS19*(1+Sorted!$H$11),2)</f>
        <v>0</v>
      </c>
      <c r="AQ20" s="47" t="n">
        <f aca="false">MIN(AP20,Sorted!$G$11)</f>
        <v>0</v>
      </c>
      <c r="AR20" s="47" t="n">
        <f aca="false">MAX(0,MIN(AP20-AQ20,$C20-(H20+L20+P20+T20+X20+AB20+AF20+AJ20+AN20)))</f>
        <v>0</v>
      </c>
      <c r="AS20" s="47" t="n">
        <f aca="false">ROUND(AP20-AQ20-AR20,2)</f>
        <v>0</v>
      </c>
    </row>
    <row r="21" customFormat="false" ht="15" hidden="false" customHeight="false" outlineLevel="0" collapsed="false">
      <c r="A21" s="45" t="n">
        <v>18</v>
      </c>
      <c r="B21" s="46" t="n">
        <f aca="false">EDATE('My Debts'!$C$7,A21-1)</f>
        <v>46844</v>
      </c>
      <c r="C21" s="47" t="n">
        <f aca="false">MAX(0,'My Debts'!$E$6-(G21+K21+O21+S21+W21+AA21+AE21+AI21+AM21+AQ21))</f>
        <v>555</v>
      </c>
      <c r="D21" s="47" t="n">
        <f aca="false">(F21+J21+N21+R21+V21+Z21+AD21+AH21+AL21+AP21)-(I21+M21+Q21+U21+Y21+AC21+AG21+AK21+AO21+AS21)</f>
        <v>730</v>
      </c>
      <c r="E21" s="48" t="n">
        <f aca="false">I21+M21+Q21+U21+Y21+AC21+AG21+AK21+AO21+AS21</f>
        <v>3151.53</v>
      </c>
      <c r="F21" s="47" t="n">
        <f aca="false">ROUND(I20*(1+Sorted!$H$2),2)</f>
        <v>0</v>
      </c>
      <c r="G21" s="47" t="n">
        <f aca="false">MIN(F21,Sorted!$G$2)</f>
        <v>0</v>
      </c>
      <c r="H21" s="47" t="n">
        <f aca="false">MAX(0,MIN(F21-G21,$C21-(0)))</f>
        <v>0</v>
      </c>
      <c r="I21" s="47" t="n">
        <f aca="false">ROUND(F21-G21-H21,2)</f>
        <v>0</v>
      </c>
      <c r="J21" s="47" t="n">
        <f aca="false">ROUND(M20*(1+Sorted!$H$3),2)</f>
        <v>0</v>
      </c>
      <c r="K21" s="47" t="n">
        <f aca="false">MIN(J21,Sorted!$G$3)</f>
        <v>0</v>
      </c>
      <c r="L21" s="47" t="n">
        <f aca="false">MAX(0,MIN(J21-K21,$C21-(H21)))</f>
        <v>0</v>
      </c>
      <c r="M21" s="47" t="n">
        <f aca="false">ROUND(J21-K21-L21,2)</f>
        <v>0</v>
      </c>
      <c r="N21" s="47" t="n">
        <f aca="false">ROUND(Q20*(1+Sorted!$H$4),2)</f>
        <v>0</v>
      </c>
      <c r="O21" s="47" t="n">
        <f aca="false">MIN(N21,Sorted!$G$4)</f>
        <v>0</v>
      </c>
      <c r="P21" s="47" t="n">
        <f aca="false">MAX(0,MIN(N21-O21,$C21-(H21+L21)))</f>
        <v>0</v>
      </c>
      <c r="Q21" s="47" t="n">
        <f aca="false">ROUND(N21-O21-P21,2)</f>
        <v>0</v>
      </c>
      <c r="R21" s="47" t="n">
        <f aca="false">ROUND(U20*(1+Sorted!$H$5),2)</f>
        <v>3881.53</v>
      </c>
      <c r="S21" s="47" t="n">
        <f aca="false">MIN(R21,Sorted!$G$5)</f>
        <v>175</v>
      </c>
      <c r="T21" s="47" t="n">
        <f aca="false">MAX(0,MIN(R21-S21,$C21-(H21+L21+P21)))</f>
        <v>555</v>
      </c>
      <c r="U21" s="47" t="n">
        <f aca="false">ROUND(R21-S21-T21,2)</f>
        <v>3151.53</v>
      </c>
      <c r="V21" s="47" t="n">
        <f aca="false">ROUND(Y20*(1+Sorted!$H$6),2)</f>
        <v>0</v>
      </c>
      <c r="W21" s="47" t="n">
        <f aca="false">MIN(V21,Sorted!$G$6)</f>
        <v>0</v>
      </c>
      <c r="X21" s="47" t="n">
        <f aca="false">MAX(0,MIN(V21-W21,$C21-(H21+L21+P21+T21)))</f>
        <v>0</v>
      </c>
      <c r="Y21" s="47" t="n">
        <f aca="false">ROUND(V21-W21-X21,2)</f>
        <v>0</v>
      </c>
      <c r="Z21" s="47" t="n">
        <f aca="false">ROUND(AC20*(1+Sorted!$H$7),2)</f>
        <v>0</v>
      </c>
      <c r="AA21" s="47" t="n">
        <f aca="false">MIN(Z21,Sorted!$G$7)</f>
        <v>0</v>
      </c>
      <c r="AB21" s="47" t="n">
        <f aca="false">MAX(0,MIN(Z21-AA21,$C21-(H21+L21+P21+T21+X21)))</f>
        <v>0</v>
      </c>
      <c r="AC21" s="47" t="n">
        <f aca="false">ROUND(Z21-AA21-AB21,2)</f>
        <v>0</v>
      </c>
      <c r="AD21" s="47" t="n">
        <f aca="false">ROUND(AG20*(1+Sorted!$H$8),2)</f>
        <v>0</v>
      </c>
      <c r="AE21" s="47" t="n">
        <f aca="false">MIN(AD21,Sorted!$G$8)</f>
        <v>0</v>
      </c>
      <c r="AF21" s="47" t="n">
        <f aca="false">MAX(0,MIN(AD21-AE21,$C21-(H21+L21+P21+T21+X21+AB21)))</f>
        <v>0</v>
      </c>
      <c r="AG21" s="47" t="n">
        <f aca="false">ROUND(AD21-AE21-AF21,2)</f>
        <v>0</v>
      </c>
      <c r="AH21" s="47" t="n">
        <f aca="false">ROUND(AK20*(1+Sorted!$H$9),2)</f>
        <v>0</v>
      </c>
      <c r="AI21" s="47" t="n">
        <f aca="false">MIN(AH21,Sorted!$G$9)</f>
        <v>0</v>
      </c>
      <c r="AJ21" s="47" t="n">
        <f aca="false">MAX(0,MIN(AH21-AI21,$C21-(H21+L21+P21+T21+X21+AB21+AF21)))</f>
        <v>0</v>
      </c>
      <c r="AK21" s="47" t="n">
        <f aca="false">ROUND(AH21-AI21-AJ21,2)</f>
        <v>0</v>
      </c>
      <c r="AL21" s="47" t="n">
        <f aca="false">ROUND(AO20*(1+Sorted!$H$10),2)</f>
        <v>0</v>
      </c>
      <c r="AM21" s="47" t="n">
        <f aca="false">MIN(AL21,Sorted!$G$10)</f>
        <v>0</v>
      </c>
      <c r="AN21" s="47" t="n">
        <f aca="false">MAX(0,MIN(AL21-AM21,$C21-(H21+L21+P21+T21+X21+AB21+AF21+AJ21)))</f>
        <v>0</v>
      </c>
      <c r="AO21" s="47" t="n">
        <f aca="false">ROUND(AL21-AM21-AN21,2)</f>
        <v>0</v>
      </c>
      <c r="AP21" s="47" t="n">
        <f aca="false">ROUND(AS20*(1+Sorted!$H$11),2)</f>
        <v>0</v>
      </c>
      <c r="AQ21" s="47" t="n">
        <f aca="false">MIN(AP21,Sorted!$G$11)</f>
        <v>0</v>
      </c>
      <c r="AR21" s="47" t="n">
        <f aca="false">MAX(0,MIN(AP21-AQ21,$C21-(H21+L21+P21+T21+X21+AB21+AF21+AJ21+AN21)))</f>
        <v>0</v>
      </c>
      <c r="AS21" s="47" t="n">
        <f aca="false">ROUND(AP21-AQ21-AR21,2)</f>
        <v>0</v>
      </c>
    </row>
    <row r="22" customFormat="false" ht="15" hidden="false" customHeight="false" outlineLevel="0" collapsed="false">
      <c r="A22" s="45" t="n">
        <v>19</v>
      </c>
      <c r="B22" s="46" t="n">
        <f aca="false">EDATE('My Debts'!$C$7,A22-1)</f>
        <v>46874</v>
      </c>
      <c r="C22" s="47" t="n">
        <f aca="false">MAX(0,'My Debts'!$E$6-(G22+K22+O22+S22+W22+AA22+AE22+AI22+AM22+AQ22))</f>
        <v>555</v>
      </c>
      <c r="D22" s="47" t="n">
        <f aca="false">(F22+J22+N22+R22+V22+Z22+AD22+AH22+AL22+AP22)-(I22+M22+Q22+U22+Y22+AC22+AG22+AK22+AO22+AS22)</f>
        <v>730</v>
      </c>
      <c r="E22" s="48" t="n">
        <f aca="false">I22+M22+Q22+U22+Y22+AC22+AG22+AK22+AO22+AS22</f>
        <v>2487.16</v>
      </c>
      <c r="F22" s="47" t="n">
        <f aca="false">ROUND(I21*(1+Sorted!$H$2),2)</f>
        <v>0</v>
      </c>
      <c r="G22" s="47" t="n">
        <f aca="false">MIN(F22,Sorted!$G$2)</f>
        <v>0</v>
      </c>
      <c r="H22" s="47" t="n">
        <f aca="false">MAX(0,MIN(F22-G22,$C22-(0)))</f>
        <v>0</v>
      </c>
      <c r="I22" s="47" t="n">
        <f aca="false">ROUND(F22-G22-H22,2)</f>
        <v>0</v>
      </c>
      <c r="J22" s="47" t="n">
        <f aca="false">ROUND(M21*(1+Sorted!$H$3),2)</f>
        <v>0</v>
      </c>
      <c r="K22" s="47" t="n">
        <f aca="false">MIN(J22,Sorted!$G$3)</f>
        <v>0</v>
      </c>
      <c r="L22" s="47" t="n">
        <f aca="false">MAX(0,MIN(J22-K22,$C22-(H22)))</f>
        <v>0</v>
      </c>
      <c r="M22" s="47" t="n">
        <f aca="false">ROUND(J22-K22-L22,2)</f>
        <v>0</v>
      </c>
      <c r="N22" s="47" t="n">
        <f aca="false">ROUND(Q21*(1+Sorted!$H$4),2)</f>
        <v>0</v>
      </c>
      <c r="O22" s="47" t="n">
        <f aca="false">MIN(N22,Sorted!$G$4)</f>
        <v>0</v>
      </c>
      <c r="P22" s="47" t="n">
        <f aca="false">MAX(0,MIN(N22-O22,$C22-(H22+L22)))</f>
        <v>0</v>
      </c>
      <c r="Q22" s="47" t="n">
        <f aca="false">ROUND(N22-O22-P22,2)</f>
        <v>0</v>
      </c>
      <c r="R22" s="47" t="n">
        <f aca="false">ROUND(U21*(1+Sorted!$H$5),2)</f>
        <v>3217.16</v>
      </c>
      <c r="S22" s="47" t="n">
        <f aca="false">MIN(R22,Sorted!$G$5)</f>
        <v>175</v>
      </c>
      <c r="T22" s="47" t="n">
        <f aca="false">MAX(0,MIN(R22-S22,$C22-(H22+L22+P22)))</f>
        <v>555</v>
      </c>
      <c r="U22" s="47" t="n">
        <f aca="false">ROUND(R22-S22-T22,2)</f>
        <v>2487.16</v>
      </c>
      <c r="V22" s="47" t="n">
        <f aca="false">ROUND(Y21*(1+Sorted!$H$6),2)</f>
        <v>0</v>
      </c>
      <c r="W22" s="47" t="n">
        <f aca="false">MIN(V22,Sorted!$G$6)</f>
        <v>0</v>
      </c>
      <c r="X22" s="47" t="n">
        <f aca="false">MAX(0,MIN(V22-W22,$C22-(H22+L22+P22+T22)))</f>
        <v>0</v>
      </c>
      <c r="Y22" s="47" t="n">
        <f aca="false">ROUND(V22-W22-X22,2)</f>
        <v>0</v>
      </c>
      <c r="Z22" s="47" t="n">
        <f aca="false">ROUND(AC21*(1+Sorted!$H$7),2)</f>
        <v>0</v>
      </c>
      <c r="AA22" s="47" t="n">
        <f aca="false">MIN(Z22,Sorted!$G$7)</f>
        <v>0</v>
      </c>
      <c r="AB22" s="47" t="n">
        <f aca="false">MAX(0,MIN(Z22-AA22,$C22-(H22+L22+P22+T22+X22)))</f>
        <v>0</v>
      </c>
      <c r="AC22" s="47" t="n">
        <f aca="false">ROUND(Z22-AA22-AB22,2)</f>
        <v>0</v>
      </c>
      <c r="AD22" s="47" t="n">
        <f aca="false">ROUND(AG21*(1+Sorted!$H$8),2)</f>
        <v>0</v>
      </c>
      <c r="AE22" s="47" t="n">
        <f aca="false">MIN(AD22,Sorted!$G$8)</f>
        <v>0</v>
      </c>
      <c r="AF22" s="47" t="n">
        <f aca="false">MAX(0,MIN(AD22-AE22,$C22-(H22+L22+P22+T22+X22+AB22)))</f>
        <v>0</v>
      </c>
      <c r="AG22" s="47" t="n">
        <f aca="false">ROUND(AD22-AE22-AF22,2)</f>
        <v>0</v>
      </c>
      <c r="AH22" s="47" t="n">
        <f aca="false">ROUND(AK21*(1+Sorted!$H$9),2)</f>
        <v>0</v>
      </c>
      <c r="AI22" s="47" t="n">
        <f aca="false">MIN(AH22,Sorted!$G$9)</f>
        <v>0</v>
      </c>
      <c r="AJ22" s="47" t="n">
        <f aca="false">MAX(0,MIN(AH22-AI22,$C22-(H22+L22+P22+T22+X22+AB22+AF22)))</f>
        <v>0</v>
      </c>
      <c r="AK22" s="47" t="n">
        <f aca="false">ROUND(AH22-AI22-AJ22,2)</f>
        <v>0</v>
      </c>
      <c r="AL22" s="47" t="n">
        <f aca="false">ROUND(AO21*(1+Sorted!$H$10),2)</f>
        <v>0</v>
      </c>
      <c r="AM22" s="47" t="n">
        <f aca="false">MIN(AL22,Sorted!$G$10)</f>
        <v>0</v>
      </c>
      <c r="AN22" s="47" t="n">
        <f aca="false">MAX(0,MIN(AL22-AM22,$C22-(H22+L22+P22+T22+X22+AB22+AF22+AJ22)))</f>
        <v>0</v>
      </c>
      <c r="AO22" s="47" t="n">
        <f aca="false">ROUND(AL22-AM22-AN22,2)</f>
        <v>0</v>
      </c>
      <c r="AP22" s="47" t="n">
        <f aca="false">ROUND(AS21*(1+Sorted!$H$11),2)</f>
        <v>0</v>
      </c>
      <c r="AQ22" s="47" t="n">
        <f aca="false">MIN(AP22,Sorted!$G$11)</f>
        <v>0</v>
      </c>
      <c r="AR22" s="47" t="n">
        <f aca="false">MAX(0,MIN(AP22-AQ22,$C22-(H22+L22+P22+T22+X22+AB22+AF22+AJ22+AN22)))</f>
        <v>0</v>
      </c>
      <c r="AS22" s="47" t="n">
        <f aca="false">ROUND(AP22-AQ22-AR22,2)</f>
        <v>0</v>
      </c>
    </row>
    <row r="23" customFormat="false" ht="15" hidden="false" customHeight="false" outlineLevel="0" collapsed="false">
      <c r="A23" s="45" t="n">
        <v>20</v>
      </c>
      <c r="B23" s="46" t="n">
        <f aca="false">EDATE('My Debts'!$C$7,A23-1)</f>
        <v>46905</v>
      </c>
      <c r="C23" s="47" t="n">
        <f aca="false">MAX(0,'My Debts'!$E$6-(G23+K23+O23+S23+W23+AA23+AE23+AI23+AM23+AQ23))</f>
        <v>555</v>
      </c>
      <c r="D23" s="47" t="n">
        <f aca="false">(F23+J23+N23+R23+V23+Z23+AD23+AH23+AL23+AP23)-(I23+M23+Q23+U23+Y23+AC23+AG23+AK23+AO23+AS23)</f>
        <v>730</v>
      </c>
      <c r="E23" s="48" t="n">
        <f aca="false">I23+M23+Q23+U23+Y23+AC23+AG23+AK23+AO23+AS23</f>
        <v>1808.96</v>
      </c>
      <c r="F23" s="47" t="n">
        <f aca="false">ROUND(I22*(1+Sorted!$H$2),2)</f>
        <v>0</v>
      </c>
      <c r="G23" s="47" t="n">
        <f aca="false">MIN(F23,Sorted!$G$2)</f>
        <v>0</v>
      </c>
      <c r="H23" s="47" t="n">
        <f aca="false">MAX(0,MIN(F23-G23,$C23-(0)))</f>
        <v>0</v>
      </c>
      <c r="I23" s="47" t="n">
        <f aca="false">ROUND(F23-G23-H23,2)</f>
        <v>0</v>
      </c>
      <c r="J23" s="47" t="n">
        <f aca="false">ROUND(M22*(1+Sorted!$H$3),2)</f>
        <v>0</v>
      </c>
      <c r="K23" s="47" t="n">
        <f aca="false">MIN(J23,Sorted!$G$3)</f>
        <v>0</v>
      </c>
      <c r="L23" s="47" t="n">
        <f aca="false">MAX(0,MIN(J23-K23,$C23-(H23)))</f>
        <v>0</v>
      </c>
      <c r="M23" s="47" t="n">
        <f aca="false">ROUND(J23-K23-L23,2)</f>
        <v>0</v>
      </c>
      <c r="N23" s="47" t="n">
        <f aca="false">ROUND(Q22*(1+Sorted!$H$4),2)</f>
        <v>0</v>
      </c>
      <c r="O23" s="47" t="n">
        <f aca="false">MIN(N23,Sorted!$G$4)</f>
        <v>0</v>
      </c>
      <c r="P23" s="47" t="n">
        <f aca="false">MAX(0,MIN(N23-O23,$C23-(H23+L23)))</f>
        <v>0</v>
      </c>
      <c r="Q23" s="47" t="n">
        <f aca="false">ROUND(N23-O23-P23,2)</f>
        <v>0</v>
      </c>
      <c r="R23" s="47" t="n">
        <f aca="false">ROUND(U22*(1+Sorted!$H$5),2)</f>
        <v>2538.96</v>
      </c>
      <c r="S23" s="47" t="n">
        <f aca="false">MIN(R23,Sorted!$G$5)</f>
        <v>175</v>
      </c>
      <c r="T23" s="47" t="n">
        <f aca="false">MAX(0,MIN(R23-S23,$C23-(H23+L23+P23)))</f>
        <v>555</v>
      </c>
      <c r="U23" s="47" t="n">
        <f aca="false">ROUND(R23-S23-T23,2)</f>
        <v>1808.96</v>
      </c>
      <c r="V23" s="47" t="n">
        <f aca="false">ROUND(Y22*(1+Sorted!$H$6),2)</f>
        <v>0</v>
      </c>
      <c r="W23" s="47" t="n">
        <f aca="false">MIN(V23,Sorted!$G$6)</f>
        <v>0</v>
      </c>
      <c r="X23" s="47" t="n">
        <f aca="false">MAX(0,MIN(V23-W23,$C23-(H23+L23+P23+T23)))</f>
        <v>0</v>
      </c>
      <c r="Y23" s="47" t="n">
        <f aca="false">ROUND(V23-W23-X23,2)</f>
        <v>0</v>
      </c>
      <c r="Z23" s="47" t="n">
        <f aca="false">ROUND(AC22*(1+Sorted!$H$7),2)</f>
        <v>0</v>
      </c>
      <c r="AA23" s="47" t="n">
        <f aca="false">MIN(Z23,Sorted!$G$7)</f>
        <v>0</v>
      </c>
      <c r="AB23" s="47" t="n">
        <f aca="false">MAX(0,MIN(Z23-AA23,$C23-(H23+L23+P23+T23+X23)))</f>
        <v>0</v>
      </c>
      <c r="AC23" s="47" t="n">
        <f aca="false">ROUND(Z23-AA23-AB23,2)</f>
        <v>0</v>
      </c>
      <c r="AD23" s="47" t="n">
        <f aca="false">ROUND(AG22*(1+Sorted!$H$8),2)</f>
        <v>0</v>
      </c>
      <c r="AE23" s="47" t="n">
        <f aca="false">MIN(AD23,Sorted!$G$8)</f>
        <v>0</v>
      </c>
      <c r="AF23" s="47" t="n">
        <f aca="false">MAX(0,MIN(AD23-AE23,$C23-(H23+L23+P23+T23+X23+AB23)))</f>
        <v>0</v>
      </c>
      <c r="AG23" s="47" t="n">
        <f aca="false">ROUND(AD23-AE23-AF23,2)</f>
        <v>0</v>
      </c>
      <c r="AH23" s="47" t="n">
        <f aca="false">ROUND(AK22*(1+Sorted!$H$9),2)</f>
        <v>0</v>
      </c>
      <c r="AI23" s="47" t="n">
        <f aca="false">MIN(AH23,Sorted!$G$9)</f>
        <v>0</v>
      </c>
      <c r="AJ23" s="47" t="n">
        <f aca="false">MAX(0,MIN(AH23-AI23,$C23-(H23+L23+P23+T23+X23+AB23+AF23)))</f>
        <v>0</v>
      </c>
      <c r="AK23" s="47" t="n">
        <f aca="false">ROUND(AH23-AI23-AJ23,2)</f>
        <v>0</v>
      </c>
      <c r="AL23" s="47" t="n">
        <f aca="false">ROUND(AO22*(1+Sorted!$H$10),2)</f>
        <v>0</v>
      </c>
      <c r="AM23" s="47" t="n">
        <f aca="false">MIN(AL23,Sorted!$G$10)</f>
        <v>0</v>
      </c>
      <c r="AN23" s="47" t="n">
        <f aca="false">MAX(0,MIN(AL23-AM23,$C23-(H23+L23+P23+T23+X23+AB23+AF23+AJ23)))</f>
        <v>0</v>
      </c>
      <c r="AO23" s="47" t="n">
        <f aca="false">ROUND(AL23-AM23-AN23,2)</f>
        <v>0</v>
      </c>
      <c r="AP23" s="47" t="n">
        <f aca="false">ROUND(AS22*(1+Sorted!$H$11),2)</f>
        <v>0</v>
      </c>
      <c r="AQ23" s="47" t="n">
        <f aca="false">MIN(AP23,Sorted!$G$11)</f>
        <v>0</v>
      </c>
      <c r="AR23" s="47" t="n">
        <f aca="false">MAX(0,MIN(AP23-AQ23,$C23-(H23+L23+P23+T23+X23+AB23+AF23+AJ23+AN23)))</f>
        <v>0</v>
      </c>
      <c r="AS23" s="47" t="n">
        <f aca="false">ROUND(AP23-AQ23-AR23,2)</f>
        <v>0</v>
      </c>
    </row>
    <row r="24" customFormat="false" ht="15" hidden="false" customHeight="false" outlineLevel="0" collapsed="false">
      <c r="A24" s="45" t="n">
        <v>21</v>
      </c>
      <c r="B24" s="46" t="n">
        <f aca="false">EDATE('My Debts'!$C$7,A24-1)</f>
        <v>46935</v>
      </c>
      <c r="C24" s="47" t="n">
        <f aca="false">MAX(0,'My Debts'!$E$6-(G24+K24+O24+S24+W24+AA24+AE24+AI24+AM24+AQ24))</f>
        <v>555</v>
      </c>
      <c r="D24" s="47" t="n">
        <f aca="false">(F24+J24+N24+R24+V24+Z24+AD24+AH24+AL24+AP24)-(I24+M24+Q24+U24+Y24+AC24+AG24+AK24+AO24+AS24)</f>
        <v>730</v>
      </c>
      <c r="E24" s="48" t="n">
        <f aca="false">I24+M24+Q24+U24+Y24+AC24+AG24+AK24+AO24+AS24</f>
        <v>1116.63</v>
      </c>
      <c r="F24" s="47" t="n">
        <f aca="false">ROUND(I23*(1+Sorted!$H$2),2)</f>
        <v>0</v>
      </c>
      <c r="G24" s="47" t="n">
        <f aca="false">MIN(F24,Sorted!$G$2)</f>
        <v>0</v>
      </c>
      <c r="H24" s="47" t="n">
        <f aca="false">MAX(0,MIN(F24-G24,$C24-(0)))</f>
        <v>0</v>
      </c>
      <c r="I24" s="47" t="n">
        <f aca="false">ROUND(F24-G24-H24,2)</f>
        <v>0</v>
      </c>
      <c r="J24" s="47" t="n">
        <f aca="false">ROUND(M23*(1+Sorted!$H$3),2)</f>
        <v>0</v>
      </c>
      <c r="K24" s="47" t="n">
        <f aca="false">MIN(J24,Sorted!$G$3)</f>
        <v>0</v>
      </c>
      <c r="L24" s="47" t="n">
        <f aca="false">MAX(0,MIN(J24-K24,$C24-(H24)))</f>
        <v>0</v>
      </c>
      <c r="M24" s="47" t="n">
        <f aca="false">ROUND(J24-K24-L24,2)</f>
        <v>0</v>
      </c>
      <c r="N24" s="47" t="n">
        <f aca="false">ROUND(Q23*(1+Sorted!$H$4),2)</f>
        <v>0</v>
      </c>
      <c r="O24" s="47" t="n">
        <f aca="false">MIN(N24,Sorted!$G$4)</f>
        <v>0</v>
      </c>
      <c r="P24" s="47" t="n">
        <f aca="false">MAX(0,MIN(N24-O24,$C24-(H24+L24)))</f>
        <v>0</v>
      </c>
      <c r="Q24" s="47" t="n">
        <f aca="false">ROUND(N24-O24-P24,2)</f>
        <v>0</v>
      </c>
      <c r="R24" s="47" t="n">
        <f aca="false">ROUND(U23*(1+Sorted!$H$5),2)</f>
        <v>1846.63</v>
      </c>
      <c r="S24" s="47" t="n">
        <f aca="false">MIN(R24,Sorted!$G$5)</f>
        <v>175</v>
      </c>
      <c r="T24" s="47" t="n">
        <f aca="false">MAX(0,MIN(R24-S24,$C24-(H24+L24+P24)))</f>
        <v>555</v>
      </c>
      <c r="U24" s="47" t="n">
        <f aca="false">ROUND(R24-S24-T24,2)</f>
        <v>1116.63</v>
      </c>
      <c r="V24" s="47" t="n">
        <f aca="false">ROUND(Y23*(1+Sorted!$H$6),2)</f>
        <v>0</v>
      </c>
      <c r="W24" s="47" t="n">
        <f aca="false">MIN(V24,Sorted!$G$6)</f>
        <v>0</v>
      </c>
      <c r="X24" s="47" t="n">
        <f aca="false">MAX(0,MIN(V24-W24,$C24-(H24+L24+P24+T24)))</f>
        <v>0</v>
      </c>
      <c r="Y24" s="47" t="n">
        <f aca="false">ROUND(V24-W24-X24,2)</f>
        <v>0</v>
      </c>
      <c r="Z24" s="47" t="n">
        <f aca="false">ROUND(AC23*(1+Sorted!$H$7),2)</f>
        <v>0</v>
      </c>
      <c r="AA24" s="47" t="n">
        <f aca="false">MIN(Z24,Sorted!$G$7)</f>
        <v>0</v>
      </c>
      <c r="AB24" s="47" t="n">
        <f aca="false">MAX(0,MIN(Z24-AA24,$C24-(H24+L24+P24+T24+X24)))</f>
        <v>0</v>
      </c>
      <c r="AC24" s="47" t="n">
        <f aca="false">ROUND(Z24-AA24-AB24,2)</f>
        <v>0</v>
      </c>
      <c r="AD24" s="47" t="n">
        <f aca="false">ROUND(AG23*(1+Sorted!$H$8),2)</f>
        <v>0</v>
      </c>
      <c r="AE24" s="47" t="n">
        <f aca="false">MIN(AD24,Sorted!$G$8)</f>
        <v>0</v>
      </c>
      <c r="AF24" s="47" t="n">
        <f aca="false">MAX(0,MIN(AD24-AE24,$C24-(H24+L24+P24+T24+X24+AB24)))</f>
        <v>0</v>
      </c>
      <c r="AG24" s="47" t="n">
        <f aca="false">ROUND(AD24-AE24-AF24,2)</f>
        <v>0</v>
      </c>
      <c r="AH24" s="47" t="n">
        <f aca="false">ROUND(AK23*(1+Sorted!$H$9),2)</f>
        <v>0</v>
      </c>
      <c r="AI24" s="47" t="n">
        <f aca="false">MIN(AH24,Sorted!$G$9)</f>
        <v>0</v>
      </c>
      <c r="AJ24" s="47" t="n">
        <f aca="false">MAX(0,MIN(AH24-AI24,$C24-(H24+L24+P24+T24+X24+AB24+AF24)))</f>
        <v>0</v>
      </c>
      <c r="AK24" s="47" t="n">
        <f aca="false">ROUND(AH24-AI24-AJ24,2)</f>
        <v>0</v>
      </c>
      <c r="AL24" s="47" t="n">
        <f aca="false">ROUND(AO23*(1+Sorted!$H$10),2)</f>
        <v>0</v>
      </c>
      <c r="AM24" s="47" t="n">
        <f aca="false">MIN(AL24,Sorted!$G$10)</f>
        <v>0</v>
      </c>
      <c r="AN24" s="47" t="n">
        <f aca="false">MAX(0,MIN(AL24-AM24,$C24-(H24+L24+P24+T24+X24+AB24+AF24+AJ24)))</f>
        <v>0</v>
      </c>
      <c r="AO24" s="47" t="n">
        <f aca="false">ROUND(AL24-AM24-AN24,2)</f>
        <v>0</v>
      </c>
      <c r="AP24" s="47" t="n">
        <f aca="false">ROUND(AS23*(1+Sorted!$H$11),2)</f>
        <v>0</v>
      </c>
      <c r="AQ24" s="47" t="n">
        <f aca="false">MIN(AP24,Sorted!$G$11)</f>
        <v>0</v>
      </c>
      <c r="AR24" s="47" t="n">
        <f aca="false">MAX(0,MIN(AP24-AQ24,$C24-(H24+L24+P24+T24+X24+AB24+AF24+AJ24+AN24)))</f>
        <v>0</v>
      </c>
      <c r="AS24" s="47" t="n">
        <f aca="false">ROUND(AP24-AQ24-AR24,2)</f>
        <v>0</v>
      </c>
    </row>
    <row r="25" customFormat="false" ht="15" hidden="false" customHeight="false" outlineLevel="0" collapsed="false">
      <c r="A25" s="45" t="n">
        <v>22</v>
      </c>
      <c r="B25" s="46" t="n">
        <f aca="false">EDATE('My Debts'!$C$7,A25-1)</f>
        <v>46966</v>
      </c>
      <c r="C25" s="47" t="n">
        <f aca="false">MAX(0,'My Debts'!$E$6-(G25+K25+O25+S25+W25+AA25+AE25+AI25+AM25+AQ25))</f>
        <v>555</v>
      </c>
      <c r="D25" s="47" t="n">
        <f aca="false">(F25+J25+N25+R25+V25+Z25+AD25+AH25+AL25+AP25)-(I25+M25+Q25+U25+Y25+AC25+AG25+AK25+AO25+AS25)</f>
        <v>730</v>
      </c>
      <c r="E25" s="48" t="n">
        <f aca="false">I25+M25+Q25+U25+Y25+AC25+AG25+AK25+AO25+AS25</f>
        <v>409.88</v>
      </c>
      <c r="F25" s="47" t="n">
        <f aca="false">ROUND(I24*(1+Sorted!$H$2),2)</f>
        <v>0</v>
      </c>
      <c r="G25" s="47" t="n">
        <f aca="false">MIN(F25,Sorted!$G$2)</f>
        <v>0</v>
      </c>
      <c r="H25" s="47" t="n">
        <f aca="false">MAX(0,MIN(F25-G25,$C25-(0)))</f>
        <v>0</v>
      </c>
      <c r="I25" s="47" t="n">
        <f aca="false">ROUND(F25-G25-H25,2)</f>
        <v>0</v>
      </c>
      <c r="J25" s="47" t="n">
        <f aca="false">ROUND(M24*(1+Sorted!$H$3),2)</f>
        <v>0</v>
      </c>
      <c r="K25" s="47" t="n">
        <f aca="false">MIN(J25,Sorted!$G$3)</f>
        <v>0</v>
      </c>
      <c r="L25" s="47" t="n">
        <f aca="false">MAX(0,MIN(J25-K25,$C25-(H25)))</f>
        <v>0</v>
      </c>
      <c r="M25" s="47" t="n">
        <f aca="false">ROUND(J25-K25-L25,2)</f>
        <v>0</v>
      </c>
      <c r="N25" s="47" t="n">
        <f aca="false">ROUND(Q24*(1+Sorted!$H$4),2)</f>
        <v>0</v>
      </c>
      <c r="O25" s="47" t="n">
        <f aca="false">MIN(N25,Sorted!$G$4)</f>
        <v>0</v>
      </c>
      <c r="P25" s="47" t="n">
        <f aca="false">MAX(0,MIN(N25-O25,$C25-(H25+L25)))</f>
        <v>0</v>
      </c>
      <c r="Q25" s="47" t="n">
        <f aca="false">ROUND(N25-O25-P25,2)</f>
        <v>0</v>
      </c>
      <c r="R25" s="47" t="n">
        <f aca="false">ROUND(U24*(1+Sorted!$H$5),2)</f>
        <v>1139.88</v>
      </c>
      <c r="S25" s="47" t="n">
        <f aca="false">MIN(R25,Sorted!$G$5)</f>
        <v>175</v>
      </c>
      <c r="T25" s="47" t="n">
        <f aca="false">MAX(0,MIN(R25-S25,$C25-(H25+L25+P25)))</f>
        <v>555</v>
      </c>
      <c r="U25" s="47" t="n">
        <f aca="false">ROUND(R25-S25-T25,2)</f>
        <v>409.88</v>
      </c>
      <c r="V25" s="47" t="n">
        <f aca="false">ROUND(Y24*(1+Sorted!$H$6),2)</f>
        <v>0</v>
      </c>
      <c r="W25" s="47" t="n">
        <f aca="false">MIN(V25,Sorted!$G$6)</f>
        <v>0</v>
      </c>
      <c r="X25" s="47" t="n">
        <f aca="false">MAX(0,MIN(V25-W25,$C25-(H25+L25+P25+T25)))</f>
        <v>0</v>
      </c>
      <c r="Y25" s="47" t="n">
        <f aca="false">ROUND(V25-W25-X25,2)</f>
        <v>0</v>
      </c>
      <c r="Z25" s="47" t="n">
        <f aca="false">ROUND(AC24*(1+Sorted!$H$7),2)</f>
        <v>0</v>
      </c>
      <c r="AA25" s="47" t="n">
        <f aca="false">MIN(Z25,Sorted!$G$7)</f>
        <v>0</v>
      </c>
      <c r="AB25" s="47" t="n">
        <f aca="false">MAX(0,MIN(Z25-AA25,$C25-(H25+L25+P25+T25+X25)))</f>
        <v>0</v>
      </c>
      <c r="AC25" s="47" t="n">
        <f aca="false">ROUND(Z25-AA25-AB25,2)</f>
        <v>0</v>
      </c>
      <c r="AD25" s="47" t="n">
        <f aca="false">ROUND(AG24*(1+Sorted!$H$8),2)</f>
        <v>0</v>
      </c>
      <c r="AE25" s="47" t="n">
        <f aca="false">MIN(AD25,Sorted!$G$8)</f>
        <v>0</v>
      </c>
      <c r="AF25" s="47" t="n">
        <f aca="false">MAX(0,MIN(AD25-AE25,$C25-(H25+L25+P25+T25+X25+AB25)))</f>
        <v>0</v>
      </c>
      <c r="AG25" s="47" t="n">
        <f aca="false">ROUND(AD25-AE25-AF25,2)</f>
        <v>0</v>
      </c>
      <c r="AH25" s="47" t="n">
        <f aca="false">ROUND(AK24*(1+Sorted!$H$9),2)</f>
        <v>0</v>
      </c>
      <c r="AI25" s="47" t="n">
        <f aca="false">MIN(AH25,Sorted!$G$9)</f>
        <v>0</v>
      </c>
      <c r="AJ25" s="47" t="n">
        <f aca="false">MAX(0,MIN(AH25-AI25,$C25-(H25+L25+P25+T25+X25+AB25+AF25)))</f>
        <v>0</v>
      </c>
      <c r="AK25" s="47" t="n">
        <f aca="false">ROUND(AH25-AI25-AJ25,2)</f>
        <v>0</v>
      </c>
      <c r="AL25" s="47" t="n">
        <f aca="false">ROUND(AO24*(1+Sorted!$H$10),2)</f>
        <v>0</v>
      </c>
      <c r="AM25" s="47" t="n">
        <f aca="false">MIN(AL25,Sorted!$G$10)</f>
        <v>0</v>
      </c>
      <c r="AN25" s="47" t="n">
        <f aca="false">MAX(0,MIN(AL25-AM25,$C25-(H25+L25+P25+T25+X25+AB25+AF25+AJ25)))</f>
        <v>0</v>
      </c>
      <c r="AO25" s="47" t="n">
        <f aca="false">ROUND(AL25-AM25-AN25,2)</f>
        <v>0</v>
      </c>
      <c r="AP25" s="47" t="n">
        <f aca="false">ROUND(AS24*(1+Sorted!$H$11),2)</f>
        <v>0</v>
      </c>
      <c r="AQ25" s="47" t="n">
        <f aca="false">MIN(AP25,Sorted!$G$11)</f>
        <v>0</v>
      </c>
      <c r="AR25" s="47" t="n">
        <f aca="false">MAX(0,MIN(AP25-AQ25,$C25-(H25+L25+P25+T25+X25+AB25+AF25+AJ25+AN25)))</f>
        <v>0</v>
      </c>
      <c r="AS25" s="47" t="n">
        <f aca="false">ROUND(AP25-AQ25-AR25,2)</f>
        <v>0</v>
      </c>
    </row>
    <row r="26" customFormat="false" ht="15" hidden="false" customHeight="false" outlineLevel="0" collapsed="false">
      <c r="A26" s="45" t="n">
        <v>23</v>
      </c>
      <c r="B26" s="46" t="n">
        <f aca="false">EDATE('My Debts'!$C$7,A26-1)</f>
        <v>46997</v>
      </c>
      <c r="C26" s="47" t="n">
        <f aca="false">MAX(0,'My Debts'!$E$6-(G26+K26+O26+S26+W26+AA26+AE26+AI26+AM26+AQ26))</f>
        <v>555</v>
      </c>
      <c r="D26" s="47" t="n">
        <f aca="false">(F26+J26+N26+R26+V26+Z26+AD26+AH26+AL26+AP26)-(I26+M26+Q26+U26+Y26+AC26+AG26+AK26+AO26+AS26)</f>
        <v>418.42</v>
      </c>
      <c r="E26" s="48" t="n">
        <f aca="false">I26+M26+Q26+U26+Y26+AC26+AG26+AK26+AO26+AS26</f>
        <v>0</v>
      </c>
      <c r="F26" s="47" t="n">
        <f aca="false">ROUND(I25*(1+Sorted!$H$2),2)</f>
        <v>0</v>
      </c>
      <c r="G26" s="47" t="n">
        <f aca="false">MIN(F26,Sorted!$G$2)</f>
        <v>0</v>
      </c>
      <c r="H26" s="47" t="n">
        <f aca="false">MAX(0,MIN(F26-G26,$C26-(0)))</f>
        <v>0</v>
      </c>
      <c r="I26" s="47" t="n">
        <f aca="false">ROUND(F26-G26-H26,2)</f>
        <v>0</v>
      </c>
      <c r="J26" s="47" t="n">
        <f aca="false">ROUND(M25*(1+Sorted!$H$3),2)</f>
        <v>0</v>
      </c>
      <c r="K26" s="47" t="n">
        <f aca="false">MIN(J26,Sorted!$G$3)</f>
        <v>0</v>
      </c>
      <c r="L26" s="47" t="n">
        <f aca="false">MAX(0,MIN(J26-K26,$C26-(H26)))</f>
        <v>0</v>
      </c>
      <c r="M26" s="47" t="n">
        <f aca="false">ROUND(J26-K26-L26,2)</f>
        <v>0</v>
      </c>
      <c r="N26" s="47" t="n">
        <f aca="false">ROUND(Q25*(1+Sorted!$H$4),2)</f>
        <v>0</v>
      </c>
      <c r="O26" s="47" t="n">
        <f aca="false">MIN(N26,Sorted!$G$4)</f>
        <v>0</v>
      </c>
      <c r="P26" s="47" t="n">
        <f aca="false">MAX(0,MIN(N26-O26,$C26-(H26+L26)))</f>
        <v>0</v>
      </c>
      <c r="Q26" s="47" t="n">
        <f aca="false">ROUND(N26-O26-P26,2)</f>
        <v>0</v>
      </c>
      <c r="R26" s="47" t="n">
        <f aca="false">ROUND(U25*(1+Sorted!$H$5),2)</f>
        <v>418.42</v>
      </c>
      <c r="S26" s="47" t="n">
        <f aca="false">MIN(R26,Sorted!$G$5)</f>
        <v>175</v>
      </c>
      <c r="T26" s="47" t="n">
        <f aca="false">MAX(0,MIN(R26-S26,$C26-(H26+L26+P26)))</f>
        <v>243.42</v>
      </c>
      <c r="U26" s="47" t="n">
        <f aca="false">ROUND(R26-S26-T26,2)</f>
        <v>0</v>
      </c>
      <c r="V26" s="47" t="n">
        <f aca="false">ROUND(Y25*(1+Sorted!$H$6),2)</f>
        <v>0</v>
      </c>
      <c r="W26" s="47" t="n">
        <f aca="false">MIN(V26,Sorted!$G$6)</f>
        <v>0</v>
      </c>
      <c r="X26" s="47" t="n">
        <f aca="false">MAX(0,MIN(V26-W26,$C26-(H26+L26+P26+T26)))</f>
        <v>0</v>
      </c>
      <c r="Y26" s="47" t="n">
        <f aca="false">ROUND(V26-W26-X26,2)</f>
        <v>0</v>
      </c>
      <c r="Z26" s="47" t="n">
        <f aca="false">ROUND(AC25*(1+Sorted!$H$7),2)</f>
        <v>0</v>
      </c>
      <c r="AA26" s="47" t="n">
        <f aca="false">MIN(Z26,Sorted!$G$7)</f>
        <v>0</v>
      </c>
      <c r="AB26" s="47" t="n">
        <f aca="false">MAX(0,MIN(Z26-AA26,$C26-(H26+L26+P26+T26+X26)))</f>
        <v>0</v>
      </c>
      <c r="AC26" s="47" t="n">
        <f aca="false">ROUND(Z26-AA26-AB26,2)</f>
        <v>0</v>
      </c>
      <c r="AD26" s="47" t="n">
        <f aca="false">ROUND(AG25*(1+Sorted!$H$8),2)</f>
        <v>0</v>
      </c>
      <c r="AE26" s="47" t="n">
        <f aca="false">MIN(AD26,Sorted!$G$8)</f>
        <v>0</v>
      </c>
      <c r="AF26" s="47" t="n">
        <f aca="false">MAX(0,MIN(AD26-AE26,$C26-(H26+L26+P26+T26+X26+AB26)))</f>
        <v>0</v>
      </c>
      <c r="AG26" s="47" t="n">
        <f aca="false">ROUND(AD26-AE26-AF26,2)</f>
        <v>0</v>
      </c>
      <c r="AH26" s="47" t="n">
        <f aca="false">ROUND(AK25*(1+Sorted!$H$9),2)</f>
        <v>0</v>
      </c>
      <c r="AI26" s="47" t="n">
        <f aca="false">MIN(AH26,Sorted!$G$9)</f>
        <v>0</v>
      </c>
      <c r="AJ26" s="47" t="n">
        <f aca="false">MAX(0,MIN(AH26-AI26,$C26-(H26+L26+P26+T26+X26+AB26+AF26)))</f>
        <v>0</v>
      </c>
      <c r="AK26" s="47" t="n">
        <f aca="false">ROUND(AH26-AI26-AJ26,2)</f>
        <v>0</v>
      </c>
      <c r="AL26" s="47" t="n">
        <f aca="false">ROUND(AO25*(1+Sorted!$H$10),2)</f>
        <v>0</v>
      </c>
      <c r="AM26" s="47" t="n">
        <f aca="false">MIN(AL26,Sorted!$G$10)</f>
        <v>0</v>
      </c>
      <c r="AN26" s="47" t="n">
        <f aca="false">MAX(0,MIN(AL26-AM26,$C26-(H26+L26+P26+T26+X26+AB26+AF26+AJ26)))</f>
        <v>0</v>
      </c>
      <c r="AO26" s="47" t="n">
        <f aca="false">ROUND(AL26-AM26-AN26,2)</f>
        <v>0</v>
      </c>
      <c r="AP26" s="47" t="n">
        <f aca="false">ROUND(AS25*(1+Sorted!$H$11),2)</f>
        <v>0</v>
      </c>
      <c r="AQ26" s="47" t="n">
        <f aca="false">MIN(AP26,Sorted!$G$11)</f>
        <v>0</v>
      </c>
      <c r="AR26" s="47" t="n">
        <f aca="false">MAX(0,MIN(AP26-AQ26,$C26-(H26+L26+P26+T26+X26+AB26+AF26+AJ26+AN26)))</f>
        <v>0</v>
      </c>
      <c r="AS26" s="47" t="n">
        <f aca="false">ROUND(AP26-AQ26-AR26,2)</f>
        <v>0</v>
      </c>
    </row>
    <row r="27" customFormat="false" ht="15" hidden="false" customHeight="false" outlineLevel="0" collapsed="false">
      <c r="A27" s="45" t="n">
        <v>24</v>
      </c>
      <c r="B27" s="46" t="n">
        <f aca="false">EDATE('My Debts'!$C$7,A27-1)</f>
        <v>47027</v>
      </c>
      <c r="C27" s="47" t="n">
        <f aca="false">MAX(0,'My Debts'!$E$6-(G27+K27+O27+S27+W27+AA27+AE27+AI27+AM27+AQ27))</f>
        <v>730</v>
      </c>
      <c r="D27" s="47" t="n">
        <f aca="false">(F27+J27+N27+R27+V27+Z27+AD27+AH27+AL27+AP27)-(I27+M27+Q27+U27+Y27+AC27+AG27+AK27+AO27+AS27)</f>
        <v>0</v>
      </c>
      <c r="E27" s="48" t="n">
        <f aca="false">I27+M27+Q27+U27+Y27+AC27+AG27+AK27+AO27+AS27</f>
        <v>0</v>
      </c>
      <c r="F27" s="47" t="n">
        <f aca="false">ROUND(I26*(1+Sorted!$H$2),2)</f>
        <v>0</v>
      </c>
      <c r="G27" s="47" t="n">
        <f aca="false">MIN(F27,Sorted!$G$2)</f>
        <v>0</v>
      </c>
      <c r="H27" s="47" t="n">
        <f aca="false">MAX(0,MIN(F27-G27,$C27-(0)))</f>
        <v>0</v>
      </c>
      <c r="I27" s="47" t="n">
        <f aca="false">ROUND(F27-G27-H27,2)</f>
        <v>0</v>
      </c>
      <c r="J27" s="47" t="n">
        <f aca="false">ROUND(M26*(1+Sorted!$H$3),2)</f>
        <v>0</v>
      </c>
      <c r="K27" s="47" t="n">
        <f aca="false">MIN(J27,Sorted!$G$3)</f>
        <v>0</v>
      </c>
      <c r="L27" s="47" t="n">
        <f aca="false">MAX(0,MIN(J27-K27,$C27-(H27)))</f>
        <v>0</v>
      </c>
      <c r="M27" s="47" t="n">
        <f aca="false">ROUND(J27-K27-L27,2)</f>
        <v>0</v>
      </c>
      <c r="N27" s="47" t="n">
        <f aca="false">ROUND(Q26*(1+Sorted!$H$4),2)</f>
        <v>0</v>
      </c>
      <c r="O27" s="47" t="n">
        <f aca="false">MIN(N27,Sorted!$G$4)</f>
        <v>0</v>
      </c>
      <c r="P27" s="47" t="n">
        <f aca="false">MAX(0,MIN(N27-O27,$C27-(H27+L27)))</f>
        <v>0</v>
      </c>
      <c r="Q27" s="47" t="n">
        <f aca="false">ROUND(N27-O27-P27,2)</f>
        <v>0</v>
      </c>
      <c r="R27" s="47" t="n">
        <f aca="false">ROUND(U26*(1+Sorted!$H$5),2)</f>
        <v>0</v>
      </c>
      <c r="S27" s="47" t="n">
        <f aca="false">MIN(R27,Sorted!$G$5)</f>
        <v>0</v>
      </c>
      <c r="T27" s="47" t="n">
        <f aca="false">MAX(0,MIN(R27-S27,$C27-(H27+L27+P27)))</f>
        <v>0</v>
      </c>
      <c r="U27" s="47" t="n">
        <f aca="false">ROUND(R27-S27-T27,2)</f>
        <v>0</v>
      </c>
      <c r="V27" s="47" t="n">
        <f aca="false">ROUND(Y26*(1+Sorted!$H$6),2)</f>
        <v>0</v>
      </c>
      <c r="W27" s="47" t="n">
        <f aca="false">MIN(V27,Sorted!$G$6)</f>
        <v>0</v>
      </c>
      <c r="X27" s="47" t="n">
        <f aca="false">MAX(0,MIN(V27-W27,$C27-(H27+L27+P27+T27)))</f>
        <v>0</v>
      </c>
      <c r="Y27" s="47" t="n">
        <f aca="false">ROUND(V27-W27-X27,2)</f>
        <v>0</v>
      </c>
      <c r="Z27" s="47" t="n">
        <f aca="false">ROUND(AC26*(1+Sorted!$H$7),2)</f>
        <v>0</v>
      </c>
      <c r="AA27" s="47" t="n">
        <f aca="false">MIN(Z27,Sorted!$G$7)</f>
        <v>0</v>
      </c>
      <c r="AB27" s="47" t="n">
        <f aca="false">MAX(0,MIN(Z27-AA27,$C27-(H27+L27+P27+T27+X27)))</f>
        <v>0</v>
      </c>
      <c r="AC27" s="47" t="n">
        <f aca="false">ROUND(Z27-AA27-AB27,2)</f>
        <v>0</v>
      </c>
      <c r="AD27" s="47" t="n">
        <f aca="false">ROUND(AG26*(1+Sorted!$H$8),2)</f>
        <v>0</v>
      </c>
      <c r="AE27" s="47" t="n">
        <f aca="false">MIN(AD27,Sorted!$G$8)</f>
        <v>0</v>
      </c>
      <c r="AF27" s="47" t="n">
        <f aca="false">MAX(0,MIN(AD27-AE27,$C27-(H27+L27+P27+T27+X27+AB27)))</f>
        <v>0</v>
      </c>
      <c r="AG27" s="47" t="n">
        <f aca="false">ROUND(AD27-AE27-AF27,2)</f>
        <v>0</v>
      </c>
      <c r="AH27" s="47" t="n">
        <f aca="false">ROUND(AK26*(1+Sorted!$H$9),2)</f>
        <v>0</v>
      </c>
      <c r="AI27" s="47" t="n">
        <f aca="false">MIN(AH27,Sorted!$G$9)</f>
        <v>0</v>
      </c>
      <c r="AJ27" s="47" t="n">
        <f aca="false">MAX(0,MIN(AH27-AI27,$C27-(H27+L27+P27+T27+X27+AB27+AF27)))</f>
        <v>0</v>
      </c>
      <c r="AK27" s="47" t="n">
        <f aca="false">ROUND(AH27-AI27-AJ27,2)</f>
        <v>0</v>
      </c>
      <c r="AL27" s="47" t="n">
        <f aca="false">ROUND(AO26*(1+Sorted!$H$10),2)</f>
        <v>0</v>
      </c>
      <c r="AM27" s="47" t="n">
        <f aca="false">MIN(AL27,Sorted!$G$10)</f>
        <v>0</v>
      </c>
      <c r="AN27" s="47" t="n">
        <f aca="false">MAX(0,MIN(AL27-AM27,$C27-(H27+L27+P27+T27+X27+AB27+AF27+AJ27)))</f>
        <v>0</v>
      </c>
      <c r="AO27" s="47" t="n">
        <f aca="false">ROUND(AL27-AM27-AN27,2)</f>
        <v>0</v>
      </c>
      <c r="AP27" s="47" t="n">
        <f aca="false">ROUND(AS26*(1+Sorted!$H$11),2)</f>
        <v>0</v>
      </c>
      <c r="AQ27" s="47" t="n">
        <f aca="false">MIN(AP27,Sorted!$G$11)</f>
        <v>0</v>
      </c>
      <c r="AR27" s="47" t="n">
        <f aca="false">MAX(0,MIN(AP27-AQ27,$C27-(H27+L27+P27+T27+X27+AB27+AF27+AJ27+AN27)))</f>
        <v>0</v>
      </c>
      <c r="AS27" s="47" t="n">
        <f aca="false">ROUND(AP27-AQ27-AR27,2)</f>
        <v>0</v>
      </c>
    </row>
    <row r="28" customFormat="false" ht="15" hidden="false" customHeight="false" outlineLevel="0" collapsed="false">
      <c r="A28" s="45" t="n">
        <v>25</v>
      </c>
      <c r="B28" s="46" t="n">
        <f aca="false">EDATE('My Debts'!$C$7,A28-1)</f>
        <v>47058</v>
      </c>
      <c r="C28" s="47" t="n">
        <f aca="false">MAX(0,'My Debts'!$E$6-(G28+K28+O28+S28+W28+AA28+AE28+AI28+AM28+AQ28))</f>
        <v>730</v>
      </c>
      <c r="D28" s="47" t="n">
        <f aca="false">(F28+J28+N28+R28+V28+Z28+AD28+AH28+AL28+AP28)-(I28+M28+Q28+U28+Y28+AC28+AG28+AK28+AO28+AS28)</f>
        <v>0</v>
      </c>
      <c r="E28" s="48" t="n">
        <f aca="false">I28+M28+Q28+U28+Y28+AC28+AG28+AK28+AO28+AS28</f>
        <v>0</v>
      </c>
      <c r="F28" s="47" t="n">
        <f aca="false">ROUND(I27*(1+Sorted!$H$2),2)</f>
        <v>0</v>
      </c>
      <c r="G28" s="47" t="n">
        <f aca="false">MIN(F28,Sorted!$G$2)</f>
        <v>0</v>
      </c>
      <c r="H28" s="47" t="n">
        <f aca="false">MAX(0,MIN(F28-G28,$C28-(0)))</f>
        <v>0</v>
      </c>
      <c r="I28" s="47" t="n">
        <f aca="false">ROUND(F28-G28-H28,2)</f>
        <v>0</v>
      </c>
      <c r="J28" s="47" t="n">
        <f aca="false">ROUND(M27*(1+Sorted!$H$3),2)</f>
        <v>0</v>
      </c>
      <c r="K28" s="47" t="n">
        <f aca="false">MIN(J28,Sorted!$G$3)</f>
        <v>0</v>
      </c>
      <c r="L28" s="47" t="n">
        <f aca="false">MAX(0,MIN(J28-K28,$C28-(H28)))</f>
        <v>0</v>
      </c>
      <c r="M28" s="47" t="n">
        <f aca="false">ROUND(J28-K28-L28,2)</f>
        <v>0</v>
      </c>
      <c r="N28" s="47" t="n">
        <f aca="false">ROUND(Q27*(1+Sorted!$H$4),2)</f>
        <v>0</v>
      </c>
      <c r="O28" s="47" t="n">
        <f aca="false">MIN(N28,Sorted!$G$4)</f>
        <v>0</v>
      </c>
      <c r="P28" s="47" t="n">
        <f aca="false">MAX(0,MIN(N28-O28,$C28-(H28+L28)))</f>
        <v>0</v>
      </c>
      <c r="Q28" s="47" t="n">
        <f aca="false">ROUND(N28-O28-P28,2)</f>
        <v>0</v>
      </c>
      <c r="R28" s="47" t="n">
        <f aca="false">ROUND(U27*(1+Sorted!$H$5),2)</f>
        <v>0</v>
      </c>
      <c r="S28" s="47" t="n">
        <f aca="false">MIN(R28,Sorted!$G$5)</f>
        <v>0</v>
      </c>
      <c r="T28" s="47" t="n">
        <f aca="false">MAX(0,MIN(R28-S28,$C28-(H28+L28+P28)))</f>
        <v>0</v>
      </c>
      <c r="U28" s="47" t="n">
        <f aca="false">ROUND(R28-S28-T28,2)</f>
        <v>0</v>
      </c>
      <c r="V28" s="47" t="n">
        <f aca="false">ROUND(Y27*(1+Sorted!$H$6),2)</f>
        <v>0</v>
      </c>
      <c r="W28" s="47" t="n">
        <f aca="false">MIN(V28,Sorted!$G$6)</f>
        <v>0</v>
      </c>
      <c r="X28" s="47" t="n">
        <f aca="false">MAX(0,MIN(V28-W28,$C28-(H28+L28+P28+T28)))</f>
        <v>0</v>
      </c>
      <c r="Y28" s="47" t="n">
        <f aca="false">ROUND(V28-W28-X28,2)</f>
        <v>0</v>
      </c>
      <c r="Z28" s="47" t="n">
        <f aca="false">ROUND(AC27*(1+Sorted!$H$7),2)</f>
        <v>0</v>
      </c>
      <c r="AA28" s="47" t="n">
        <f aca="false">MIN(Z28,Sorted!$G$7)</f>
        <v>0</v>
      </c>
      <c r="AB28" s="47" t="n">
        <f aca="false">MAX(0,MIN(Z28-AA28,$C28-(H28+L28+P28+T28+X28)))</f>
        <v>0</v>
      </c>
      <c r="AC28" s="47" t="n">
        <f aca="false">ROUND(Z28-AA28-AB28,2)</f>
        <v>0</v>
      </c>
      <c r="AD28" s="47" t="n">
        <f aca="false">ROUND(AG27*(1+Sorted!$H$8),2)</f>
        <v>0</v>
      </c>
      <c r="AE28" s="47" t="n">
        <f aca="false">MIN(AD28,Sorted!$G$8)</f>
        <v>0</v>
      </c>
      <c r="AF28" s="47" t="n">
        <f aca="false">MAX(0,MIN(AD28-AE28,$C28-(H28+L28+P28+T28+X28+AB28)))</f>
        <v>0</v>
      </c>
      <c r="AG28" s="47" t="n">
        <f aca="false">ROUND(AD28-AE28-AF28,2)</f>
        <v>0</v>
      </c>
      <c r="AH28" s="47" t="n">
        <f aca="false">ROUND(AK27*(1+Sorted!$H$9),2)</f>
        <v>0</v>
      </c>
      <c r="AI28" s="47" t="n">
        <f aca="false">MIN(AH28,Sorted!$G$9)</f>
        <v>0</v>
      </c>
      <c r="AJ28" s="47" t="n">
        <f aca="false">MAX(0,MIN(AH28-AI28,$C28-(H28+L28+P28+T28+X28+AB28+AF28)))</f>
        <v>0</v>
      </c>
      <c r="AK28" s="47" t="n">
        <f aca="false">ROUND(AH28-AI28-AJ28,2)</f>
        <v>0</v>
      </c>
      <c r="AL28" s="47" t="n">
        <f aca="false">ROUND(AO27*(1+Sorted!$H$10),2)</f>
        <v>0</v>
      </c>
      <c r="AM28" s="47" t="n">
        <f aca="false">MIN(AL28,Sorted!$G$10)</f>
        <v>0</v>
      </c>
      <c r="AN28" s="47" t="n">
        <f aca="false">MAX(0,MIN(AL28-AM28,$C28-(H28+L28+P28+T28+X28+AB28+AF28+AJ28)))</f>
        <v>0</v>
      </c>
      <c r="AO28" s="47" t="n">
        <f aca="false">ROUND(AL28-AM28-AN28,2)</f>
        <v>0</v>
      </c>
      <c r="AP28" s="47" t="n">
        <f aca="false">ROUND(AS27*(1+Sorted!$H$11),2)</f>
        <v>0</v>
      </c>
      <c r="AQ28" s="47" t="n">
        <f aca="false">MIN(AP28,Sorted!$G$11)</f>
        <v>0</v>
      </c>
      <c r="AR28" s="47" t="n">
        <f aca="false">MAX(0,MIN(AP28-AQ28,$C28-(H28+L28+P28+T28+X28+AB28+AF28+AJ28+AN28)))</f>
        <v>0</v>
      </c>
      <c r="AS28" s="47" t="n">
        <f aca="false">ROUND(AP28-AQ28-AR28,2)</f>
        <v>0</v>
      </c>
    </row>
    <row r="29" customFormat="false" ht="15" hidden="false" customHeight="false" outlineLevel="0" collapsed="false">
      <c r="A29" s="45" t="n">
        <v>26</v>
      </c>
      <c r="B29" s="46" t="n">
        <f aca="false">EDATE('My Debts'!$C$7,A29-1)</f>
        <v>47088</v>
      </c>
      <c r="C29" s="47" t="n">
        <f aca="false">MAX(0,'My Debts'!$E$6-(G29+K29+O29+S29+W29+AA29+AE29+AI29+AM29+AQ29))</f>
        <v>730</v>
      </c>
      <c r="D29" s="47" t="n">
        <f aca="false">(F29+J29+N29+R29+V29+Z29+AD29+AH29+AL29+AP29)-(I29+M29+Q29+U29+Y29+AC29+AG29+AK29+AO29+AS29)</f>
        <v>0</v>
      </c>
      <c r="E29" s="48" t="n">
        <f aca="false">I29+M29+Q29+U29+Y29+AC29+AG29+AK29+AO29+AS29</f>
        <v>0</v>
      </c>
      <c r="F29" s="47" t="n">
        <f aca="false">ROUND(I28*(1+Sorted!$H$2),2)</f>
        <v>0</v>
      </c>
      <c r="G29" s="47" t="n">
        <f aca="false">MIN(F29,Sorted!$G$2)</f>
        <v>0</v>
      </c>
      <c r="H29" s="47" t="n">
        <f aca="false">MAX(0,MIN(F29-G29,$C29-(0)))</f>
        <v>0</v>
      </c>
      <c r="I29" s="47" t="n">
        <f aca="false">ROUND(F29-G29-H29,2)</f>
        <v>0</v>
      </c>
      <c r="J29" s="47" t="n">
        <f aca="false">ROUND(M28*(1+Sorted!$H$3),2)</f>
        <v>0</v>
      </c>
      <c r="K29" s="47" t="n">
        <f aca="false">MIN(J29,Sorted!$G$3)</f>
        <v>0</v>
      </c>
      <c r="L29" s="47" t="n">
        <f aca="false">MAX(0,MIN(J29-K29,$C29-(H29)))</f>
        <v>0</v>
      </c>
      <c r="M29" s="47" t="n">
        <f aca="false">ROUND(J29-K29-L29,2)</f>
        <v>0</v>
      </c>
      <c r="N29" s="47" t="n">
        <f aca="false">ROUND(Q28*(1+Sorted!$H$4),2)</f>
        <v>0</v>
      </c>
      <c r="O29" s="47" t="n">
        <f aca="false">MIN(N29,Sorted!$G$4)</f>
        <v>0</v>
      </c>
      <c r="P29" s="47" t="n">
        <f aca="false">MAX(0,MIN(N29-O29,$C29-(H29+L29)))</f>
        <v>0</v>
      </c>
      <c r="Q29" s="47" t="n">
        <f aca="false">ROUND(N29-O29-P29,2)</f>
        <v>0</v>
      </c>
      <c r="R29" s="47" t="n">
        <f aca="false">ROUND(U28*(1+Sorted!$H$5),2)</f>
        <v>0</v>
      </c>
      <c r="S29" s="47" t="n">
        <f aca="false">MIN(R29,Sorted!$G$5)</f>
        <v>0</v>
      </c>
      <c r="T29" s="47" t="n">
        <f aca="false">MAX(0,MIN(R29-S29,$C29-(H29+L29+P29)))</f>
        <v>0</v>
      </c>
      <c r="U29" s="47" t="n">
        <f aca="false">ROUND(R29-S29-T29,2)</f>
        <v>0</v>
      </c>
      <c r="V29" s="47" t="n">
        <f aca="false">ROUND(Y28*(1+Sorted!$H$6),2)</f>
        <v>0</v>
      </c>
      <c r="W29" s="47" t="n">
        <f aca="false">MIN(V29,Sorted!$G$6)</f>
        <v>0</v>
      </c>
      <c r="X29" s="47" t="n">
        <f aca="false">MAX(0,MIN(V29-W29,$C29-(H29+L29+P29+T29)))</f>
        <v>0</v>
      </c>
      <c r="Y29" s="47" t="n">
        <f aca="false">ROUND(V29-W29-X29,2)</f>
        <v>0</v>
      </c>
      <c r="Z29" s="47" t="n">
        <f aca="false">ROUND(AC28*(1+Sorted!$H$7),2)</f>
        <v>0</v>
      </c>
      <c r="AA29" s="47" t="n">
        <f aca="false">MIN(Z29,Sorted!$G$7)</f>
        <v>0</v>
      </c>
      <c r="AB29" s="47" t="n">
        <f aca="false">MAX(0,MIN(Z29-AA29,$C29-(H29+L29+P29+T29+X29)))</f>
        <v>0</v>
      </c>
      <c r="AC29" s="47" t="n">
        <f aca="false">ROUND(Z29-AA29-AB29,2)</f>
        <v>0</v>
      </c>
      <c r="AD29" s="47" t="n">
        <f aca="false">ROUND(AG28*(1+Sorted!$H$8),2)</f>
        <v>0</v>
      </c>
      <c r="AE29" s="47" t="n">
        <f aca="false">MIN(AD29,Sorted!$G$8)</f>
        <v>0</v>
      </c>
      <c r="AF29" s="47" t="n">
        <f aca="false">MAX(0,MIN(AD29-AE29,$C29-(H29+L29+P29+T29+X29+AB29)))</f>
        <v>0</v>
      </c>
      <c r="AG29" s="47" t="n">
        <f aca="false">ROUND(AD29-AE29-AF29,2)</f>
        <v>0</v>
      </c>
      <c r="AH29" s="47" t="n">
        <f aca="false">ROUND(AK28*(1+Sorted!$H$9),2)</f>
        <v>0</v>
      </c>
      <c r="AI29" s="47" t="n">
        <f aca="false">MIN(AH29,Sorted!$G$9)</f>
        <v>0</v>
      </c>
      <c r="AJ29" s="47" t="n">
        <f aca="false">MAX(0,MIN(AH29-AI29,$C29-(H29+L29+P29+T29+X29+AB29+AF29)))</f>
        <v>0</v>
      </c>
      <c r="AK29" s="47" t="n">
        <f aca="false">ROUND(AH29-AI29-AJ29,2)</f>
        <v>0</v>
      </c>
      <c r="AL29" s="47" t="n">
        <f aca="false">ROUND(AO28*(1+Sorted!$H$10),2)</f>
        <v>0</v>
      </c>
      <c r="AM29" s="47" t="n">
        <f aca="false">MIN(AL29,Sorted!$G$10)</f>
        <v>0</v>
      </c>
      <c r="AN29" s="47" t="n">
        <f aca="false">MAX(0,MIN(AL29-AM29,$C29-(H29+L29+P29+T29+X29+AB29+AF29+AJ29)))</f>
        <v>0</v>
      </c>
      <c r="AO29" s="47" t="n">
        <f aca="false">ROUND(AL29-AM29-AN29,2)</f>
        <v>0</v>
      </c>
      <c r="AP29" s="47" t="n">
        <f aca="false">ROUND(AS28*(1+Sorted!$H$11),2)</f>
        <v>0</v>
      </c>
      <c r="AQ29" s="47" t="n">
        <f aca="false">MIN(AP29,Sorted!$G$11)</f>
        <v>0</v>
      </c>
      <c r="AR29" s="47" t="n">
        <f aca="false">MAX(0,MIN(AP29-AQ29,$C29-(H29+L29+P29+T29+X29+AB29+AF29+AJ29+AN29)))</f>
        <v>0</v>
      </c>
      <c r="AS29" s="47" t="n">
        <f aca="false">ROUND(AP29-AQ29-AR29,2)</f>
        <v>0</v>
      </c>
    </row>
    <row r="30" customFormat="false" ht="15" hidden="false" customHeight="false" outlineLevel="0" collapsed="false">
      <c r="A30" s="45" t="n">
        <v>27</v>
      </c>
      <c r="B30" s="46" t="n">
        <f aca="false">EDATE('My Debts'!$C$7,A30-1)</f>
        <v>47119</v>
      </c>
      <c r="C30" s="47" t="n">
        <f aca="false">MAX(0,'My Debts'!$E$6-(G30+K30+O30+S30+W30+AA30+AE30+AI30+AM30+AQ30))</f>
        <v>730</v>
      </c>
      <c r="D30" s="47" t="n">
        <f aca="false">(F30+J30+N30+R30+V30+Z30+AD30+AH30+AL30+AP30)-(I30+M30+Q30+U30+Y30+AC30+AG30+AK30+AO30+AS30)</f>
        <v>0</v>
      </c>
      <c r="E30" s="48" t="n">
        <f aca="false">I30+M30+Q30+U30+Y30+AC30+AG30+AK30+AO30+AS30</f>
        <v>0</v>
      </c>
      <c r="F30" s="47" t="n">
        <f aca="false">ROUND(I29*(1+Sorted!$H$2),2)</f>
        <v>0</v>
      </c>
      <c r="G30" s="47" t="n">
        <f aca="false">MIN(F30,Sorted!$G$2)</f>
        <v>0</v>
      </c>
      <c r="H30" s="47" t="n">
        <f aca="false">MAX(0,MIN(F30-G30,$C30-(0)))</f>
        <v>0</v>
      </c>
      <c r="I30" s="47" t="n">
        <f aca="false">ROUND(F30-G30-H30,2)</f>
        <v>0</v>
      </c>
      <c r="J30" s="47" t="n">
        <f aca="false">ROUND(M29*(1+Sorted!$H$3),2)</f>
        <v>0</v>
      </c>
      <c r="K30" s="47" t="n">
        <f aca="false">MIN(J30,Sorted!$G$3)</f>
        <v>0</v>
      </c>
      <c r="L30" s="47" t="n">
        <f aca="false">MAX(0,MIN(J30-K30,$C30-(H30)))</f>
        <v>0</v>
      </c>
      <c r="M30" s="47" t="n">
        <f aca="false">ROUND(J30-K30-L30,2)</f>
        <v>0</v>
      </c>
      <c r="N30" s="47" t="n">
        <f aca="false">ROUND(Q29*(1+Sorted!$H$4),2)</f>
        <v>0</v>
      </c>
      <c r="O30" s="47" t="n">
        <f aca="false">MIN(N30,Sorted!$G$4)</f>
        <v>0</v>
      </c>
      <c r="P30" s="47" t="n">
        <f aca="false">MAX(0,MIN(N30-O30,$C30-(H30+L30)))</f>
        <v>0</v>
      </c>
      <c r="Q30" s="47" t="n">
        <f aca="false">ROUND(N30-O30-P30,2)</f>
        <v>0</v>
      </c>
      <c r="R30" s="47" t="n">
        <f aca="false">ROUND(U29*(1+Sorted!$H$5),2)</f>
        <v>0</v>
      </c>
      <c r="S30" s="47" t="n">
        <f aca="false">MIN(R30,Sorted!$G$5)</f>
        <v>0</v>
      </c>
      <c r="T30" s="47" t="n">
        <f aca="false">MAX(0,MIN(R30-S30,$C30-(H30+L30+P30)))</f>
        <v>0</v>
      </c>
      <c r="U30" s="47" t="n">
        <f aca="false">ROUND(R30-S30-T30,2)</f>
        <v>0</v>
      </c>
      <c r="V30" s="47" t="n">
        <f aca="false">ROUND(Y29*(1+Sorted!$H$6),2)</f>
        <v>0</v>
      </c>
      <c r="W30" s="47" t="n">
        <f aca="false">MIN(V30,Sorted!$G$6)</f>
        <v>0</v>
      </c>
      <c r="X30" s="47" t="n">
        <f aca="false">MAX(0,MIN(V30-W30,$C30-(H30+L30+P30+T30)))</f>
        <v>0</v>
      </c>
      <c r="Y30" s="47" t="n">
        <f aca="false">ROUND(V30-W30-X30,2)</f>
        <v>0</v>
      </c>
      <c r="Z30" s="47" t="n">
        <f aca="false">ROUND(AC29*(1+Sorted!$H$7),2)</f>
        <v>0</v>
      </c>
      <c r="AA30" s="47" t="n">
        <f aca="false">MIN(Z30,Sorted!$G$7)</f>
        <v>0</v>
      </c>
      <c r="AB30" s="47" t="n">
        <f aca="false">MAX(0,MIN(Z30-AA30,$C30-(H30+L30+P30+T30+X30)))</f>
        <v>0</v>
      </c>
      <c r="AC30" s="47" t="n">
        <f aca="false">ROUND(Z30-AA30-AB30,2)</f>
        <v>0</v>
      </c>
      <c r="AD30" s="47" t="n">
        <f aca="false">ROUND(AG29*(1+Sorted!$H$8),2)</f>
        <v>0</v>
      </c>
      <c r="AE30" s="47" t="n">
        <f aca="false">MIN(AD30,Sorted!$G$8)</f>
        <v>0</v>
      </c>
      <c r="AF30" s="47" t="n">
        <f aca="false">MAX(0,MIN(AD30-AE30,$C30-(H30+L30+P30+T30+X30+AB30)))</f>
        <v>0</v>
      </c>
      <c r="AG30" s="47" t="n">
        <f aca="false">ROUND(AD30-AE30-AF30,2)</f>
        <v>0</v>
      </c>
      <c r="AH30" s="47" t="n">
        <f aca="false">ROUND(AK29*(1+Sorted!$H$9),2)</f>
        <v>0</v>
      </c>
      <c r="AI30" s="47" t="n">
        <f aca="false">MIN(AH30,Sorted!$G$9)</f>
        <v>0</v>
      </c>
      <c r="AJ30" s="47" t="n">
        <f aca="false">MAX(0,MIN(AH30-AI30,$C30-(H30+L30+P30+T30+X30+AB30+AF30)))</f>
        <v>0</v>
      </c>
      <c r="AK30" s="47" t="n">
        <f aca="false">ROUND(AH30-AI30-AJ30,2)</f>
        <v>0</v>
      </c>
      <c r="AL30" s="47" t="n">
        <f aca="false">ROUND(AO29*(1+Sorted!$H$10),2)</f>
        <v>0</v>
      </c>
      <c r="AM30" s="47" t="n">
        <f aca="false">MIN(AL30,Sorted!$G$10)</f>
        <v>0</v>
      </c>
      <c r="AN30" s="47" t="n">
        <f aca="false">MAX(0,MIN(AL30-AM30,$C30-(H30+L30+P30+T30+X30+AB30+AF30+AJ30)))</f>
        <v>0</v>
      </c>
      <c r="AO30" s="47" t="n">
        <f aca="false">ROUND(AL30-AM30-AN30,2)</f>
        <v>0</v>
      </c>
      <c r="AP30" s="47" t="n">
        <f aca="false">ROUND(AS29*(1+Sorted!$H$11),2)</f>
        <v>0</v>
      </c>
      <c r="AQ30" s="47" t="n">
        <f aca="false">MIN(AP30,Sorted!$G$11)</f>
        <v>0</v>
      </c>
      <c r="AR30" s="47" t="n">
        <f aca="false">MAX(0,MIN(AP30-AQ30,$C30-(H30+L30+P30+T30+X30+AB30+AF30+AJ30+AN30)))</f>
        <v>0</v>
      </c>
      <c r="AS30" s="47" t="n">
        <f aca="false">ROUND(AP30-AQ30-AR30,2)</f>
        <v>0</v>
      </c>
    </row>
    <row r="31" customFormat="false" ht="15" hidden="false" customHeight="false" outlineLevel="0" collapsed="false">
      <c r="A31" s="45" t="n">
        <v>28</v>
      </c>
      <c r="B31" s="46" t="n">
        <f aca="false">EDATE('My Debts'!$C$7,A31-1)</f>
        <v>47150</v>
      </c>
      <c r="C31" s="47" t="n">
        <f aca="false">MAX(0,'My Debts'!$E$6-(G31+K31+O31+S31+W31+AA31+AE31+AI31+AM31+AQ31))</f>
        <v>730</v>
      </c>
      <c r="D31" s="47" t="n">
        <f aca="false">(F31+J31+N31+R31+V31+Z31+AD31+AH31+AL31+AP31)-(I31+M31+Q31+U31+Y31+AC31+AG31+AK31+AO31+AS31)</f>
        <v>0</v>
      </c>
      <c r="E31" s="48" t="n">
        <f aca="false">I31+M31+Q31+U31+Y31+AC31+AG31+AK31+AO31+AS31</f>
        <v>0</v>
      </c>
      <c r="F31" s="47" t="n">
        <f aca="false">ROUND(I30*(1+Sorted!$H$2),2)</f>
        <v>0</v>
      </c>
      <c r="G31" s="47" t="n">
        <f aca="false">MIN(F31,Sorted!$G$2)</f>
        <v>0</v>
      </c>
      <c r="H31" s="47" t="n">
        <f aca="false">MAX(0,MIN(F31-G31,$C31-(0)))</f>
        <v>0</v>
      </c>
      <c r="I31" s="47" t="n">
        <f aca="false">ROUND(F31-G31-H31,2)</f>
        <v>0</v>
      </c>
      <c r="J31" s="47" t="n">
        <f aca="false">ROUND(M30*(1+Sorted!$H$3),2)</f>
        <v>0</v>
      </c>
      <c r="K31" s="47" t="n">
        <f aca="false">MIN(J31,Sorted!$G$3)</f>
        <v>0</v>
      </c>
      <c r="L31" s="47" t="n">
        <f aca="false">MAX(0,MIN(J31-K31,$C31-(H31)))</f>
        <v>0</v>
      </c>
      <c r="M31" s="47" t="n">
        <f aca="false">ROUND(J31-K31-L31,2)</f>
        <v>0</v>
      </c>
      <c r="N31" s="47" t="n">
        <f aca="false">ROUND(Q30*(1+Sorted!$H$4),2)</f>
        <v>0</v>
      </c>
      <c r="O31" s="47" t="n">
        <f aca="false">MIN(N31,Sorted!$G$4)</f>
        <v>0</v>
      </c>
      <c r="P31" s="47" t="n">
        <f aca="false">MAX(0,MIN(N31-O31,$C31-(H31+L31)))</f>
        <v>0</v>
      </c>
      <c r="Q31" s="47" t="n">
        <f aca="false">ROUND(N31-O31-P31,2)</f>
        <v>0</v>
      </c>
      <c r="R31" s="47" t="n">
        <f aca="false">ROUND(U30*(1+Sorted!$H$5),2)</f>
        <v>0</v>
      </c>
      <c r="S31" s="47" t="n">
        <f aca="false">MIN(R31,Sorted!$G$5)</f>
        <v>0</v>
      </c>
      <c r="T31" s="47" t="n">
        <f aca="false">MAX(0,MIN(R31-S31,$C31-(H31+L31+P31)))</f>
        <v>0</v>
      </c>
      <c r="U31" s="47" t="n">
        <f aca="false">ROUND(R31-S31-T31,2)</f>
        <v>0</v>
      </c>
      <c r="V31" s="47" t="n">
        <f aca="false">ROUND(Y30*(1+Sorted!$H$6),2)</f>
        <v>0</v>
      </c>
      <c r="W31" s="47" t="n">
        <f aca="false">MIN(V31,Sorted!$G$6)</f>
        <v>0</v>
      </c>
      <c r="X31" s="47" t="n">
        <f aca="false">MAX(0,MIN(V31-W31,$C31-(H31+L31+P31+T31)))</f>
        <v>0</v>
      </c>
      <c r="Y31" s="47" t="n">
        <f aca="false">ROUND(V31-W31-X31,2)</f>
        <v>0</v>
      </c>
      <c r="Z31" s="47" t="n">
        <f aca="false">ROUND(AC30*(1+Sorted!$H$7),2)</f>
        <v>0</v>
      </c>
      <c r="AA31" s="47" t="n">
        <f aca="false">MIN(Z31,Sorted!$G$7)</f>
        <v>0</v>
      </c>
      <c r="AB31" s="47" t="n">
        <f aca="false">MAX(0,MIN(Z31-AA31,$C31-(H31+L31+P31+T31+X31)))</f>
        <v>0</v>
      </c>
      <c r="AC31" s="47" t="n">
        <f aca="false">ROUND(Z31-AA31-AB31,2)</f>
        <v>0</v>
      </c>
      <c r="AD31" s="47" t="n">
        <f aca="false">ROUND(AG30*(1+Sorted!$H$8),2)</f>
        <v>0</v>
      </c>
      <c r="AE31" s="47" t="n">
        <f aca="false">MIN(AD31,Sorted!$G$8)</f>
        <v>0</v>
      </c>
      <c r="AF31" s="47" t="n">
        <f aca="false">MAX(0,MIN(AD31-AE31,$C31-(H31+L31+P31+T31+X31+AB31)))</f>
        <v>0</v>
      </c>
      <c r="AG31" s="47" t="n">
        <f aca="false">ROUND(AD31-AE31-AF31,2)</f>
        <v>0</v>
      </c>
      <c r="AH31" s="47" t="n">
        <f aca="false">ROUND(AK30*(1+Sorted!$H$9),2)</f>
        <v>0</v>
      </c>
      <c r="AI31" s="47" t="n">
        <f aca="false">MIN(AH31,Sorted!$G$9)</f>
        <v>0</v>
      </c>
      <c r="AJ31" s="47" t="n">
        <f aca="false">MAX(0,MIN(AH31-AI31,$C31-(H31+L31+P31+T31+X31+AB31+AF31)))</f>
        <v>0</v>
      </c>
      <c r="AK31" s="47" t="n">
        <f aca="false">ROUND(AH31-AI31-AJ31,2)</f>
        <v>0</v>
      </c>
      <c r="AL31" s="47" t="n">
        <f aca="false">ROUND(AO30*(1+Sorted!$H$10),2)</f>
        <v>0</v>
      </c>
      <c r="AM31" s="47" t="n">
        <f aca="false">MIN(AL31,Sorted!$G$10)</f>
        <v>0</v>
      </c>
      <c r="AN31" s="47" t="n">
        <f aca="false">MAX(0,MIN(AL31-AM31,$C31-(H31+L31+P31+T31+X31+AB31+AF31+AJ31)))</f>
        <v>0</v>
      </c>
      <c r="AO31" s="47" t="n">
        <f aca="false">ROUND(AL31-AM31-AN31,2)</f>
        <v>0</v>
      </c>
      <c r="AP31" s="47" t="n">
        <f aca="false">ROUND(AS30*(1+Sorted!$H$11),2)</f>
        <v>0</v>
      </c>
      <c r="AQ31" s="47" t="n">
        <f aca="false">MIN(AP31,Sorted!$G$11)</f>
        <v>0</v>
      </c>
      <c r="AR31" s="47" t="n">
        <f aca="false">MAX(0,MIN(AP31-AQ31,$C31-(H31+L31+P31+T31+X31+AB31+AF31+AJ31+AN31)))</f>
        <v>0</v>
      </c>
      <c r="AS31" s="47" t="n">
        <f aca="false">ROUND(AP31-AQ31-AR31,2)</f>
        <v>0</v>
      </c>
    </row>
    <row r="32" customFormat="false" ht="15" hidden="false" customHeight="false" outlineLevel="0" collapsed="false">
      <c r="A32" s="45" t="n">
        <v>29</v>
      </c>
      <c r="B32" s="46" t="n">
        <f aca="false">EDATE('My Debts'!$C$7,A32-1)</f>
        <v>47178</v>
      </c>
      <c r="C32" s="47" t="n">
        <f aca="false">MAX(0,'My Debts'!$E$6-(G32+K32+O32+S32+W32+AA32+AE32+AI32+AM32+AQ32))</f>
        <v>730</v>
      </c>
      <c r="D32" s="47" t="n">
        <f aca="false">(F32+J32+N32+R32+V32+Z32+AD32+AH32+AL32+AP32)-(I32+M32+Q32+U32+Y32+AC32+AG32+AK32+AO32+AS32)</f>
        <v>0</v>
      </c>
      <c r="E32" s="48" t="n">
        <f aca="false">I32+M32+Q32+U32+Y32+AC32+AG32+AK32+AO32+AS32</f>
        <v>0</v>
      </c>
      <c r="F32" s="47" t="n">
        <f aca="false">ROUND(I31*(1+Sorted!$H$2),2)</f>
        <v>0</v>
      </c>
      <c r="G32" s="47" t="n">
        <f aca="false">MIN(F32,Sorted!$G$2)</f>
        <v>0</v>
      </c>
      <c r="H32" s="47" t="n">
        <f aca="false">MAX(0,MIN(F32-G32,$C32-(0)))</f>
        <v>0</v>
      </c>
      <c r="I32" s="47" t="n">
        <f aca="false">ROUND(F32-G32-H32,2)</f>
        <v>0</v>
      </c>
      <c r="J32" s="47" t="n">
        <f aca="false">ROUND(M31*(1+Sorted!$H$3),2)</f>
        <v>0</v>
      </c>
      <c r="K32" s="47" t="n">
        <f aca="false">MIN(J32,Sorted!$G$3)</f>
        <v>0</v>
      </c>
      <c r="L32" s="47" t="n">
        <f aca="false">MAX(0,MIN(J32-K32,$C32-(H32)))</f>
        <v>0</v>
      </c>
      <c r="M32" s="47" t="n">
        <f aca="false">ROUND(J32-K32-L32,2)</f>
        <v>0</v>
      </c>
      <c r="N32" s="47" t="n">
        <f aca="false">ROUND(Q31*(1+Sorted!$H$4),2)</f>
        <v>0</v>
      </c>
      <c r="O32" s="47" t="n">
        <f aca="false">MIN(N32,Sorted!$G$4)</f>
        <v>0</v>
      </c>
      <c r="P32" s="47" t="n">
        <f aca="false">MAX(0,MIN(N32-O32,$C32-(H32+L32)))</f>
        <v>0</v>
      </c>
      <c r="Q32" s="47" t="n">
        <f aca="false">ROUND(N32-O32-P32,2)</f>
        <v>0</v>
      </c>
      <c r="R32" s="47" t="n">
        <f aca="false">ROUND(U31*(1+Sorted!$H$5),2)</f>
        <v>0</v>
      </c>
      <c r="S32" s="47" t="n">
        <f aca="false">MIN(R32,Sorted!$G$5)</f>
        <v>0</v>
      </c>
      <c r="T32" s="47" t="n">
        <f aca="false">MAX(0,MIN(R32-S32,$C32-(H32+L32+P32)))</f>
        <v>0</v>
      </c>
      <c r="U32" s="47" t="n">
        <f aca="false">ROUND(R32-S32-T32,2)</f>
        <v>0</v>
      </c>
      <c r="V32" s="47" t="n">
        <f aca="false">ROUND(Y31*(1+Sorted!$H$6),2)</f>
        <v>0</v>
      </c>
      <c r="W32" s="47" t="n">
        <f aca="false">MIN(V32,Sorted!$G$6)</f>
        <v>0</v>
      </c>
      <c r="X32" s="47" t="n">
        <f aca="false">MAX(0,MIN(V32-W32,$C32-(H32+L32+P32+T32)))</f>
        <v>0</v>
      </c>
      <c r="Y32" s="47" t="n">
        <f aca="false">ROUND(V32-W32-X32,2)</f>
        <v>0</v>
      </c>
      <c r="Z32" s="47" t="n">
        <f aca="false">ROUND(AC31*(1+Sorted!$H$7),2)</f>
        <v>0</v>
      </c>
      <c r="AA32" s="47" t="n">
        <f aca="false">MIN(Z32,Sorted!$G$7)</f>
        <v>0</v>
      </c>
      <c r="AB32" s="47" t="n">
        <f aca="false">MAX(0,MIN(Z32-AA32,$C32-(H32+L32+P32+T32+X32)))</f>
        <v>0</v>
      </c>
      <c r="AC32" s="47" t="n">
        <f aca="false">ROUND(Z32-AA32-AB32,2)</f>
        <v>0</v>
      </c>
      <c r="AD32" s="47" t="n">
        <f aca="false">ROUND(AG31*(1+Sorted!$H$8),2)</f>
        <v>0</v>
      </c>
      <c r="AE32" s="47" t="n">
        <f aca="false">MIN(AD32,Sorted!$G$8)</f>
        <v>0</v>
      </c>
      <c r="AF32" s="47" t="n">
        <f aca="false">MAX(0,MIN(AD32-AE32,$C32-(H32+L32+P32+T32+X32+AB32)))</f>
        <v>0</v>
      </c>
      <c r="AG32" s="47" t="n">
        <f aca="false">ROUND(AD32-AE32-AF32,2)</f>
        <v>0</v>
      </c>
      <c r="AH32" s="47" t="n">
        <f aca="false">ROUND(AK31*(1+Sorted!$H$9),2)</f>
        <v>0</v>
      </c>
      <c r="AI32" s="47" t="n">
        <f aca="false">MIN(AH32,Sorted!$G$9)</f>
        <v>0</v>
      </c>
      <c r="AJ32" s="47" t="n">
        <f aca="false">MAX(0,MIN(AH32-AI32,$C32-(H32+L32+P32+T32+X32+AB32+AF32)))</f>
        <v>0</v>
      </c>
      <c r="AK32" s="47" t="n">
        <f aca="false">ROUND(AH32-AI32-AJ32,2)</f>
        <v>0</v>
      </c>
      <c r="AL32" s="47" t="n">
        <f aca="false">ROUND(AO31*(1+Sorted!$H$10),2)</f>
        <v>0</v>
      </c>
      <c r="AM32" s="47" t="n">
        <f aca="false">MIN(AL32,Sorted!$G$10)</f>
        <v>0</v>
      </c>
      <c r="AN32" s="47" t="n">
        <f aca="false">MAX(0,MIN(AL32-AM32,$C32-(H32+L32+P32+T32+X32+AB32+AF32+AJ32)))</f>
        <v>0</v>
      </c>
      <c r="AO32" s="47" t="n">
        <f aca="false">ROUND(AL32-AM32-AN32,2)</f>
        <v>0</v>
      </c>
      <c r="AP32" s="47" t="n">
        <f aca="false">ROUND(AS31*(1+Sorted!$H$11),2)</f>
        <v>0</v>
      </c>
      <c r="AQ32" s="47" t="n">
        <f aca="false">MIN(AP32,Sorted!$G$11)</f>
        <v>0</v>
      </c>
      <c r="AR32" s="47" t="n">
        <f aca="false">MAX(0,MIN(AP32-AQ32,$C32-(H32+L32+P32+T32+X32+AB32+AF32+AJ32+AN32)))</f>
        <v>0</v>
      </c>
      <c r="AS32" s="47" t="n">
        <f aca="false">ROUND(AP32-AQ32-AR32,2)</f>
        <v>0</v>
      </c>
    </row>
    <row r="33" customFormat="false" ht="15" hidden="false" customHeight="false" outlineLevel="0" collapsed="false">
      <c r="A33" s="45" t="n">
        <v>30</v>
      </c>
      <c r="B33" s="46" t="n">
        <f aca="false">EDATE('My Debts'!$C$7,A33-1)</f>
        <v>47209</v>
      </c>
      <c r="C33" s="47" t="n">
        <f aca="false">MAX(0,'My Debts'!$E$6-(G33+K33+O33+S33+W33+AA33+AE33+AI33+AM33+AQ33))</f>
        <v>730</v>
      </c>
      <c r="D33" s="47" t="n">
        <f aca="false">(F33+J33+N33+R33+V33+Z33+AD33+AH33+AL33+AP33)-(I33+M33+Q33+U33+Y33+AC33+AG33+AK33+AO33+AS33)</f>
        <v>0</v>
      </c>
      <c r="E33" s="48" t="n">
        <f aca="false">I33+M33+Q33+U33+Y33+AC33+AG33+AK33+AO33+AS33</f>
        <v>0</v>
      </c>
      <c r="F33" s="47" t="n">
        <f aca="false">ROUND(I32*(1+Sorted!$H$2),2)</f>
        <v>0</v>
      </c>
      <c r="G33" s="47" t="n">
        <f aca="false">MIN(F33,Sorted!$G$2)</f>
        <v>0</v>
      </c>
      <c r="H33" s="47" t="n">
        <f aca="false">MAX(0,MIN(F33-G33,$C33-(0)))</f>
        <v>0</v>
      </c>
      <c r="I33" s="47" t="n">
        <f aca="false">ROUND(F33-G33-H33,2)</f>
        <v>0</v>
      </c>
      <c r="J33" s="47" t="n">
        <f aca="false">ROUND(M32*(1+Sorted!$H$3),2)</f>
        <v>0</v>
      </c>
      <c r="K33" s="47" t="n">
        <f aca="false">MIN(J33,Sorted!$G$3)</f>
        <v>0</v>
      </c>
      <c r="L33" s="47" t="n">
        <f aca="false">MAX(0,MIN(J33-K33,$C33-(H33)))</f>
        <v>0</v>
      </c>
      <c r="M33" s="47" t="n">
        <f aca="false">ROUND(J33-K33-L33,2)</f>
        <v>0</v>
      </c>
      <c r="N33" s="47" t="n">
        <f aca="false">ROUND(Q32*(1+Sorted!$H$4),2)</f>
        <v>0</v>
      </c>
      <c r="O33" s="47" t="n">
        <f aca="false">MIN(N33,Sorted!$G$4)</f>
        <v>0</v>
      </c>
      <c r="P33" s="47" t="n">
        <f aca="false">MAX(0,MIN(N33-O33,$C33-(H33+L33)))</f>
        <v>0</v>
      </c>
      <c r="Q33" s="47" t="n">
        <f aca="false">ROUND(N33-O33-P33,2)</f>
        <v>0</v>
      </c>
      <c r="R33" s="47" t="n">
        <f aca="false">ROUND(U32*(1+Sorted!$H$5),2)</f>
        <v>0</v>
      </c>
      <c r="S33" s="47" t="n">
        <f aca="false">MIN(R33,Sorted!$G$5)</f>
        <v>0</v>
      </c>
      <c r="T33" s="47" t="n">
        <f aca="false">MAX(0,MIN(R33-S33,$C33-(H33+L33+P33)))</f>
        <v>0</v>
      </c>
      <c r="U33" s="47" t="n">
        <f aca="false">ROUND(R33-S33-T33,2)</f>
        <v>0</v>
      </c>
      <c r="V33" s="47" t="n">
        <f aca="false">ROUND(Y32*(1+Sorted!$H$6),2)</f>
        <v>0</v>
      </c>
      <c r="W33" s="47" t="n">
        <f aca="false">MIN(V33,Sorted!$G$6)</f>
        <v>0</v>
      </c>
      <c r="X33" s="47" t="n">
        <f aca="false">MAX(0,MIN(V33-W33,$C33-(H33+L33+P33+T33)))</f>
        <v>0</v>
      </c>
      <c r="Y33" s="47" t="n">
        <f aca="false">ROUND(V33-W33-X33,2)</f>
        <v>0</v>
      </c>
      <c r="Z33" s="47" t="n">
        <f aca="false">ROUND(AC32*(1+Sorted!$H$7),2)</f>
        <v>0</v>
      </c>
      <c r="AA33" s="47" t="n">
        <f aca="false">MIN(Z33,Sorted!$G$7)</f>
        <v>0</v>
      </c>
      <c r="AB33" s="47" t="n">
        <f aca="false">MAX(0,MIN(Z33-AA33,$C33-(H33+L33+P33+T33+X33)))</f>
        <v>0</v>
      </c>
      <c r="AC33" s="47" t="n">
        <f aca="false">ROUND(Z33-AA33-AB33,2)</f>
        <v>0</v>
      </c>
      <c r="AD33" s="47" t="n">
        <f aca="false">ROUND(AG32*(1+Sorted!$H$8),2)</f>
        <v>0</v>
      </c>
      <c r="AE33" s="47" t="n">
        <f aca="false">MIN(AD33,Sorted!$G$8)</f>
        <v>0</v>
      </c>
      <c r="AF33" s="47" t="n">
        <f aca="false">MAX(0,MIN(AD33-AE33,$C33-(H33+L33+P33+T33+X33+AB33)))</f>
        <v>0</v>
      </c>
      <c r="AG33" s="47" t="n">
        <f aca="false">ROUND(AD33-AE33-AF33,2)</f>
        <v>0</v>
      </c>
      <c r="AH33" s="47" t="n">
        <f aca="false">ROUND(AK32*(1+Sorted!$H$9),2)</f>
        <v>0</v>
      </c>
      <c r="AI33" s="47" t="n">
        <f aca="false">MIN(AH33,Sorted!$G$9)</f>
        <v>0</v>
      </c>
      <c r="AJ33" s="47" t="n">
        <f aca="false">MAX(0,MIN(AH33-AI33,$C33-(H33+L33+P33+T33+X33+AB33+AF33)))</f>
        <v>0</v>
      </c>
      <c r="AK33" s="47" t="n">
        <f aca="false">ROUND(AH33-AI33-AJ33,2)</f>
        <v>0</v>
      </c>
      <c r="AL33" s="47" t="n">
        <f aca="false">ROUND(AO32*(1+Sorted!$H$10),2)</f>
        <v>0</v>
      </c>
      <c r="AM33" s="47" t="n">
        <f aca="false">MIN(AL33,Sorted!$G$10)</f>
        <v>0</v>
      </c>
      <c r="AN33" s="47" t="n">
        <f aca="false">MAX(0,MIN(AL33-AM33,$C33-(H33+L33+P33+T33+X33+AB33+AF33+AJ33)))</f>
        <v>0</v>
      </c>
      <c r="AO33" s="47" t="n">
        <f aca="false">ROUND(AL33-AM33-AN33,2)</f>
        <v>0</v>
      </c>
      <c r="AP33" s="47" t="n">
        <f aca="false">ROUND(AS32*(1+Sorted!$H$11),2)</f>
        <v>0</v>
      </c>
      <c r="AQ33" s="47" t="n">
        <f aca="false">MIN(AP33,Sorted!$G$11)</f>
        <v>0</v>
      </c>
      <c r="AR33" s="47" t="n">
        <f aca="false">MAX(0,MIN(AP33-AQ33,$C33-(H33+L33+P33+T33+X33+AB33+AF33+AJ33+AN33)))</f>
        <v>0</v>
      </c>
      <c r="AS33" s="47" t="n">
        <f aca="false">ROUND(AP33-AQ33-AR33,2)</f>
        <v>0</v>
      </c>
    </row>
    <row r="34" customFormat="false" ht="15" hidden="false" customHeight="false" outlineLevel="0" collapsed="false">
      <c r="A34" s="45" t="n">
        <v>31</v>
      </c>
      <c r="B34" s="46" t="n">
        <f aca="false">EDATE('My Debts'!$C$7,A34-1)</f>
        <v>47239</v>
      </c>
      <c r="C34" s="47" t="n">
        <f aca="false">MAX(0,'My Debts'!$E$6-(G34+K34+O34+S34+W34+AA34+AE34+AI34+AM34+AQ34))</f>
        <v>730</v>
      </c>
      <c r="D34" s="47" t="n">
        <f aca="false">(F34+J34+N34+R34+V34+Z34+AD34+AH34+AL34+AP34)-(I34+M34+Q34+U34+Y34+AC34+AG34+AK34+AO34+AS34)</f>
        <v>0</v>
      </c>
      <c r="E34" s="48" t="n">
        <f aca="false">I34+M34+Q34+U34+Y34+AC34+AG34+AK34+AO34+AS34</f>
        <v>0</v>
      </c>
      <c r="F34" s="47" t="n">
        <f aca="false">ROUND(I33*(1+Sorted!$H$2),2)</f>
        <v>0</v>
      </c>
      <c r="G34" s="47" t="n">
        <f aca="false">MIN(F34,Sorted!$G$2)</f>
        <v>0</v>
      </c>
      <c r="H34" s="47" t="n">
        <f aca="false">MAX(0,MIN(F34-G34,$C34-(0)))</f>
        <v>0</v>
      </c>
      <c r="I34" s="47" t="n">
        <f aca="false">ROUND(F34-G34-H34,2)</f>
        <v>0</v>
      </c>
      <c r="J34" s="47" t="n">
        <f aca="false">ROUND(M33*(1+Sorted!$H$3),2)</f>
        <v>0</v>
      </c>
      <c r="K34" s="47" t="n">
        <f aca="false">MIN(J34,Sorted!$G$3)</f>
        <v>0</v>
      </c>
      <c r="L34" s="47" t="n">
        <f aca="false">MAX(0,MIN(J34-K34,$C34-(H34)))</f>
        <v>0</v>
      </c>
      <c r="M34" s="47" t="n">
        <f aca="false">ROUND(J34-K34-L34,2)</f>
        <v>0</v>
      </c>
      <c r="N34" s="47" t="n">
        <f aca="false">ROUND(Q33*(1+Sorted!$H$4),2)</f>
        <v>0</v>
      </c>
      <c r="O34" s="47" t="n">
        <f aca="false">MIN(N34,Sorted!$G$4)</f>
        <v>0</v>
      </c>
      <c r="P34" s="47" t="n">
        <f aca="false">MAX(0,MIN(N34-O34,$C34-(H34+L34)))</f>
        <v>0</v>
      </c>
      <c r="Q34" s="47" t="n">
        <f aca="false">ROUND(N34-O34-P34,2)</f>
        <v>0</v>
      </c>
      <c r="R34" s="47" t="n">
        <f aca="false">ROUND(U33*(1+Sorted!$H$5),2)</f>
        <v>0</v>
      </c>
      <c r="S34" s="47" t="n">
        <f aca="false">MIN(R34,Sorted!$G$5)</f>
        <v>0</v>
      </c>
      <c r="T34" s="47" t="n">
        <f aca="false">MAX(0,MIN(R34-S34,$C34-(H34+L34+P34)))</f>
        <v>0</v>
      </c>
      <c r="U34" s="47" t="n">
        <f aca="false">ROUND(R34-S34-T34,2)</f>
        <v>0</v>
      </c>
      <c r="V34" s="47" t="n">
        <f aca="false">ROUND(Y33*(1+Sorted!$H$6),2)</f>
        <v>0</v>
      </c>
      <c r="W34" s="47" t="n">
        <f aca="false">MIN(V34,Sorted!$G$6)</f>
        <v>0</v>
      </c>
      <c r="X34" s="47" t="n">
        <f aca="false">MAX(0,MIN(V34-W34,$C34-(H34+L34+P34+T34)))</f>
        <v>0</v>
      </c>
      <c r="Y34" s="47" t="n">
        <f aca="false">ROUND(V34-W34-X34,2)</f>
        <v>0</v>
      </c>
      <c r="Z34" s="47" t="n">
        <f aca="false">ROUND(AC33*(1+Sorted!$H$7),2)</f>
        <v>0</v>
      </c>
      <c r="AA34" s="47" t="n">
        <f aca="false">MIN(Z34,Sorted!$G$7)</f>
        <v>0</v>
      </c>
      <c r="AB34" s="47" t="n">
        <f aca="false">MAX(0,MIN(Z34-AA34,$C34-(H34+L34+P34+T34+X34)))</f>
        <v>0</v>
      </c>
      <c r="AC34" s="47" t="n">
        <f aca="false">ROUND(Z34-AA34-AB34,2)</f>
        <v>0</v>
      </c>
      <c r="AD34" s="47" t="n">
        <f aca="false">ROUND(AG33*(1+Sorted!$H$8),2)</f>
        <v>0</v>
      </c>
      <c r="AE34" s="47" t="n">
        <f aca="false">MIN(AD34,Sorted!$G$8)</f>
        <v>0</v>
      </c>
      <c r="AF34" s="47" t="n">
        <f aca="false">MAX(0,MIN(AD34-AE34,$C34-(H34+L34+P34+T34+X34+AB34)))</f>
        <v>0</v>
      </c>
      <c r="AG34" s="47" t="n">
        <f aca="false">ROUND(AD34-AE34-AF34,2)</f>
        <v>0</v>
      </c>
      <c r="AH34" s="47" t="n">
        <f aca="false">ROUND(AK33*(1+Sorted!$H$9),2)</f>
        <v>0</v>
      </c>
      <c r="AI34" s="47" t="n">
        <f aca="false">MIN(AH34,Sorted!$G$9)</f>
        <v>0</v>
      </c>
      <c r="AJ34" s="47" t="n">
        <f aca="false">MAX(0,MIN(AH34-AI34,$C34-(H34+L34+P34+T34+X34+AB34+AF34)))</f>
        <v>0</v>
      </c>
      <c r="AK34" s="47" t="n">
        <f aca="false">ROUND(AH34-AI34-AJ34,2)</f>
        <v>0</v>
      </c>
      <c r="AL34" s="47" t="n">
        <f aca="false">ROUND(AO33*(1+Sorted!$H$10),2)</f>
        <v>0</v>
      </c>
      <c r="AM34" s="47" t="n">
        <f aca="false">MIN(AL34,Sorted!$G$10)</f>
        <v>0</v>
      </c>
      <c r="AN34" s="47" t="n">
        <f aca="false">MAX(0,MIN(AL34-AM34,$C34-(H34+L34+P34+T34+X34+AB34+AF34+AJ34)))</f>
        <v>0</v>
      </c>
      <c r="AO34" s="47" t="n">
        <f aca="false">ROUND(AL34-AM34-AN34,2)</f>
        <v>0</v>
      </c>
      <c r="AP34" s="47" t="n">
        <f aca="false">ROUND(AS33*(1+Sorted!$H$11),2)</f>
        <v>0</v>
      </c>
      <c r="AQ34" s="47" t="n">
        <f aca="false">MIN(AP34,Sorted!$G$11)</f>
        <v>0</v>
      </c>
      <c r="AR34" s="47" t="n">
        <f aca="false">MAX(0,MIN(AP34-AQ34,$C34-(H34+L34+P34+T34+X34+AB34+AF34+AJ34+AN34)))</f>
        <v>0</v>
      </c>
      <c r="AS34" s="47" t="n">
        <f aca="false">ROUND(AP34-AQ34-AR34,2)</f>
        <v>0</v>
      </c>
    </row>
    <row r="35" customFormat="false" ht="15" hidden="false" customHeight="false" outlineLevel="0" collapsed="false">
      <c r="A35" s="45" t="n">
        <v>32</v>
      </c>
      <c r="B35" s="46" t="n">
        <f aca="false">EDATE('My Debts'!$C$7,A35-1)</f>
        <v>47270</v>
      </c>
      <c r="C35" s="47" t="n">
        <f aca="false">MAX(0,'My Debts'!$E$6-(G35+K35+O35+S35+W35+AA35+AE35+AI35+AM35+AQ35))</f>
        <v>730</v>
      </c>
      <c r="D35" s="47" t="n">
        <f aca="false">(F35+J35+N35+R35+V35+Z35+AD35+AH35+AL35+AP35)-(I35+M35+Q35+U35+Y35+AC35+AG35+AK35+AO35+AS35)</f>
        <v>0</v>
      </c>
      <c r="E35" s="48" t="n">
        <f aca="false">I35+M35+Q35+U35+Y35+AC35+AG35+AK35+AO35+AS35</f>
        <v>0</v>
      </c>
      <c r="F35" s="47" t="n">
        <f aca="false">ROUND(I34*(1+Sorted!$H$2),2)</f>
        <v>0</v>
      </c>
      <c r="G35" s="47" t="n">
        <f aca="false">MIN(F35,Sorted!$G$2)</f>
        <v>0</v>
      </c>
      <c r="H35" s="47" t="n">
        <f aca="false">MAX(0,MIN(F35-G35,$C35-(0)))</f>
        <v>0</v>
      </c>
      <c r="I35" s="47" t="n">
        <f aca="false">ROUND(F35-G35-H35,2)</f>
        <v>0</v>
      </c>
      <c r="J35" s="47" t="n">
        <f aca="false">ROUND(M34*(1+Sorted!$H$3),2)</f>
        <v>0</v>
      </c>
      <c r="K35" s="47" t="n">
        <f aca="false">MIN(J35,Sorted!$G$3)</f>
        <v>0</v>
      </c>
      <c r="L35" s="47" t="n">
        <f aca="false">MAX(0,MIN(J35-K35,$C35-(H35)))</f>
        <v>0</v>
      </c>
      <c r="M35" s="47" t="n">
        <f aca="false">ROUND(J35-K35-L35,2)</f>
        <v>0</v>
      </c>
      <c r="N35" s="47" t="n">
        <f aca="false">ROUND(Q34*(1+Sorted!$H$4),2)</f>
        <v>0</v>
      </c>
      <c r="O35" s="47" t="n">
        <f aca="false">MIN(N35,Sorted!$G$4)</f>
        <v>0</v>
      </c>
      <c r="P35" s="47" t="n">
        <f aca="false">MAX(0,MIN(N35-O35,$C35-(H35+L35)))</f>
        <v>0</v>
      </c>
      <c r="Q35" s="47" t="n">
        <f aca="false">ROUND(N35-O35-P35,2)</f>
        <v>0</v>
      </c>
      <c r="R35" s="47" t="n">
        <f aca="false">ROUND(U34*(1+Sorted!$H$5),2)</f>
        <v>0</v>
      </c>
      <c r="S35" s="47" t="n">
        <f aca="false">MIN(R35,Sorted!$G$5)</f>
        <v>0</v>
      </c>
      <c r="T35" s="47" t="n">
        <f aca="false">MAX(0,MIN(R35-S35,$C35-(H35+L35+P35)))</f>
        <v>0</v>
      </c>
      <c r="U35" s="47" t="n">
        <f aca="false">ROUND(R35-S35-T35,2)</f>
        <v>0</v>
      </c>
      <c r="V35" s="47" t="n">
        <f aca="false">ROUND(Y34*(1+Sorted!$H$6),2)</f>
        <v>0</v>
      </c>
      <c r="W35" s="47" t="n">
        <f aca="false">MIN(V35,Sorted!$G$6)</f>
        <v>0</v>
      </c>
      <c r="X35" s="47" t="n">
        <f aca="false">MAX(0,MIN(V35-W35,$C35-(H35+L35+P35+T35)))</f>
        <v>0</v>
      </c>
      <c r="Y35" s="47" t="n">
        <f aca="false">ROUND(V35-W35-X35,2)</f>
        <v>0</v>
      </c>
      <c r="Z35" s="47" t="n">
        <f aca="false">ROUND(AC34*(1+Sorted!$H$7),2)</f>
        <v>0</v>
      </c>
      <c r="AA35" s="47" t="n">
        <f aca="false">MIN(Z35,Sorted!$G$7)</f>
        <v>0</v>
      </c>
      <c r="AB35" s="47" t="n">
        <f aca="false">MAX(0,MIN(Z35-AA35,$C35-(H35+L35+P35+T35+X35)))</f>
        <v>0</v>
      </c>
      <c r="AC35" s="47" t="n">
        <f aca="false">ROUND(Z35-AA35-AB35,2)</f>
        <v>0</v>
      </c>
      <c r="AD35" s="47" t="n">
        <f aca="false">ROUND(AG34*(1+Sorted!$H$8),2)</f>
        <v>0</v>
      </c>
      <c r="AE35" s="47" t="n">
        <f aca="false">MIN(AD35,Sorted!$G$8)</f>
        <v>0</v>
      </c>
      <c r="AF35" s="47" t="n">
        <f aca="false">MAX(0,MIN(AD35-AE35,$C35-(H35+L35+P35+T35+X35+AB35)))</f>
        <v>0</v>
      </c>
      <c r="AG35" s="47" t="n">
        <f aca="false">ROUND(AD35-AE35-AF35,2)</f>
        <v>0</v>
      </c>
      <c r="AH35" s="47" t="n">
        <f aca="false">ROUND(AK34*(1+Sorted!$H$9),2)</f>
        <v>0</v>
      </c>
      <c r="AI35" s="47" t="n">
        <f aca="false">MIN(AH35,Sorted!$G$9)</f>
        <v>0</v>
      </c>
      <c r="AJ35" s="47" t="n">
        <f aca="false">MAX(0,MIN(AH35-AI35,$C35-(H35+L35+P35+T35+X35+AB35+AF35)))</f>
        <v>0</v>
      </c>
      <c r="AK35" s="47" t="n">
        <f aca="false">ROUND(AH35-AI35-AJ35,2)</f>
        <v>0</v>
      </c>
      <c r="AL35" s="47" t="n">
        <f aca="false">ROUND(AO34*(1+Sorted!$H$10),2)</f>
        <v>0</v>
      </c>
      <c r="AM35" s="47" t="n">
        <f aca="false">MIN(AL35,Sorted!$G$10)</f>
        <v>0</v>
      </c>
      <c r="AN35" s="47" t="n">
        <f aca="false">MAX(0,MIN(AL35-AM35,$C35-(H35+L35+P35+T35+X35+AB35+AF35+AJ35)))</f>
        <v>0</v>
      </c>
      <c r="AO35" s="47" t="n">
        <f aca="false">ROUND(AL35-AM35-AN35,2)</f>
        <v>0</v>
      </c>
      <c r="AP35" s="47" t="n">
        <f aca="false">ROUND(AS34*(1+Sorted!$H$11),2)</f>
        <v>0</v>
      </c>
      <c r="AQ35" s="47" t="n">
        <f aca="false">MIN(AP35,Sorted!$G$11)</f>
        <v>0</v>
      </c>
      <c r="AR35" s="47" t="n">
        <f aca="false">MAX(0,MIN(AP35-AQ35,$C35-(H35+L35+P35+T35+X35+AB35+AF35+AJ35+AN35)))</f>
        <v>0</v>
      </c>
      <c r="AS35" s="47" t="n">
        <f aca="false">ROUND(AP35-AQ35-AR35,2)</f>
        <v>0</v>
      </c>
    </row>
    <row r="36" customFormat="false" ht="15" hidden="false" customHeight="false" outlineLevel="0" collapsed="false">
      <c r="A36" s="45" t="n">
        <v>33</v>
      </c>
      <c r="B36" s="46" t="n">
        <f aca="false">EDATE('My Debts'!$C$7,A36-1)</f>
        <v>47300</v>
      </c>
      <c r="C36" s="47" t="n">
        <f aca="false">MAX(0,'My Debts'!$E$6-(G36+K36+O36+S36+W36+AA36+AE36+AI36+AM36+AQ36))</f>
        <v>730</v>
      </c>
      <c r="D36" s="47" t="n">
        <f aca="false">(F36+J36+N36+R36+V36+Z36+AD36+AH36+AL36+AP36)-(I36+M36+Q36+U36+Y36+AC36+AG36+AK36+AO36+AS36)</f>
        <v>0</v>
      </c>
      <c r="E36" s="48" t="n">
        <f aca="false">I36+M36+Q36+U36+Y36+AC36+AG36+AK36+AO36+AS36</f>
        <v>0</v>
      </c>
      <c r="F36" s="47" t="n">
        <f aca="false">ROUND(I35*(1+Sorted!$H$2),2)</f>
        <v>0</v>
      </c>
      <c r="G36" s="47" t="n">
        <f aca="false">MIN(F36,Sorted!$G$2)</f>
        <v>0</v>
      </c>
      <c r="H36" s="47" t="n">
        <f aca="false">MAX(0,MIN(F36-G36,$C36-(0)))</f>
        <v>0</v>
      </c>
      <c r="I36" s="47" t="n">
        <f aca="false">ROUND(F36-G36-H36,2)</f>
        <v>0</v>
      </c>
      <c r="J36" s="47" t="n">
        <f aca="false">ROUND(M35*(1+Sorted!$H$3),2)</f>
        <v>0</v>
      </c>
      <c r="K36" s="47" t="n">
        <f aca="false">MIN(J36,Sorted!$G$3)</f>
        <v>0</v>
      </c>
      <c r="L36" s="47" t="n">
        <f aca="false">MAX(0,MIN(J36-K36,$C36-(H36)))</f>
        <v>0</v>
      </c>
      <c r="M36" s="47" t="n">
        <f aca="false">ROUND(J36-K36-L36,2)</f>
        <v>0</v>
      </c>
      <c r="N36" s="47" t="n">
        <f aca="false">ROUND(Q35*(1+Sorted!$H$4),2)</f>
        <v>0</v>
      </c>
      <c r="O36" s="47" t="n">
        <f aca="false">MIN(N36,Sorted!$G$4)</f>
        <v>0</v>
      </c>
      <c r="P36" s="47" t="n">
        <f aca="false">MAX(0,MIN(N36-O36,$C36-(H36+L36)))</f>
        <v>0</v>
      </c>
      <c r="Q36" s="47" t="n">
        <f aca="false">ROUND(N36-O36-P36,2)</f>
        <v>0</v>
      </c>
      <c r="R36" s="47" t="n">
        <f aca="false">ROUND(U35*(1+Sorted!$H$5),2)</f>
        <v>0</v>
      </c>
      <c r="S36" s="47" t="n">
        <f aca="false">MIN(R36,Sorted!$G$5)</f>
        <v>0</v>
      </c>
      <c r="T36" s="47" t="n">
        <f aca="false">MAX(0,MIN(R36-S36,$C36-(H36+L36+P36)))</f>
        <v>0</v>
      </c>
      <c r="U36" s="47" t="n">
        <f aca="false">ROUND(R36-S36-T36,2)</f>
        <v>0</v>
      </c>
      <c r="V36" s="47" t="n">
        <f aca="false">ROUND(Y35*(1+Sorted!$H$6),2)</f>
        <v>0</v>
      </c>
      <c r="W36" s="47" t="n">
        <f aca="false">MIN(V36,Sorted!$G$6)</f>
        <v>0</v>
      </c>
      <c r="X36" s="47" t="n">
        <f aca="false">MAX(0,MIN(V36-W36,$C36-(H36+L36+P36+T36)))</f>
        <v>0</v>
      </c>
      <c r="Y36" s="47" t="n">
        <f aca="false">ROUND(V36-W36-X36,2)</f>
        <v>0</v>
      </c>
      <c r="Z36" s="47" t="n">
        <f aca="false">ROUND(AC35*(1+Sorted!$H$7),2)</f>
        <v>0</v>
      </c>
      <c r="AA36" s="47" t="n">
        <f aca="false">MIN(Z36,Sorted!$G$7)</f>
        <v>0</v>
      </c>
      <c r="AB36" s="47" t="n">
        <f aca="false">MAX(0,MIN(Z36-AA36,$C36-(H36+L36+P36+T36+X36)))</f>
        <v>0</v>
      </c>
      <c r="AC36" s="47" t="n">
        <f aca="false">ROUND(Z36-AA36-AB36,2)</f>
        <v>0</v>
      </c>
      <c r="AD36" s="47" t="n">
        <f aca="false">ROUND(AG35*(1+Sorted!$H$8),2)</f>
        <v>0</v>
      </c>
      <c r="AE36" s="47" t="n">
        <f aca="false">MIN(AD36,Sorted!$G$8)</f>
        <v>0</v>
      </c>
      <c r="AF36" s="47" t="n">
        <f aca="false">MAX(0,MIN(AD36-AE36,$C36-(H36+L36+P36+T36+X36+AB36)))</f>
        <v>0</v>
      </c>
      <c r="AG36" s="47" t="n">
        <f aca="false">ROUND(AD36-AE36-AF36,2)</f>
        <v>0</v>
      </c>
      <c r="AH36" s="47" t="n">
        <f aca="false">ROUND(AK35*(1+Sorted!$H$9),2)</f>
        <v>0</v>
      </c>
      <c r="AI36" s="47" t="n">
        <f aca="false">MIN(AH36,Sorted!$G$9)</f>
        <v>0</v>
      </c>
      <c r="AJ36" s="47" t="n">
        <f aca="false">MAX(0,MIN(AH36-AI36,$C36-(H36+L36+P36+T36+X36+AB36+AF36)))</f>
        <v>0</v>
      </c>
      <c r="AK36" s="47" t="n">
        <f aca="false">ROUND(AH36-AI36-AJ36,2)</f>
        <v>0</v>
      </c>
      <c r="AL36" s="47" t="n">
        <f aca="false">ROUND(AO35*(1+Sorted!$H$10),2)</f>
        <v>0</v>
      </c>
      <c r="AM36" s="47" t="n">
        <f aca="false">MIN(AL36,Sorted!$G$10)</f>
        <v>0</v>
      </c>
      <c r="AN36" s="47" t="n">
        <f aca="false">MAX(0,MIN(AL36-AM36,$C36-(H36+L36+P36+T36+X36+AB36+AF36+AJ36)))</f>
        <v>0</v>
      </c>
      <c r="AO36" s="47" t="n">
        <f aca="false">ROUND(AL36-AM36-AN36,2)</f>
        <v>0</v>
      </c>
      <c r="AP36" s="47" t="n">
        <f aca="false">ROUND(AS35*(1+Sorted!$H$11),2)</f>
        <v>0</v>
      </c>
      <c r="AQ36" s="47" t="n">
        <f aca="false">MIN(AP36,Sorted!$G$11)</f>
        <v>0</v>
      </c>
      <c r="AR36" s="47" t="n">
        <f aca="false">MAX(0,MIN(AP36-AQ36,$C36-(H36+L36+P36+T36+X36+AB36+AF36+AJ36+AN36)))</f>
        <v>0</v>
      </c>
      <c r="AS36" s="47" t="n">
        <f aca="false">ROUND(AP36-AQ36-AR36,2)</f>
        <v>0</v>
      </c>
    </row>
    <row r="37" customFormat="false" ht="15" hidden="false" customHeight="false" outlineLevel="0" collapsed="false">
      <c r="A37" s="45" t="n">
        <v>34</v>
      </c>
      <c r="B37" s="46" t="n">
        <f aca="false">EDATE('My Debts'!$C$7,A37-1)</f>
        <v>47331</v>
      </c>
      <c r="C37" s="47" t="n">
        <f aca="false">MAX(0,'My Debts'!$E$6-(G37+K37+O37+S37+W37+AA37+AE37+AI37+AM37+AQ37))</f>
        <v>730</v>
      </c>
      <c r="D37" s="47" t="n">
        <f aca="false">(F37+J37+N37+R37+V37+Z37+AD37+AH37+AL37+AP37)-(I37+M37+Q37+U37+Y37+AC37+AG37+AK37+AO37+AS37)</f>
        <v>0</v>
      </c>
      <c r="E37" s="48" t="n">
        <f aca="false">I37+M37+Q37+U37+Y37+AC37+AG37+AK37+AO37+AS37</f>
        <v>0</v>
      </c>
      <c r="F37" s="47" t="n">
        <f aca="false">ROUND(I36*(1+Sorted!$H$2),2)</f>
        <v>0</v>
      </c>
      <c r="G37" s="47" t="n">
        <f aca="false">MIN(F37,Sorted!$G$2)</f>
        <v>0</v>
      </c>
      <c r="H37" s="47" t="n">
        <f aca="false">MAX(0,MIN(F37-G37,$C37-(0)))</f>
        <v>0</v>
      </c>
      <c r="I37" s="47" t="n">
        <f aca="false">ROUND(F37-G37-H37,2)</f>
        <v>0</v>
      </c>
      <c r="J37" s="47" t="n">
        <f aca="false">ROUND(M36*(1+Sorted!$H$3),2)</f>
        <v>0</v>
      </c>
      <c r="K37" s="47" t="n">
        <f aca="false">MIN(J37,Sorted!$G$3)</f>
        <v>0</v>
      </c>
      <c r="L37" s="47" t="n">
        <f aca="false">MAX(0,MIN(J37-K37,$C37-(H37)))</f>
        <v>0</v>
      </c>
      <c r="M37" s="47" t="n">
        <f aca="false">ROUND(J37-K37-L37,2)</f>
        <v>0</v>
      </c>
      <c r="N37" s="47" t="n">
        <f aca="false">ROUND(Q36*(1+Sorted!$H$4),2)</f>
        <v>0</v>
      </c>
      <c r="O37" s="47" t="n">
        <f aca="false">MIN(N37,Sorted!$G$4)</f>
        <v>0</v>
      </c>
      <c r="P37" s="47" t="n">
        <f aca="false">MAX(0,MIN(N37-O37,$C37-(H37+L37)))</f>
        <v>0</v>
      </c>
      <c r="Q37" s="47" t="n">
        <f aca="false">ROUND(N37-O37-P37,2)</f>
        <v>0</v>
      </c>
      <c r="R37" s="47" t="n">
        <f aca="false">ROUND(U36*(1+Sorted!$H$5),2)</f>
        <v>0</v>
      </c>
      <c r="S37" s="47" t="n">
        <f aca="false">MIN(R37,Sorted!$G$5)</f>
        <v>0</v>
      </c>
      <c r="T37" s="47" t="n">
        <f aca="false">MAX(0,MIN(R37-S37,$C37-(H37+L37+P37)))</f>
        <v>0</v>
      </c>
      <c r="U37" s="47" t="n">
        <f aca="false">ROUND(R37-S37-T37,2)</f>
        <v>0</v>
      </c>
      <c r="V37" s="47" t="n">
        <f aca="false">ROUND(Y36*(1+Sorted!$H$6),2)</f>
        <v>0</v>
      </c>
      <c r="W37" s="47" t="n">
        <f aca="false">MIN(V37,Sorted!$G$6)</f>
        <v>0</v>
      </c>
      <c r="X37" s="47" t="n">
        <f aca="false">MAX(0,MIN(V37-W37,$C37-(H37+L37+P37+T37)))</f>
        <v>0</v>
      </c>
      <c r="Y37" s="47" t="n">
        <f aca="false">ROUND(V37-W37-X37,2)</f>
        <v>0</v>
      </c>
      <c r="Z37" s="47" t="n">
        <f aca="false">ROUND(AC36*(1+Sorted!$H$7),2)</f>
        <v>0</v>
      </c>
      <c r="AA37" s="47" t="n">
        <f aca="false">MIN(Z37,Sorted!$G$7)</f>
        <v>0</v>
      </c>
      <c r="AB37" s="47" t="n">
        <f aca="false">MAX(0,MIN(Z37-AA37,$C37-(H37+L37+P37+T37+X37)))</f>
        <v>0</v>
      </c>
      <c r="AC37" s="47" t="n">
        <f aca="false">ROUND(Z37-AA37-AB37,2)</f>
        <v>0</v>
      </c>
      <c r="AD37" s="47" t="n">
        <f aca="false">ROUND(AG36*(1+Sorted!$H$8),2)</f>
        <v>0</v>
      </c>
      <c r="AE37" s="47" t="n">
        <f aca="false">MIN(AD37,Sorted!$G$8)</f>
        <v>0</v>
      </c>
      <c r="AF37" s="47" t="n">
        <f aca="false">MAX(0,MIN(AD37-AE37,$C37-(H37+L37+P37+T37+X37+AB37)))</f>
        <v>0</v>
      </c>
      <c r="AG37" s="47" t="n">
        <f aca="false">ROUND(AD37-AE37-AF37,2)</f>
        <v>0</v>
      </c>
      <c r="AH37" s="47" t="n">
        <f aca="false">ROUND(AK36*(1+Sorted!$H$9),2)</f>
        <v>0</v>
      </c>
      <c r="AI37" s="47" t="n">
        <f aca="false">MIN(AH37,Sorted!$G$9)</f>
        <v>0</v>
      </c>
      <c r="AJ37" s="47" t="n">
        <f aca="false">MAX(0,MIN(AH37-AI37,$C37-(H37+L37+P37+T37+X37+AB37+AF37)))</f>
        <v>0</v>
      </c>
      <c r="AK37" s="47" t="n">
        <f aca="false">ROUND(AH37-AI37-AJ37,2)</f>
        <v>0</v>
      </c>
      <c r="AL37" s="47" t="n">
        <f aca="false">ROUND(AO36*(1+Sorted!$H$10),2)</f>
        <v>0</v>
      </c>
      <c r="AM37" s="47" t="n">
        <f aca="false">MIN(AL37,Sorted!$G$10)</f>
        <v>0</v>
      </c>
      <c r="AN37" s="47" t="n">
        <f aca="false">MAX(0,MIN(AL37-AM37,$C37-(H37+L37+P37+T37+X37+AB37+AF37+AJ37)))</f>
        <v>0</v>
      </c>
      <c r="AO37" s="47" t="n">
        <f aca="false">ROUND(AL37-AM37-AN37,2)</f>
        <v>0</v>
      </c>
      <c r="AP37" s="47" t="n">
        <f aca="false">ROUND(AS36*(1+Sorted!$H$11),2)</f>
        <v>0</v>
      </c>
      <c r="AQ37" s="47" t="n">
        <f aca="false">MIN(AP37,Sorted!$G$11)</f>
        <v>0</v>
      </c>
      <c r="AR37" s="47" t="n">
        <f aca="false">MAX(0,MIN(AP37-AQ37,$C37-(H37+L37+P37+T37+X37+AB37+AF37+AJ37+AN37)))</f>
        <v>0</v>
      </c>
      <c r="AS37" s="47" t="n">
        <f aca="false">ROUND(AP37-AQ37-AR37,2)</f>
        <v>0</v>
      </c>
    </row>
    <row r="38" customFormat="false" ht="15" hidden="false" customHeight="false" outlineLevel="0" collapsed="false">
      <c r="A38" s="45" t="n">
        <v>35</v>
      </c>
      <c r="B38" s="46" t="n">
        <f aca="false">EDATE('My Debts'!$C$7,A38-1)</f>
        <v>47362</v>
      </c>
      <c r="C38" s="47" t="n">
        <f aca="false">MAX(0,'My Debts'!$E$6-(G38+K38+O38+S38+W38+AA38+AE38+AI38+AM38+AQ38))</f>
        <v>730</v>
      </c>
      <c r="D38" s="47" t="n">
        <f aca="false">(F38+J38+N38+R38+V38+Z38+AD38+AH38+AL38+AP38)-(I38+M38+Q38+U38+Y38+AC38+AG38+AK38+AO38+AS38)</f>
        <v>0</v>
      </c>
      <c r="E38" s="48" t="n">
        <f aca="false">I38+M38+Q38+U38+Y38+AC38+AG38+AK38+AO38+AS38</f>
        <v>0</v>
      </c>
      <c r="F38" s="47" t="n">
        <f aca="false">ROUND(I37*(1+Sorted!$H$2),2)</f>
        <v>0</v>
      </c>
      <c r="G38" s="47" t="n">
        <f aca="false">MIN(F38,Sorted!$G$2)</f>
        <v>0</v>
      </c>
      <c r="H38" s="47" t="n">
        <f aca="false">MAX(0,MIN(F38-G38,$C38-(0)))</f>
        <v>0</v>
      </c>
      <c r="I38" s="47" t="n">
        <f aca="false">ROUND(F38-G38-H38,2)</f>
        <v>0</v>
      </c>
      <c r="J38" s="47" t="n">
        <f aca="false">ROUND(M37*(1+Sorted!$H$3),2)</f>
        <v>0</v>
      </c>
      <c r="K38" s="47" t="n">
        <f aca="false">MIN(J38,Sorted!$G$3)</f>
        <v>0</v>
      </c>
      <c r="L38" s="47" t="n">
        <f aca="false">MAX(0,MIN(J38-K38,$C38-(H38)))</f>
        <v>0</v>
      </c>
      <c r="M38" s="47" t="n">
        <f aca="false">ROUND(J38-K38-L38,2)</f>
        <v>0</v>
      </c>
      <c r="N38" s="47" t="n">
        <f aca="false">ROUND(Q37*(1+Sorted!$H$4),2)</f>
        <v>0</v>
      </c>
      <c r="O38" s="47" t="n">
        <f aca="false">MIN(N38,Sorted!$G$4)</f>
        <v>0</v>
      </c>
      <c r="P38" s="47" t="n">
        <f aca="false">MAX(0,MIN(N38-O38,$C38-(H38+L38)))</f>
        <v>0</v>
      </c>
      <c r="Q38" s="47" t="n">
        <f aca="false">ROUND(N38-O38-P38,2)</f>
        <v>0</v>
      </c>
      <c r="R38" s="47" t="n">
        <f aca="false">ROUND(U37*(1+Sorted!$H$5),2)</f>
        <v>0</v>
      </c>
      <c r="S38" s="47" t="n">
        <f aca="false">MIN(R38,Sorted!$G$5)</f>
        <v>0</v>
      </c>
      <c r="T38" s="47" t="n">
        <f aca="false">MAX(0,MIN(R38-S38,$C38-(H38+L38+P38)))</f>
        <v>0</v>
      </c>
      <c r="U38" s="47" t="n">
        <f aca="false">ROUND(R38-S38-T38,2)</f>
        <v>0</v>
      </c>
      <c r="V38" s="47" t="n">
        <f aca="false">ROUND(Y37*(1+Sorted!$H$6),2)</f>
        <v>0</v>
      </c>
      <c r="W38" s="47" t="n">
        <f aca="false">MIN(V38,Sorted!$G$6)</f>
        <v>0</v>
      </c>
      <c r="X38" s="47" t="n">
        <f aca="false">MAX(0,MIN(V38-W38,$C38-(H38+L38+P38+T38)))</f>
        <v>0</v>
      </c>
      <c r="Y38" s="47" t="n">
        <f aca="false">ROUND(V38-W38-X38,2)</f>
        <v>0</v>
      </c>
      <c r="Z38" s="47" t="n">
        <f aca="false">ROUND(AC37*(1+Sorted!$H$7),2)</f>
        <v>0</v>
      </c>
      <c r="AA38" s="47" t="n">
        <f aca="false">MIN(Z38,Sorted!$G$7)</f>
        <v>0</v>
      </c>
      <c r="AB38" s="47" t="n">
        <f aca="false">MAX(0,MIN(Z38-AA38,$C38-(H38+L38+P38+T38+X38)))</f>
        <v>0</v>
      </c>
      <c r="AC38" s="47" t="n">
        <f aca="false">ROUND(Z38-AA38-AB38,2)</f>
        <v>0</v>
      </c>
      <c r="AD38" s="47" t="n">
        <f aca="false">ROUND(AG37*(1+Sorted!$H$8),2)</f>
        <v>0</v>
      </c>
      <c r="AE38" s="47" t="n">
        <f aca="false">MIN(AD38,Sorted!$G$8)</f>
        <v>0</v>
      </c>
      <c r="AF38" s="47" t="n">
        <f aca="false">MAX(0,MIN(AD38-AE38,$C38-(H38+L38+P38+T38+X38+AB38)))</f>
        <v>0</v>
      </c>
      <c r="AG38" s="47" t="n">
        <f aca="false">ROUND(AD38-AE38-AF38,2)</f>
        <v>0</v>
      </c>
      <c r="AH38" s="47" t="n">
        <f aca="false">ROUND(AK37*(1+Sorted!$H$9),2)</f>
        <v>0</v>
      </c>
      <c r="AI38" s="47" t="n">
        <f aca="false">MIN(AH38,Sorted!$G$9)</f>
        <v>0</v>
      </c>
      <c r="AJ38" s="47" t="n">
        <f aca="false">MAX(0,MIN(AH38-AI38,$C38-(H38+L38+P38+T38+X38+AB38+AF38)))</f>
        <v>0</v>
      </c>
      <c r="AK38" s="47" t="n">
        <f aca="false">ROUND(AH38-AI38-AJ38,2)</f>
        <v>0</v>
      </c>
      <c r="AL38" s="47" t="n">
        <f aca="false">ROUND(AO37*(1+Sorted!$H$10),2)</f>
        <v>0</v>
      </c>
      <c r="AM38" s="47" t="n">
        <f aca="false">MIN(AL38,Sorted!$G$10)</f>
        <v>0</v>
      </c>
      <c r="AN38" s="47" t="n">
        <f aca="false">MAX(0,MIN(AL38-AM38,$C38-(H38+L38+P38+T38+X38+AB38+AF38+AJ38)))</f>
        <v>0</v>
      </c>
      <c r="AO38" s="47" t="n">
        <f aca="false">ROUND(AL38-AM38-AN38,2)</f>
        <v>0</v>
      </c>
      <c r="AP38" s="47" t="n">
        <f aca="false">ROUND(AS37*(1+Sorted!$H$11),2)</f>
        <v>0</v>
      </c>
      <c r="AQ38" s="47" t="n">
        <f aca="false">MIN(AP38,Sorted!$G$11)</f>
        <v>0</v>
      </c>
      <c r="AR38" s="47" t="n">
        <f aca="false">MAX(0,MIN(AP38-AQ38,$C38-(H38+L38+P38+T38+X38+AB38+AF38+AJ38+AN38)))</f>
        <v>0</v>
      </c>
      <c r="AS38" s="47" t="n">
        <f aca="false">ROUND(AP38-AQ38-AR38,2)</f>
        <v>0</v>
      </c>
    </row>
    <row r="39" customFormat="false" ht="15" hidden="false" customHeight="false" outlineLevel="0" collapsed="false">
      <c r="A39" s="45" t="n">
        <v>36</v>
      </c>
      <c r="B39" s="46" t="n">
        <f aca="false">EDATE('My Debts'!$C$7,A39-1)</f>
        <v>47392</v>
      </c>
      <c r="C39" s="47" t="n">
        <f aca="false">MAX(0,'My Debts'!$E$6-(G39+K39+O39+S39+W39+AA39+AE39+AI39+AM39+AQ39))</f>
        <v>730</v>
      </c>
      <c r="D39" s="47" t="n">
        <f aca="false">(F39+J39+N39+R39+V39+Z39+AD39+AH39+AL39+AP39)-(I39+M39+Q39+U39+Y39+AC39+AG39+AK39+AO39+AS39)</f>
        <v>0</v>
      </c>
      <c r="E39" s="48" t="n">
        <f aca="false">I39+M39+Q39+U39+Y39+AC39+AG39+AK39+AO39+AS39</f>
        <v>0</v>
      </c>
      <c r="F39" s="47" t="n">
        <f aca="false">ROUND(I38*(1+Sorted!$H$2),2)</f>
        <v>0</v>
      </c>
      <c r="G39" s="47" t="n">
        <f aca="false">MIN(F39,Sorted!$G$2)</f>
        <v>0</v>
      </c>
      <c r="H39" s="47" t="n">
        <f aca="false">MAX(0,MIN(F39-G39,$C39-(0)))</f>
        <v>0</v>
      </c>
      <c r="I39" s="47" t="n">
        <f aca="false">ROUND(F39-G39-H39,2)</f>
        <v>0</v>
      </c>
      <c r="J39" s="47" t="n">
        <f aca="false">ROUND(M38*(1+Sorted!$H$3),2)</f>
        <v>0</v>
      </c>
      <c r="K39" s="47" t="n">
        <f aca="false">MIN(J39,Sorted!$G$3)</f>
        <v>0</v>
      </c>
      <c r="L39" s="47" t="n">
        <f aca="false">MAX(0,MIN(J39-K39,$C39-(H39)))</f>
        <v>0</v>
      </c>
      <c r="M39" s="47" t="n">
        <f aca="false">ROUND(J39-K39-L39,2)</f>
        <v>0</v>
      </c>
      <c r="N39" s="47" t="n">
        <f aca="false">ROUND(Q38*(1+Sorted!$H$4),2)</f>
        <v>0</v>
      </c>
      <c r="O39" s="47" t="n">
        <f aca="false">MIN(N39,Sorted!$G$4)</f>
        <v>0</v>
      </c>
      <c r="P39" s="47" t="n">
        <f aca="false">MAX(0,MIN(N39-O39,$C39-(H39+L39)))</f>
        <v>0</v>
      </c>
      <c r="Q39" s="47" t="n">
        <f aca="false">ROUND(N39-O39-P39,2)</f>
        <v>0</v>
      </c>
      <c r="R39" s="47" t="n">
        <f aca="false">ROUND(U38*(1+Sorted!$H$5),2)</f>
        <v>0</v>
      </c>
      <c r="S39" s="47" t="n">
        <f aca="false">MIN(R39,Sorted!$G$5)</f>
        <v>0</v>
      </c>
      <c r="T39" s="47" t="n">
        <f aca="false">MAX(0,MIN(R39-S39,$C39-(H39+L39+P39)))</f>
        <v>0</v>
      </c>
      <c r="U39" s="47" t="n">
        <f aca="false">ROUND(R39-S39-T39,2)</f>
        <v>0</v>
      </c>
      <c r="V39" s="47" t="n">
        <f aca="false">ROUND(Y38*(1+Sorted!$H$6),2)</f>
        <v>0</v>
      </c>
      <c r="W39" s="47" t="n">
        <f aca="false">MIN(V39,Sorted!$G$6)</f>
        <v>0</v>
      </c>
      <c r="X39" s="47" t="n">
        <f aca="false">MAX(0,MIN(V39-W39,$C39-(H39+L39+P39+T39)))</f>
        <v>0</v>
      </c>
      <c r="Y39" s="47" t="n">
        <f aca="false">ROUND(V39-W39-X39,2)</f>
        <v>0</v>
      </c>
      <c r="Z39" s="47" t="n">
        <f aca="false">ROUND(AC38*(1+Sorted!$H$7),2)</f>
        <v>0</v>
      </c>
      <c r="AA39" s="47" t="n">
        <f aca="false">MIN(Z39,Sorted!$G$7)</f>
        <v>0</v>
      </c>
      <c r="AB39" s="47" t="n">
        <f aca="false">MAX(0,MIN(Z39-AA39,$C39-(H39+L39+P39+T39+X39)))</f>
        <v>0</v>
      </c>
      <c r="AC39" s="47" t="n">
        <f aca="false">ROUND(Z39-AA39-AB39,2)</f>
        <v>0</v>
      </c>
      <c r="AD39" s="47" t="n">
        <f aca="false">ROUND(AG38*(1+Sorted!$H$8),2)</f>
        <v>0</v>
      </c>
      <c r="AE39" s="47" t="n">
        <f aca="false">MIN(AD39,Sorted!$G$8)</f>
        <v>0</v>
      </c>
      <c r="AF39" s="47" t="n">
        <f aca="false">MAX(0,MIN(AD39-AE39,$C39-(H39+L39+P39+T39+X39+AB39)))</f>
        <v>0</v>
      </c>
      <c r="AG39" s="47" t="n">
        <f aca="false">ROUND(AD39-AE39-AF39,2)</f>
        <v>0</v>
      </c>
      <c r="AH39" s="47" t="n">
        <f aca="false">ROUND(AK38*(1+Sorted!$H$9),2)</f>
        <v>0</v>
      </c>
      <c r="AI39" s="47" t="n">
        <f aca="false">MIN(AH39,Sorted!$G$9)</f>
        <v>0</v>
      </c>
      <c r="AJ39" s="47" t="n">
        <f aca="false">MAX(0,MIN(AH39-AI39,$C39-(H39+L39+P39+T39+X39+AB39+AF39)))</f>
        <v>0</v>
      </c>
      <c r="AK39" s="47" t="n">
        <f aca="false">ROUND(AH39-AI39-AJ39,2)</f>
        <v>0</v>
      </c>
      <c r="AL39" s="47" t="n">
        <f aca="false">ROUND(AO38*(1+Sorted!$H$10),2)</f>
        <v>0</v>
      </c>
      <c r="AM39" s="47" t="n">
        <f aca="false">MIN(AL39,Sorted!$G$10)</f>
        <v>0</v>
      </c>
      <c r="AN39" s="47" t="n">
        <f aca="false">MAX(0,MIN(AL39-AM39,$C39-(H39+L39+P39+T39+X39+AB39+AF39+AJ39)))</f>
        <v>0</v>
      </c>
      <c r="AO39" s="47" t="n">
        <f aca="false">ROUND(AL39-AM39-AN39,2)</f>
        <v>0</v>
      </c>
      <c r="AP39" s="47" t="n">
        <f aca="false">ROUND(AS38*(1+Sorted!$H$11),2)</f>
        <v>0</v>
      </c>
      <c r="AQ39" s="47" t="n">
        <f aca="false">MIN(AP39,Sorted!$G$11)</f>
        <v>0</v>
      </c>
      <c r="AR39" s="47" t="n">
        <f aca="false">MAX(0,MIN(AP39-AQ39,$C39-(H39+L39+P39+T39+X39+AB39+AF39+AJ39+AN39)))</f>
        <v>0</v>
      </c>
      <c r="AS39" s="47" t="n">
        <f aca="false">ROUND(AP39-AQ39-AR39,2)</f>
        <v>0</v>
      </c>
    </row>
    <row r="40" customFormat="false" ht="15" hidden="false" customHeight="false" outlineLevel="0" collapsed="false">
      <c r="A40" s="45" t="n">
        <v>37</v>
      </c>
      <c r="B40" s="46" t="n">
        <f aca="false">EDATE('My Debts'!$C$7,A40-1)</f>
        <v>47423</v>
      </c>
      <c r="C40" s="47" t="n">
        <f aca="false">MAX(0,'My Debts'!$E$6-(G40+K40+O40+S40+W40+AA40+AE40+AI40+AM40+AQ40))</f>
        <v>730</v>
      </c>
      <c r="D40" s="47" t="n">
        <f aca="false">(F40+J40+N40+R40+V40+Z40+AD40+AH40+AL40+AP40)-(I40+M40+Q40+U40+Y40+AC40+AG40+AK40+AO40+AS40)</f>
        <v>0</v>
      </c>
      <c r="E40" s="48" t="n">
        <f aca="false">I40+M40+Q40+U40+Y40+AC40+AG40+AK40+AO40+AS40</f>
        <v>0</v>
      </c>
      <c r="F40" s="47" t="n">
        <f aca="false">ROUND(I39*(1+Sorted!$H$2),2)</f>
        <v>0</v>
      </c>
      <c r="G40" s="47" t="n">
        <f aca="false">MIN(F40,Sorted!$G$2)</f>
        <v>0</v>
      </c>
      <c r="H40" s="47" t="n">
        <f aca="false">MAX(0,MIN(F40-G40,$C40-(0)))</f>
        <v>0</v>
      </c>
      <c r="I40" s="47" t="n">
        <f aca="false">ROUND(F40-G40-H40,2)</f>
        <v>0</v>
      </c>
      <c r="J40" s="47" t="n">
        <f aca="false">ROUND(M39*(1+Sorted!$H$3),2)</f>
        <v>0</v>
      </c>
      <c r="K40" s="47" t="n">
        <f aca="false">MIN(J40,Sorted!$G$3)</f>
        <v>0</v>
      </c>
      <c r="L40" s="47" t="n">
        <f aca="false">MAX(0,MIN(J40-K40,$C40-(H40)))</f>
        <v>0</v>
      </c>
      <c r="M40" s="47" t="n">
        <f aca="false">ROUND(J40-K40-L40,2)</f>
        <v>0</v>
      </c>
      <c r="N40" s="47" t="n">
        <f aca="false">ROUND(Q39*(1+Sorted!$H$4),2)</f>
        <v>0</v>
      </c>
      <c r="O40" s="47" t="n">
        <f aca="false">MIN(N40,Sorted!$G$4)</f>
        <v>0</v>
      </c>
      <c r="P40" s="47" t="n">
        <f aca="false">MAX(0,MIN(N40-O40,$C40-(H40+L40)))</f>
        <v>0</v>
      </c>
      <c r="Q40" s="47" t="n">
        <f aca="false">ROUND(N40-O40-P40,2)</f>
        <v>0</v>
      </c>
      <c r="R40" s="47" t="n">
        <f aca="false">ROUND(U39*(1+Sorted!$H$5),2)</f>
        <v>0</v>
      </c>
      <c r="S40" s="47" t="n">
        <f aca="false">MIN(R40,Sorted!$G$5)</f>
        <v>0</v>
      </c>
      <c r="T40" s="47" t="n">
        <f aca="false">MAX(0,MIN(R40-S40,$C40-(H40+L40+P40)))</f>
        <v>0</v>
      </c>
      <c r="U40" s="47" t="n">
        <f aca="false">ROUND(R40-S40-T40,2)</f>
        <v>0</v>
      </c>
      <c r="V40" s="47" t="n">
        <f aca="false">ROUND(Y39*(1+Sorted!$H$6),2)</f>
        <v>0</v>
      </c>
      <c r="W40" s="47" t="n">
        <f aca="false">MIN(V40,Sorted!$G$6)</f>
        <v>0</v>
      </c>
      <c r="X40" s="47" t="n">
        <f aca="false">MAX(0,MIN(V40-W40,$C40-(H40+L40+P40+T40)))</f>
        <v>0</v>
      </c>
      <c r="Y40" s="47" t="n">
        <f aca="false">ROUND(V40-W40-X40,2)</f>
        <v>0</v>
      </c>
      <c r="Z40" s="47" t="n">
        <f aca="false">ROUND(AC39*(1+Sorted!$H$7),2)</f>
        <v>0</v>
      </c>
      <c r="AA40" s="47" t="n">
        <f aca="false">MIN(Z40,Sorted!$G$7)</f>
        <v>0</v>
      </c>
      <c r="AB40" s="47" t="n">
        <f aca="false">MAX(0,MIN(Z40-AA40,$C40-(H40+L40+P40+T40+X40)))</f>
        <v>0</v>
      </c>
      <c r="AC40" s="47" t="n">
        <f aca="false">ROUND(Z40-AA40-AB40,2)</f>
        <v>0</v>
      </c>
      <c r="AD40" s="47" t="n">
        <f aca="false">ROUND(AG39*(1+Sorted!$H$8),2)</f>
        <v>0</v>
      </c>
      <c r="AE40" s="47" t="n">
        <f aca="false">MIN(AD40,Sorted!$G$8)</f>
        <v>0</v>
      </c>
      <c r="AF40" s="47" t="n">
        <f aca="false">MAX(0,MIN(AD40-AE40,$C40-(H40+L40+P40+T40+X40+AB40)))</f>
        <v>0</v>
      </c>
      <c r="AG40" s="47" t="n">
        <f aca="false">ROUND(AD40-AE40-AF40,2)</f>
        <v>0</v>
      </c>
      <c r="AH40" s="47" t="n">
        <f aca="false">ROUND(AK39*(1+Sorted!$H$9),2)</f>
        <v>0</v>
      </c>
      <c r="AI40" s="47" t="n">
        <f aca="false">MIN(AH40,Sorted!$G$9)</f>
        <v>0</v>
      </c>
      <c r="AJ40" s="47" t="n">
        <f aca="false">MAX(0,MIN(AH40-AI40,$C40-(H40+L40+P40+T40+X40+AB40+AF40)))</f>
        <v>0</v>
      </c>
      <c r="AK40" s="47" t="n">
        <f aca="false">ROUND(AH40-AI40-AJ40,2)</f>
        <v>0</v>
      </c>
      <c r="AL40" s="47" t="n">
        <f aca="false">ROUND(AO39*(1+Sorted!$H$10),2)</f>
        <v>0</v>
      </c>
      <c r="AM40" s="47" t="n">
        <f aca="false">MIN(AL40,Sorted!$G$10)</f>
        <v>0</v>
      </c>
      <c r="AN40" s="47" t="n">
        <f aca="false">MAX(0,MIN(AL40-AM40,$C40-(H40+L40+P40+T40+X40+AB40+AF40+AJ40)))</f>
        <v>0</v>
      </c>
      <c r="AO40" s="47" t="n">
        <f aca="false">ROUND(AL40-AM40-AN40,2)</f>
        <v>0</v>
      </c>
      <c r="AP40" s="47" t="n">
        <f aca="false">ROUND(AS39*(1+Sorted!$H$11),2)</f>
        <v>0</v>
      </c>
      <c r="AQ40" s="47" t="n">
        <f aca="false">MIN(AP40,Sorted!$G$11)</f>
        <v>0</v>
      </c>
      <c r="AR40" s="47" t="n">
        <f aca="false">MAX(0,MIN(AP40-AQ40,$C40-(H40+L40+P40+T40+X40+AB40+AF40+AJ40+AN40)))</f>
        <v>0</v>
      </c>
      <c r="AS40" s="47" t="n">
        <f aca="false">ROUND(AP40-AQ40-AR40,2)</f>
        <v>0</v>
      </c>
    </row>
    <row r="41" customFormat="false" ht="15" hidden="false" customHeight="false" outlineLevel="0" collapsed="false">
      <c r="A41" s="45" t="n">
        <v>38</v>
      </c>
      <c r="B41" s="46" t="n">
        <f aca="false">EDATE('My Debts'!$C$7,A41-1)</f>
        <v>47453</v>
      </c>
      <c r="C41" s="47" t="n">
        <f aca="false">MAX(0,'My Debts'!$E$6-(G41+K41+O41+S41+W41+AA41+AE41+AI41+AM41+AQ41))</f>
        <v>730</v>
      </c>
      <c r="D41" s="47" t="n">
        <f aca="false">(F41+J41+N41+R41+V41+Z41+AD41+AH41+AL41+AP41)-(I41+M41+Q41+U41+Y41+AC41+AG41+AK41+AO41+AS41)</f>
        <v>0</v>
      </c>
      <c r="E41" s="48" t="n">
        <f aca="false">I41+M41+Q41+U41+Y41+AC41+AG41+AK41+AO41+AS41</f>
        <v>0</v>
      </c>
      <c r="F41" s="47" t="n">
        <f aca="false">ROUND(I40*(1+Sorted!$H$2),2)</f>
        <v>0</v>
      </c>
      <c r="G41" s="47" t="n">
        <f aca="false">MIN(F41,Sorted!$G$2)</f>
        <v>0</v>
      </c>
      <c r="H41" s="47" t="n">
        <f aca="false">MAX(0,MIN(F41-G41,$C41-(0)))</f>
        <v>0</v>
      </c>
      <c r="I41" s="47" t="n">
        <f aca="false">ROUND(F41-G41-H41,2)</f>
        <v>0</v>
      </c>
      <c r="J41" s="47" t="n">
        <f aca="false">ROUND(M40*(1+Sorted!$H$3),2)</f>
        <v>0</v>
      </c>
      <c r="K41" s="47" t="n">
        <f aca="false">MIN(J41,Sorted!$G$3)</f>
        <v>0</v>
      </c>
      <c r="L41" s="47" t="n">
        <f aca="false">MAX(0,MIN(J41-K41,$C41-(H41)))</f>
        <v>0</v>
      </c>
      <c r="M41" s="47" t="n">
        <f aca="false">ROUND(J41-K41-L41,2)</f>
        <v>0</v>
      </c>
      <c r="N41" s="47" t="n">
        <f aca="false">ROUND(Q40*(1+Sorted!$H$4),2)</f>
        <v>0</v>
      </c>
      <c r="O41" s="47" t="n">
        <f aca="false">MIN(N41,Sorted!$G$4)</f>
        <v>0</v>
      </c>
      <c r="P41" s="47" t="n">
        <f aca="false">MAX(0,MIN(N41-O41,$C41-(H41+L41)))</f>
        <v>0</v>
      </c>
      <c r="Q41" s="47" t="n">
        <f aca="false">ROUND(N41-O41-P41,2)</f>
        <v>0</v>
      </c>
      <c r="R41" s="47" t="n">
        <f aca="false">ROUND(U40*(1+Sorted!$H$5),2)</f>
        <v>0</v>
      </c>
      <c r="S41" s="47" t="n">
        <f aca="false">MIN(R41,Sorted!$G$5)</f>
        <v>0</v>
      </c>
      <c r="T41" s="47" t="n">
        <f aca="false">MAX(0,MIN(R41-S41,$C41-(H41+L41+P41)))</f>
        <v>0</v>
      </c>
      <c r="U41" s="47" t="n">
        <f aca="false">ROUND(R41-S41-T41,2)</f>
        <v>0</v>
      </c>
      <c r="V41" s="47" t="n">
        <f aca="false">ROUND(Y40*(1+Sorted!$H$6),2)</f>
        <v>0</v>
      </c>
      <c r="W41" s="47" t="n">
        <f aca="false">MIN(V41,Sorted!$G$6)</f>
        <v>0</v>
      </c>
      <c r="X41" s="47" t="n">
        <f aca="false">MAX(0,MIN(V41-W41,$C41-(H41+L41+P41+T41)))</f>
        <v>0</v>
      </c>
      <c r="Y41" s="47" t="n">
        <f aca="false">ROUND(V41-W41-X41,2)</f>
        <v>0</v>
      </c>
      <c r="Z41" s="47" t="n">
        <f aca="false">ROUND(AC40*(1+Sorted!$H$7),2)</f>
        <v>0</v>
      </c>
      <c r="AA41" s="47" t="n">
        <f aca="false">MIN(Z41,Sorted!$G$7)</f>
        <v>0</v>
      </c>
      <c r="AB41" s="47" t="n">
        <f aca="false">MAX(0,MIN(Z41-AA41,$C41-(H41+L41+P41+T41+X41)))</f>
        <v>0</v>
      </c>
      <c r="AC41" s="47" t="n">
        <f aca="false">ROUND(Z41-AA41-AB41,2)</f>
        <v>0</v>
      </c>
      <c r="AD41" s="47" t="n">
        <f aca="false">ROUND(AG40*(1+Sorted!$H$8),2)</f>
        <v>0</v>
      </c>
      <c r="AE41" s="47" t="n">
        <f aca="false">MIN(AD41,Sorted!$G$8)</f>
        <v>0</v>
      </c>
      <c r="AF41" s="47" t="n">
        <f aca="false">MAX(0,MIN(AD41-AE41,$C41-(H41+L41+P41+T41+X41+AB41)))</f>
        <v>0</v>
      </c>
      <c r="AG41" s="47" t="n">
        <f aca="false">ROUND(AD41-AE41-AF41,2)</f>
        <v>0</v>
      </c>
      <c r="AH41" s="47" t="n">
        <f aca="false">ROUND(AK40*(1+Sorted!$H$9),2)</f>
        <v>0</v>
      </c>
      <c r="AI41" s="47" t="n">
        <f aca="false">MIN(AH41,Sorted!$G$9)</f>
        <v>0</v>
      </c>
      <c r="AJ41" s="47" t="n">
        <f aca="false">MAX(0,MIN(AH41-AI41,$C41-(H41+L41+P41+T41+X41+AB41+AF41)))</f>
        <v>0</v>
      </c>
      <c r="AK41" s="47" t="n">
        <f aca="false">ROUND(AH41-AI41-AJ41,2)</f>
        <v>0</v>
      </c>
      <c r="AL41" s="47" t="n">
        <f aca="false">ROUND(AO40*(1+Sorted!$H$10),2)</f>
        <v>0</v>
      </c>
      <c r="AM41" s="47" t="n">
        <f aca="false">MIN(AL41,Sorted!$G$10)</f>
        <v>0</v>
      </c>
      <c r="AN41" s="47" t="n">
        <f aca="false">MAX(0,MIN(AL41-AM41,$C41-(H41+L41+P41+T41+X41+AB41+AF41+AJ41)))</f>
        <v>0</v>
      </c>
      <c r="AO41" s="47" t="n">
        <f aca="false">ROUND(AL41-AM41-AN41,2)</f>
        <v>0</v>
      </c>
      <c r="AP41" s="47" t="n">
        <f aca="false">ROUND(AS40*(1+Sorted!$H$11),2)</f>
        <v>0</v>
      </c>
      <c r="AQ41" s="47" t="n">
        <f aca="false">MIN(AP41,Sorted!$G$11)</f>
        <v>0</v>
      </c>
      <c r="AR41" s="47" t="n">
        <f aca="false">MAX(0,MIN(AP41-AQ41,$C41-(H41+L41+P41+T41+X41+AB41+AF41+AJ41+AN41)))</f>
        <v>0</v>
      </c>
      <c r="AS41" s="47" t="n">
        <f aca="false">ROUND(AP41-AQ41-AR41,2)</f>
        <v>0</v>
      </c>
    </row>
    <row r="42" customFormat="false" ht="15" hidden="false" customHeight="false" outlineLevel="0" collapsed="false">
      <c r="A42" s="45" t="n">
        <v>39</v>
      </c>
      <c r="B42" s="46" t="n">
        <f aca="false">EDATE('My Debts'!$C$7,A42-1)</f>
        <v>47484</v>
      </c>
      <c r="C42" s="47" t="n">
        <f aca="false">MAX(0,'My Debts'!$E$6-(G42+K42+O42+S42+W42+AA42+AE42+AI42+AM42+AQ42))</f>
        <v>730</v>
      </c>
      <c r="D42" s="47" t="n">
        <f aca="false">(F42+J42+N42+R42+V42+Z42+AD42+AH42+AL42+AP42)-(I42+M42+Q42+U42+Y42+AC42+AG42+AK42+AO42+AS42)</f>
        <v>0</v>
      </c>
      <c r="E42" s="48" t="n">
        <f aca="false">I42+M42+Q42+U42+Y42+AC42+AG42+AK42+AO42+AS42</f>
        <v>0</v>
      </c>
      <c r="F42" s="47" t="n">
        <f aca="false">ROUND(I41*(1+Sorted!$H$2),2)</f>
        <v>0</v>
      </c>
      <c r="G42" s="47" t="n">
        <f aca="false">MIN(F42,Sorted!$G$2)</f>
        <v>0</v>
      </c>
      <c r="H42" s="47" t="n">
        <f aca="false">MAX(0,MIN(F42-G42,$C42-(0)))</f>
        <v>0</v>
      </c>
      <c r="I42" s="47" t="n">
        <f aca="false">ROUND(F42-G42-H42,2)</f>
        <v>0</v>
      </c>
      <c r="J42" s="47" t="n">
        <f aca="false">ROUND(M41*(1+Sorted!$H$3),2)</f>
        <v>0</v>
      </c>
      <c r="K42" s="47" t="n">
        <f aca="false">MIN(J42,Sorted!$G$3)</f>
        <v>0</v>
      </c>
      <c r="L42" s="47" t="n">
        <f aca="false">MAX(0,MIN(J42-K42,$C42-(H42)))</f>
        <v>0</v>
      </c>
      <c r="M42" s="47" t="n">
        <f aca="false">ROUND(J42-K42-L42,2)</f>
        <v>0</v>
      </c>
      <c r="N42" s="47" t="n">
        <f aca="false">ROUND(Q41*(1+Sorted!$H$4),2)</f>
        <v>0</v>
      </c>
      <c r="O42" s="47" t="n">
        <f aca="false">MIN(N42,Sorted!$G$4)</f>
        <v>0</v>
      </c>
      <c r="P42" s="47" t="n">
        <f aca="false">MAX(0,MIN(N42-O42,$C42-(H42+L42)))</f>
        <v>0</v>
      </c>
      <c r="Q42" s="47" t="n">
        <f aca="false">ROUND(N42-O42-P42,2)</f>
        <v>0</v>
      </c>
      <c r="R42" s="47" t="n">
        <f aca="false">ROUND(U41*(1+Sorted!$H$5),2)</f>
        <v>0</v>
      </c>
      <c r="S42" s="47" t="n">
        <f aca="false">MIN(R42,Sorted!$G$5)</f>
        <v>0</v>
      </c>
      <c r="T42" s="47" t="n">
        <f aca="false">MAX(0,MIN(R42-S42,$C42-(H42+L42+P42)))</f>
        <v>0</v>
      </c>
      <c r="U42" s="47" t="n">
        <f aca="false">ROUND(R42-S42-T42,2)</f>
        <v>0</v>
      </c>
      <c r="V42" s="47" t="n">
        <f aca="false">ROUND(Y41*(1+Sorted!$H$6),2)</f>
        <v>0</v>
      </c>
      <c r="W42" s="47" t="n">
        <f aca="false">MIN(V42,Sorted!$G$6)</f>
        <v>0</v>
      </c>
      <c r="X42" s="47" t="n">
        <f aca="false">MAX(0,MIN(V42-W42,$C42-(H42+L42+P42+T42)))</f>
        <v>0</v>
      </c>
      <c r="Y42" s="47" t="n">
        <f aca="false">ROUND(V42-W42-X42,2)</f>
        <v>0</v>
      </c>
      <c r="Z42" s="47" t="n">
        <f aca="false">ROUND(AC41*(1+Sorted!$H$7),2)</f>
        <v>0</v>
      </c>
      <c r="AA42" s="47" t="n">
        <f aca="false">MIN(Z42,Sorted!$G$7)</f>
        <v>0</v>
      </c>
      <c r="AB42" s="47" t="n">
        <f aca="false">MAX(0,MIN(Z42-AA42,$C42-(H42+L42+P42+T42+X42)))</f>
        <v>0</v>
      </c>
      <c r="AC42" s="47" t="n">
        <f aca="false">ROUND(Z42-AA42-AB42,2)</f>
        <v>0</v>
      </c>
      <c r="AD42" s="47" t="n">
        <f aca="false">ROUND(AG41*(1+Sorted!$H$8),2)</f>
        <v>0</v>
      </c>
      <c r="AE42" s="47" t="n">
        <f aca="false">MIN(AD42,Sorted!$G$8)</f>
        <v>0</v>
      </c>
      <c r="AF42" s="47" t="n">
        <f aca="false">MAX(0,MIN(AD42-AE42,$C42-(H42+L42+P42+T42+X42+AB42)))</f>
        <v>0</v>
      </c>
      <c r="AG42" s="47" t="n">
        <f aca="false">ROUND(AD42-AE42-AF42,2)</f>
        <v>0</v>
      </c>
      <c r="AH42" s="47" t="n">
        <f aca="false">ROUND(AK41*(1+Sorted!$H$9),2)</f>
        <v>0</v>
      </c>
      <c r="AI42" s="47" t="n">
        <f aca="false">MIN(AH42,Sorted!$G$9)</f>
        <v>0</v>
      </c>
      <c r="AJ42" s="47" t="n">
        <f aca="false">MAX(0,MIN(AH42-AI42,$C42-(H42+L42+P42+T42+X42+AB42+AF42)))</f>
        <v>0</v>
      </c>
      <c r="AK42" s="47" t="n">
        <f aca="false">ROUND(AH42-AI42-AJ42,2)</f>
        <v>0</v>
      </c>
      <c r="AL42" s="47" t="n">
        <f aca="false">ROUND(AO41*(1+Sorted!$H$10),2)</f>
        <v>0</v>
      </c>
      <c r="AM42" s="47" t="n">
        <f aca="false">MIN(AL42,Sorted!$G$10)</f>
        <v>0</v>
      </c>
      <c r="AN42" s="47" t="n">
        <f aca="false">MAX(0,MIN(AL42-AM42,$C42-(H42+L42+P42+T42+X42+AB42+AF42+AJ42)))</f>
        <v>0</v>
      </c>
      <c r="AO42" s="47" t="n">
        <f aca="false">ROUND(AL42-AM42-AN42,2)</f>
        <v>0</v>
      </c>
      <c r="AP42" s="47" t="n">
        <f aca="false">ROUND(AS41*(1+Sorted!$H$11),2)</f>
        <v>0</v>
      </c>
      <c r="AQ42" s="47" t="n">
        <f aca="false">MIN(AP42,Sorted!$G$11)</f>
        <v>0</v>
      </c>
      <c r="AR42" s="47" t="n">
        <f aca="false">MAX(0,MIN(AP42-AQ42,$C42-(H42+L42+P42+T42+X42+AB42+AF42+AJ42+AN42)))</f>
        <v>0</v>
      </c>
      <c r="AS42" s="47" t="n">
        <f aca="false">ROUND(AP42-AQ42-AR42,2)</f>
        <v>0</v>
      </c>
    </row>
    <row r="43" customFormat="false" ht="15" hidden="false" customHeight="false" outlineLevel="0" collapsed="false">
      <c r="A43" s="45" t="n">
        <v>40</v>
      </c>
      <c r="B43" s="46" t="n">
        <f aca="false">EDATE('My Debts'!$C$7,A43-1)</f>
        <v>47515</v>
      </c>
      <c r="C43" s="47" t="n">
        <f aca="false">MAX(0,'My Debts'!$E$6-(G43+K43+O43+S43+W43+AA43+AE43+AI43+AM43+AQ43))</f>
        <v>730</v>
      </c>
      <c r="D43" s="47" t="n">
        <f aca="false">(F43+J43+N43+R43+V43+Z43+AD43+AH43+AL43+AP43)-(I43+M43+Q43+U43+Y43+AC43+AG43+AK43+AO43+AS43)</f>
        <v>0</v>
      </c>
      <c r="E43" s="48" t="n">
        <f aca="false">I43+M43+Q43+U43+Y43+AC43+AG43+AK43+AO43+AS43</f>
        <v>0</v>
      </c>
      <c r="F43" s="47" t="n">
        <f aca="false">ROUND(I42*(1+Sorted!$H$2),2)</f>
        <v>0</v>
      </c>
      <c r="G43" s="47" t="n">
        <f aca="false">MIN(F43,Sorted!$G$2)</f>
        <v>0</v>
      </c>
      <c r="H43" s="47" t="n">
        <f aca="false">MAX(0,MIN(F43-G43,$C43-(0)))</f>
        <v>0</v>
      </c>
      <c r="I43" s="47" t="n">
        <f aca="false">ROUND(F43-G43-H43,2)</f>
        <v>0</v>
      </c>
      <c r="J43" s="47" t="n">
        <f aca="false">ROUND(M42*(1+Sorted!$H$3),2)</f>
        <v>0</v>
      </c>
      <c r="K43" s="47" t="n">
        <f aca="false">MIN(J43,Sorted!$G$3)</f>
        <v>0</v>
      </c>
      <c r="L43" s="47" t="n">
        <f aca="false">MAX(0,MIN(J43-K43,$C43-(H43)))</f>
        <v>0</v>
      </c>
      <c r="M43" s="47" t="n">
        <f aca="false">ROUND(J43-K43-L43,2)</f>
        <v>0</v>
      </c>
      <c r="N43" s="47" t="n">
        <f aca="false">ROUND(Q42*(1+Sorted!$H$4),2)</f>
        <v>0</v>
      </c>
      <c r="O43" s="47" t="n">
        <f aca="false">MIN(N43,Sorted!$G$4)</f>
        <v>0</v>
      </c>
      <c r="P43" s="47" t="n">
        <f aca="false">MAX(0,MIN(N43-O43,$C43-(H43+L43)))</f>
        <v>0</v>
      </c>
      <c r="Q43" s="47" t="n">
        <f aca="false">ROUND(N43-O43-P43,2)</f>
        <v>0</v>
      </c>
      <c r="R43" s="47" t="n">
        <f aca="false">ROUND(U42*(1+Sorted!$H$5),2)</f>
        <v>0</v>
      </c>
      <c r="S43" s="47" t="n">
        <f aca="false">MIN(R43,Sorted!$G$5)</f>
        <v>0</v>
      </c>
      <c r="T43" s="47" t="n">
        <f aca="false">MAX(0,MIN(R43-S43,$C43-(H43+L43+P43)))</f>
        <v>0</v>
      </c>
      <c r="U43" s="47" t="n">
        <f aca="false">ROUND(R43-S43-T43,2)</f>
        <v>0</v>
      </c>
      <c r="V43" s="47" t="n">
        <f aca="false">ROUND(Y42*(1+Sorted!$H$6),2)</f>
        <v>0</v>
      </c>
      <c r="W43" s="47" t="n">
        <f aca="false">MIN(V43,Sorted!$G$6)</f>
        <v>0</v>
      </c>
      <c r="X43" s="47" t="n">
        <f aca="false">MAX(0,MIN(V43-W43,$C43-(H43+L43+P43+T43)))</f>
        <v>0</v>
      </c>
      <c r="Y43" s="47" t="n">
        <f aca="false">ROUND(V43-W43-X43,2)</f>
        <v>0</v>
      </c>
      <c r="Z43" s="47" t="n">
        <f aca="false">ROUND(AC42*(1+Sorted!$H$7),2)</f>
        <v>0</v>
      </c>
      <c r="AA43" s="47" t="n">
        <f aca="false">MIN(Z43,Sorted!$G$7)</f>
        <v>0</v>
      </c>
      <c r="AB43" s="47" t="n">
        <f aca="false">MAX(0,MIN(Z43-AA43,$C43-(H43+L43+P43+T43+X43)))</f>
        <v>0</v>
      </c>
      <c r="AC43" s="47" t="n">
        <f aca="false">ROUND(Z43-AA43-AB43,2)</f>
        <v>0</v>
      </c>
      <c r="AD43" s="47" t="n">
        <f aca="false">ROUND(AG42*(1+Sorted!$H$8),2)</f>
        <v>0</v>
      </c>
      <c r="AE43" s="47" t="n">
        <f aca="false">MIN(AD43,Sorted!$G$8)</f>
        <v>0</v>
      </c>
      <c r="AF43" s="47" t="n">
        <f aca="false">MAX(0,MIN(AD43-AE43,$C43-(H43+L43+P43+T43+X43+AB43)))</f>
        <v>0</v>
      </c>
      <c r="AG43" s="47" t="n">
        <f aca="false">ROUND(AD43-AE43-AF43,2)</f>
        <v>0</v>
      </c>
      <c r="AH43" s="47" t="n">
        <f aca="false">ROUND(AK42*(1+Sorted!$H$9),2)</f>
        <v>0</v>
      </c>
      <c r="AI43" s="47" t="n">
        <f aca="false">MIN(AH43,Sorted!$G$9)</f>
        <v>0</v>
      </c>
      <c r="AJ43" s="47" t="n">
        <f aca="false">MAX(0,MIN(AH43-AI43,$C43-(H43+L43+P43+T43+X43+AB43+AF43)))</f>
        <v>0</v>
      </c>
      <c r="AK43" s="47" t="n">
        <f aca="false">ROUND(AH43-AI43-AJ43,2)</f>
        <v>0</v>
      </c>
      <c r="AL43" s="47" t="n">
        <f aca="false">ROUND(AO42*(1+Sorted!$H$10),2)</f>
        <v>0</v>
      </c>
      <c r="AM43" s="47" t="n">
        <f aca="false">MIN(AL43,Sorted!$G$10)</f>
        <v>0</v>
      </c>
      <c r="AN43" s="47" t="n">
        <f aca="false">MAX(0,MIN(AL43-AM43,$C43-(H43+L43+P43+T43+X43+AB43+AF43+AJ43)))</f>
        <v>0</v>
      </c>
      <c r="AO43" s="47" t="n">
        <f aca="false">ROUND(AL43-AM43-AN43,2)</f>
        <v>0</v>
      </c>
      <c r="AP43" s="47" t="n">
        <f aca="false">ROUND(AS42*(1+Sorted!$H$11),2)</f>
        <v>0</v>
      </c>
      <c r="AQ43" s="47" t="n">
        <f aca="false">MIN(AP43,Sorted!$G$11)</f>
        <v>0</v>
      </c>
      <c r="AR43" s="47" t="n">
        <f aca="false">MAX(0,MIN(AP43-AQ43,$C43-(H43+L43+P43+T43+X43+AB43+AF43+AJ43+AN43)))</f>
        <v>0</v>
      </c>
      <c r="AS43" s="47" t="n">
        <f aca="false">ROUND(AP43-AQ43-AR43,2)</f>
        <v>0</v>
      </c>
    </row>
    <row r="44" customFormat="false" ht="15" hidden="false" customHeight="false" outlineLevel="0" collapsed="false">
      <c r="A44" s="45" t="n">
        <v>41</v>
      </c>
      <c r="B44" s="46" t="n">
        <f aca="false">EDATE('My Debts'!$C$7,A44-1)</f>
        <v>47543</v>
      </c>
      <c r="C44" s="47" t="n">
        <f aca="false">MAX(0,'My Debts'!$E$6-(G44+K44+O44+S44+W44+AA44+AE44+AI44+AM44+AQ44))</f>
        <v>730</v>
      </c>
      <c r="D44" s="47" t="n">
        <f aca="false">(F44+J44+N44+R44+V44+Z44+AD44+AH44+AL44+AP44)-(I44+M44+Q44+U44+Y44+AC44+AG44+AK44+AO44+AS44)</f>
        <v>0</v>
      </c>
      <c r="E44" s="48" t="n">
        <f aca="false">I44+M44+Q44+U44+Y44+AC44+AG44+AK44+AO44+AS44</f>
        <v>0</v>
      </c>
      <c r="F44" s="47" t="n">
        <f aca="false">ROUND(I43*(1+Sorted!$H$2),2)</f>
        <v>0</v>
      </c>
      <c r="G44" s="47" t="n">
        <f aca="false">MIN(F44,Sorted!$G$2)</f>
        <v>0</v>
      </c>
      <c r="H44" s="47" t="n">
        <f aca="false">MAX(0,MIN(F44-G44,$C44-(0)))</f>
        <v>0</v>
      </c>
      <c r="I44" s="47" t="n">
        <f aca="false">ROUND(F44-G44-H44,2)</f>
        <v>0</v>
      </c>
      <c r="J44" s="47" t="n">
        <f aca="false">ROUND(M43*(1+Sorted!$H$3),2)</f>
        <v>0</v>
      </c>
      <c r="K44" s="47" t="n">
        <f aca="false">MIN(J44,Sorted!$G$3)</f>
        <v>0</v>
      </c>
      <c r="L44" s="47" t="n">
        <f aca="false">MAX(0,MIN(J44-K44,$C44-(H44)))</f>
        <v>0</v>
      </c>
      <c r="M44" s="47" t="n">
        <f aca="false">ROUND(J44-K44-L44,2)</f>
        <v>0</v>
      </c>
      <c r="N44" s="47" t="n">
        <f aca="false">ROUND(Q43*(1+Sorted!$H$4),2)</f>
        <v>0</v>
      </c>
      <c r="O44" s="47" t="n">
        <f aca="false">MIN(N44,Sorted!$G$4)</f>
        <v>0</v>
      </c>
      <c r="P44" s="47" t="n">
        <f aca="false">MAX(0,MIN(N44-O44,$C44-(H44+L44)))</f>
        <v>0</v>
      </c>
      <c r="Q44" s="47" t="n">
        <f aca="false">ROUND(N44-O44-P44,2)</f>
        <v>0</v>
      </c>
      <c r="R44" s="47" t="n">
        <f aca="false">ROUND(U43*(1+Sorted!$H$5),2)</f>
        <v>0</v>
      </c>
      <c r="S44" s="47" t="n">
        <f aca="false">MIN(R44,Sorted!$G$5)</f>
        <v>0</v>
      </c>
      <c r="T44" s="47" t="n">
        <f aca="false">MAX(0,MIN(R44-S44,$C44-(H44+L44+P44)))</f>
        <v>0</v>
      </c>
      <c r="U44" s="47" t="n">
        <f aca="false">ROUND(R44-S44-T44,2)</f>
        <v>0</v>
      </c>
      <c r="V44" s="47" t="n">
        <f aca="false">ROUND(Y43*(1+Sorted!$H$6),2)</f>
        <v>0</v>
      </c>
      <c r="W44" s="47" t="n">
        <f aca="false">MIN(V44,Sorted!$G$6)</f>
        <v>0</v>
      </c>
      <c r="X44" s="47" t="n">
        <f aca="false">MAX(0,MIN(V44-W44,$C44-(H44+L44+P44+T44)))</f>
        <v>0</v>
      </c>
      <c r="Y44" s="47" t="n">
        <f aca="false">ROUND(V44-W44-X44,2)</f>
        <v>0</v>
      </c>
      <c r="Z44" s="47" t="n">
        <f aca="false">ROUND(AC43*(1+Sorted!$H$7),2)</f>
        <v>0</v>
      </c>
      <c r="AA44" s="47" t="n">
        <f aca="false">MIN(Z44,Sorted!$G$7)</f>
        <v>0</v>
      </c>
      <c r="AB44" s="47" t="n">
        <f aca="false">MAX(0,MIN(Z44-AA44,$C44-(H44+L44+P44+T44+X44)))</f>
        <v>0</v>
      </c>
      <c r="AC44" s="47" t="n">
        <f aca="false">ROUND(Z44-AA44-AB44,2)</f>
        <v>0</v>
      </c>
      <c r="AD44" s="47" t="n">
        <f aca="false">ROUND(AG43*(1+Sorted!$H$8),2)</f>
        <v>0</v>
      </c>
      <c r="AE44" s="47" t="n">
        <f aca="false">MIN(AD44,Sorted!$G$8)</f>
        <v>0</v>
      </c>
      <c r="AF44" s="47" t="n">
        <f aca="false">MAX(0,MIN(AD44-AE44,$C44-(H44+L44+P44+T44+X44+AB44)))</f>
        <v>0</v>
      </c>
      <c r="AG44" s="47" t="n">
        <f aca="false">ROUND(AD44-AE44-AF44,2)</f>
        <v>0</v>
      </c>
      <c r="AH44" s="47" t="n">
        <f aca="false">ROUND(AK43*(1+Sorted!$H$9),2)</f>
        <v>0</v>
      </c>
      <c r="AI44" s="47" t="n">
        <f aca="false">MIN(AH44,Sorted!$G$9)</f>
        <v>0</v>
      </c>
      <c r="AJ44" s="47" t="n">
        <f aca="false">MAX(0,MIN(AH44-AI44,$C44-(H44+L44+P44+T44+X44+AB44+AF44)))</f>
        <v>0</v>
      </c>
      <c r="AK44" s="47" t="n">
        <f aca="false">ROUND(AH44-AI44-AJ44,2)</f>
        <v>0</v>
      </c>
      <c r="AL44" s="47" t="n">
        <f aca="false">ROUND(AO43*(1+Sorted!$H$10),2)</f>
        <v>0</v>
      </c>
      <c r="AM44" s="47" t="n">
        <f aca="false">MIN(AL44,Sorted!$G$10)</f>
        <v>0</v>
      </c>
      <c r="AN44" s="47" t="n">
        <f aca="false">MAX(0,MIN(AL44-AM44,$C44-(H44+L44+P44+T44+X44+AB44+AF44+AJ44)))</f>
        <v>0</v>
      </c>
      <c r="AO44" s="47" t="n">
        <f aca="false">ROUND(AL44-AM44-AN44,2)</f>
        <v>0</v>
      </c>
      <c r="AP44" s="47" t="n">
        <f aca="false">ROUND(AS43*(1+Sorted!$H$11),2)</f>
        <v>0</v>
      </c>
      <c r="AQ44" s="47" t="n">
        <f aca="false">MIN(AP44,Sorted!$G$11)</f>
        <v>0</v>
      </c>
      <c r="AR44" s="47" t="n">
        <f aca="false">MAX(0,MIN(AP44-AQ44,$C44-(H44+L44+P44+T44+X44+AB44+AF44+AJ44+AN44)))</f>
        <v>0</v>
      </c>
      <c r="AS44" s="47" t="n">
        <f aca="false">ROUND(AP44-AQ44-AR44,2)</f>
        <v>0</v>
      </c>
    </row>
    <row r="45" customFormat="false" ht="15" hidden="false" customHeight="false" outlineLevel="0" collapsed="false">
      <c r="A45" s="45" t="n">
        <v>42</v>
      </c>
      <c r="B45" s="46" t="n">
        <f aca="false">EDATE('My Debts'!$C$7,A45-1)</f>
        <v>47574</v>
      </c>
      <c r="C45" s="47" t="n">
        <f aca="false">MAX(0,'My Debts'!$E$6-(G45+K45+O45+S45+W45+AA45+AE45+AI45+AM45+AQ45))</f>
        <v>730</v>
      </c>
      <c r="D45" s="47" t="n">
        <f aca="false">(F45+J45+N45+R45+V45+Z45+AD45+AH45+AL45+AP45)-(I45+M45+Q45+U45+Y45+AC45+AG45+AK45+AO45+AS45)</f>
        <v>0</v>
      </c>
      <c r="E45" s="48" t="n">
        <f aca="false">I45+M45+Q45+U45+Y45+AC45+AG45+AK45+AO45+AS45</f>
        <v>0</v>
      </c>
      <c r="F45" s="47" t="n">
        <f aca="false">ROUND(I44*(1+Sorted!$H$2),2)</f>
        <v>0</v>
      </c>
      <c r="G45" s="47" t="n">
        <f aca="false">MIN(F45,Sorted!$G$2)</f>
        <v>0</v>
      </c>
      <c r="H45" s="47" t="n">
        <f aca="false">MAX(0,MIN(F45-G45,$C45-(0)))</f>
        <v>0</v>
      </c>
      <c r="I45" s="47" t="n">
        <f aca="false">ROUND(F45-G45-H45,2)</f>
        <v>0</v>
      </c>
      <c r="J45" s="47" t="n">
        <f aca="false">ROUND(M44*(1+Sorted!$H$3),2)</f>
        <v>0</v>
      </c>
      <c r="K45" s="47" t="n">
        <f aca="false">MIN(J45,Sorted!$G$3)</f>
        <v>0</v>
      </c>
      <c r="L45" s="47" t="n">
        <f aca="false">MAX(0,MIN(J45-K45,$C45-(H45)))</f>
        <v>0</v>
      </c>
      <c r="M45" s="47" t="n">
        <f aca="false">ROUND(J45-K45-L45,2)</f>
        <v>0</v>
      </c>
      <c r="N45" s="47" t="n">
        <f aca="false">ROUND(Q44*(1+Sorted!$H$4),2)</f>
        <v>0</v>
      </c>
      <c r="O45" s="47" t="n">
        <f aca="false">MIN(N45,Sorted!$G$4)</f>
        <v>0</v>
      </c>
      <c r="P45" s="47" t="n">
        <f aca="false">MAX(0,MIN(N45-O45,$C45-(H45+L45)))</f>
        <v>0</v>
      </c>
      <c r="Q45" s="47" t="n">
        <f aca="false">ROUND(N45-O45-P45,2)</f>
        <v>0</v>
      </c>
      <c r="R45" s="47" t="n">
        <f aca="false">ROUND(U44*(1+Sorted!$H$5),2)</f>
        <v>0</v>
      </c>
      <c r="S45" s="47" t="n">
        <f aca="false">MIN(R45,Sorted!$G$5)</f>
        <v>0</v>
      </c>
      <c r="T45" s="47" t="n">
        <f aca="false">MAX(0,MIN(R45-S45,$C45-(H45+L45+P45)))</f>
        <v>0</v>
      </c>
      <c r="U45" s="47" t="n">
        <f aca="false">ROUND(R45-S45-T45,2)</f>
        <v>0</v>
      </c>
      <c r="V45" s="47" t="n">
        <f aca="false">ROUND(Y44*(1+Sorted!$H$6),2)</f>
        <v>0</v>
      </c>
      <c r="W45" s="47" t="n">
        <f aca="false">MIN(V45,Sorted!$G$6)</f>
        <v>0</v>
      </c>
      <c r="X45" s="47" t="n">
        <f aca="false">MAX(0,MIN(V45-W45,$C45-(H45+L45+P45+T45)))</f>
        <v>0</v>
      </c>
      <c r="Y45" s="47" t="n">
        <f aca="false">ROUND(V45-W45-X45,2)</f>
        <v>0</v>
      </c>
      <c r="Z45" s="47" t="n">
        <f aca="false">ROUND(AC44*(1+Sorted!$H$7),2)</f>
        <v>0</v>
      </c>
      <c r="AA45" s="47" t="n">
        <f aca="false">MIN(Z45,Sorted!$G$7)</f>
        <v>0</v>
      </c>
      <c r="AB45" s="47" t="n">
        <f aca="false">MAX(0,MIN(Z45-AA45,$C45-(H45+L45+P45+T45+X45)))</f>
        <v>0</v>
      </c>
      <c r="AC45" s="47" t="n">
        <f aca="false">ROUND(Z45-AA45-AB45,2)</f>
        <v>0</v>
      </c>
      <c r="AD45" s="47" t="n">
        <f aca="false">ROUND(AG44*(1+Sorted!$H$8),2)</f>
        <v>0</v>
      </c>
      <c r="AE45" s="47" t="n">
        <f aca="false">MIN(AD45,Sorted!$G$8)</f>
        <v>0</v>
      </c>
      <c r="AF45" s="47" t="n">
        <f aca="false">MAX(0,MIN(AD45-AE45,$C45-(H45+L45+P45+T45+X45+AB45)))</f>
        <v>0</v>
      </c>
      <c r="AG45" s="47" t="n">
        <f aca="false">ROUND(AD45-AE45-AF45,2)</f>
        <v>0</v>
      </c>
      <c r="AH45" s="47" t="n">
        <f aca="false">ROUND(AK44*(1+Sorted!$H$9),2)</f>
        <v>0</v>
      </c>
      <c r="AI45" s="47" t="n">
        <f aca="false">MIN(AH45,Sorted!$G$9)</f>
        <v>0</v>
      </c>
      <c r="AJ45" s="47" t="n">
        <f aca="false">MAX(0,MIN(AH45-AI45,$C45-(H45+L45+P45+T45+X45+AB45+AF45)))</f>
        <v>0</v>
      </c>
      <c r="AK45" s="47" t="n">
        <f aca="false">ROUND(AH45-AI45-AJ45,2)</f>
        <v>0</v>
      </c>
      <c r="AL45" s="47" t="n">
        <f aca="false">ROUND(AO44*(1+Sorted!$H$10),2)</f>
        <v>0</v>
      </c>
      <c r="AM45" s="47" t="n">
        <f aca="false">MIN(AL45,Sorted!$G$10)</f>
        <v>0</v>
      </c>
      <c r="AN45" s="47" t="n">
        <f aca="false">MAX(0,MIN(AL45-AM45,$C45-(H45+L45+P45+T45+X45+AB45+AF45+AJ45)))</f>
        <v>0</v>
      </c>
      <c r="AO45" s="47" t="n">
        <f aca="false">ROUND(AL45-AM45-AN45,2)</f>
        <v>0</v>
      </c>
      <c r="AP45" s="47" t="n">
        <f aca="false">ROUND(AS44*(1+Sorted!$H$11),2)</f>
        <v>0</v>
      </c>
      <c r="AQ45" s="47" t="n">
        <f aca="false">MIN(AP45,Sorted!$G$11)</f>
        <v>0</v>
      </c>
      <c r="AR45" s="47" t="n">
        <f aca="false">MAX(0,MIN(AP45-AQ45,$C45-(H45+L45+P45+T45+X45+AB45+AF45+AJ45+AN45)))</f>
        <v>0</v>
      </c>
      <c r="AS45" s="47" t="n">
        <f aca="false">ROUND(AP45-AQ45-AR45,2)</f>
        <v>0</v>
      </c>
    </row>
    <row r="46" customFormat="false" ht="15" hidden="false" customHeight="false" outlineLevel="0" collapsed="false">
      <c r="A46" s="45" t="n">
        <v>43</v>
      </c>
      <c r="B46" s="46" t="n">
        <f aca="false">EDATE('My Debts'!$C$7,A46-1)</f>
        <v>47604</v>
      </c>
      <c r="C46" s="47" t="n">
        <f aca="false">MAX(0,'My Debts'!$E$6-(G46+K46+O46+S46+W46+AA46+AE46+AI46+AM46+AQ46))</f>
        <v>730</v>
      </c>
      <c r="D46" s="47" t="n">
        <f aca="false">(F46+J46+N46+R46+V46+Z46+AD46+AH46+AL46+AP46)-(I46+M46+Q46+U46+Y46+AC46+AG46+AK46+AO46+AS46)</f>
        <v>0</v>
      </c>
      <c r="E46" s="48" t="n">
        <f aca="false">I46+M46+Q46+U46+Y46+AC46+AG46+AK46+AO46+AS46</f>
        <v>0</v>
      </c>
      <c r="F46" s="47" t="n">
        <f aca="false">ROUND(I45*(1+Sorted!$H$2),2)</f>
        <v>0</v>
      </c>
      <c r="G46" s="47" t="n">
        <f aca="false">MIN(F46,Sorted!$G$2)</f>
        <v>0</v>
      </c>
      <c r="H46" s="47" t="n">
        <f aca="false">MAX(0,MIN(F46-G46,$C46-(0)))</f>
        <v>0</v>
      </c>
      <c r="I46" s="47" t="n">
        <f aca="false">ROUND(F46-G46-H46,2)</f>
        <v>0</v>
      </c>
      <c r="J46" s="47" t="n">
        <f aca="false">ROUND(M45*(1+Sorted!$H$3),2)</f>
        <v>0</v>
      </c>
      <c r="K46" s="47" t="n">
        <f aca="false">MIN(J46,Sorted!$G$3)</f>
        <v>0</v>
      </c>
      <c r="L46" s="47" t="n">
        <f aca="false">MAX(0,MIN(J46-K46,$C46-(H46)))</f>
        <v>0</v>
      </c>
      <c r="M46" s="47" t="n">
        <f aca="false">ROUND(J46-K46-L46,2)</f>
        <v>0</v>
      </c>
      <c r="N46" s="47" t="n">
        <f aca="false">ROUND(Q45*(1+Sorted!$H$4),2)</f>
        <v>0</v>
      </c>
      <c r="O46" s="47" t="n">
        <f aca="false">MIN(N46,Sorted!$G$4)</f>
        <v>0</v>
      </c>
      <c r="P46" s="47" t="n">
        <f aca="false">MAX(0,MIN(N46-O46,$C46-(H46+L46)))</f>
        <v>0</v>
      </c>
      <c r="Q46" s="47" t="n">
        <f aca="false">ROUND(N46-O46-P46,2)</f>
        <v>0</v>
      </c>
      <c r="R46" s="47" t="n">
        <f aca="false">ROUND(U45*(1+Sorted!$H$5),2)</f>
        <v>0</v>
      </c>
      <c r="S46" s="47" t="n">
        <f aca="false">MIN(R46,Sorted!$G$5)</f>
        <v>0</v>
      </c>
      <c r="T46" s="47" t="n">
        <f aca="false">MAX(0,MIN(R46-S46,$C46-(H46+L46+P46)))</f>
        <v>0</v>
      </c>
      <c r="U46" s="47" t="n">
        <f aca="false">ROUND(R46-S46-T46,2)</f>
        <v>0</v>
      </c>
      <c r="V46" s="47" t="n">
        <f aca="false">ROUND(Y45*(1+Sorted!$H$6),2)</f>
        <v>0</v>
      </c>
      <c r="W46" s="47" t="n">
        <f aca="false">MIN(V46,Sorted!$G$6)</f>
        <v>0</v>
      </c>
      <c r="X46" s="47" t="n">
        <f aca="false">MAX(0,MIN(V46-W46,$C46-(H46+L46+P46+T46)))</f>
        <v>0</v>
      </c>
      <c r="Y46" s="47" t="n">
        <f aca="false">ROUND(V46-W46-X46,2)</f>
        <v>0</v>
      </c>
      <c r="Z46" s="47" t="n">
        <f aca="false">ROUND(AC45*(1+Sorted!$H$7),2)</f>
        <v>0</v>
      </c>
      <c r="AA46" s="47" t="n">
        <f aca="false">MIN(Z46,Sorted!$G$7)</f>
        <v>0</v>
      </c>
      <c r="AB46" s="47" t="n">
        <f aca="false">MAX(0,MIN(Z46-AA46,$C46-(H46+L46+P46+T46+X46)))</f>
        <v>0</v>
      </c>
      <c r="AC46" s="47" t="n">
        <f aca="false">ROUND(Z46-AA46-AB46,2)</f>
        <v>0</v>
      </c>
      <c r="AD46" s="47" t="n">
        <f aca="false">ROUND(AG45*(1+Sorted!$H$8),2)</f>
        <v>0</v>
      </c>
      <c r="AE46" s="47" t="n">
        <f aca="false">MIN(AD46,Sorted!$G$8)</f>
        <v>0</v>
      </c>
      <c r="AF46" s="47" t="n">
        <f aca="false">MAX(0,MIN(AD46-AE46,$C46-(H46+L46+P46+T46+X46+AB46)))</f>
        <v>0</v>
      </c>
      <c r="AG46" s="47" t="n">
        <f aca="false">ROUND(AD46-AE46-AF46,2)</f>
        <v>0</v>
      </c>
      <c r="AH46" s="47" t="n">
        <f aca="false">ROUND(AK45*(1+Sorted!$H$9),2)</f>
        <v>0</v>
      </c>
      <c r="AI46" s="47" t="n">
        <f aca="false">MIN(AH46,Sorted!$G$9)</f>
        <v>0</v>
      </c>
      <c r="AJ46" s="47" t="n">
        <f aca="false">MAX(0,MIN(AH46-AI46,$C46-(H46+L46+P46+T46+X46+AB46+AF46)))</f>
        <v>0</v>
      </c>
      <c r="AK46" s="47" t="n">
        <f aca="false">ROUND(AH46-AI46-AJ46,2)</f>
        <v>0</v>
      </c>
      <c r="AL46" s="47" t="n">
        <f aca="false">ROUND(AO45*(1+Sorted!$H$10),2)</f>
        <v>0</v>
      </c>
      <c r="AM46" s="47" t="n">
        <f aca="false">MIN(AL46,Sorted!$G$10)</f>
        <v>0</v>
      </c>
      <c r="AN46" s="47" t="n">
        <f aca="false">MAX(0,MIN(AL46-AM46,$C46-(H46+L46+P46+T46+X46+AB46+AF46+AJ46)))</f>
        <v>0</v>
      </c>
      <c r="AO46" s="47" t="n">
        <f aca="false">ROUND(AL46-AM46-AN46,2)</f>
        <v>0</v>
      </c>
      <c r="AP46" s="47" t="n">
        <f aca="false">ROUND(AS45*(1+Sorted!$H$11),2)</f>
        <v>0</v>
      </c>
      <c r="AQ46" s="47" t="n">
        <f aca="false">MIN(AP46,Sorted!$G$11)</f>
        <v>0</v>
      </c>
      <c r="AR46" s="47" t="n">
        <f aca="false">MAX(0,MIN(AP46-AQ46,$C46-(H46+L46+P46+T46+X46+AB46+AF46+AJ46+AN46)))</f>
        <v>0</v>
      </c>
      <c r="AS46" s="47" t="n">
        <f aca="false">ROUND(AP46-AQ46-AR46,2)</f>
        <v>0</v>
      </c>
    </row>
    <row r="47" customFormat="false" ht="15" hidden="false" customHeight="false" outlineLevel="0" collapsed="false">
      <c r="A47" s="45" t="n">
        <v>44</v>
      </c>
      <c r="B47" s="46" t="n">
        <f aca="false">EDATE('My Debts'!$C$7,A47-1)</f>
        <v>47635</v>
      </c>
      <c r="C47" s="47" t="n">
        <f aca="false">MAX(0,'My Debts'!$E$6-(G47+K47+O47+S47+W47+AA47+AE47+AI47+AM47+AQ47))</f>
        <v>730</v>
      </c>
      <c r="D47" s="47" t="n">
        <f aca="false">(F47+J47+N47+R47+V47+Z47+AD47+AH47+AL47+AP47)-(I47+M47+Q47+U47+Y47+AC47+AG47+AK47+AO47+AS47)</f>
        <v>0</v>
      </c>
      <c r="E47" s="48" t="n">
        <f aca="false">I47+M47+Q47+U47+Y47+AC47+AG47+AK47+AO47+AS47</f>
        <v>0</v>
      </c>
      <c r="F47" s="47" t="n">
        <f aca="false">ROUND(I46*(1+Sorted!$H$2),2)</f>
        <v>0</v>
      </c>
      <c r="G47" s="47" t="n">
        <f aca="false">MIN(F47,Sorted!$G$2)</f>
        <v>0</v>
      </c>
      <c r="H47" s="47" t="n">
        <f aca="false">MAX(0,MIN(F47-G47,$C47-(0)))</f>
        <v>0</v>
      </c>
      <c r="I47" s="47" t="n">
        <f aca="false">ROUND(F47-G47-H47,2)</f>
        <v>0</v>
      </c>
      <c r="J47" s="47" t="n">
        <f aca="false">ROUND(M46*(1+Sorted!$H$3),2)</f>
        <v>0</v>
      </c>
      <c r="K47" s="47" t="n">
        <f aca="false">MIN(J47,Sorted!$G$3)</f>
        <v>0</v>
      </c>
      <c r="L47" s="47" t="n">
        <f aca="false">MAX(0,MIN(J47-K47,$C47-(H47)))</f>
        <v>0</v>
      </c>
      <c r="M47" s="47" t="n">
        <f aca="false">ROUND(J47-K47-L47,2)</f>
        <v>0</v>
      </c>
      <c r="N47" s="47" t="n">
        <f aca="false">ROUND(Q46*(1+Sorted!$H$4),2)</f>
        <v>0</v>
      </c>
      <c r="O47" s="47" t="n">
        <f aca="false">MIN(N47,Sorted!$G$4)</f>
        <v>0</v>
      </c>
      <c r="P47" s="47" t="n">
        <f aca="false">MAX(0,MIN(N47-O47,$C47-(H47+L47)))</f>
        <v>0</v>
      </c>
      <c r="Q47" s="47" t="n">
        <f aca="false">ROUND(N47-O47-P47,2)</f>
        <v>0</v>
      </c>
      <c r="R47" s="47" t="n">
        <f aca="false">ROUND(U46*(1+Sorted!$H$5),2)</f>
        <v>0</v>
      </c>
      <c r="S47" s="47" t="n">
        <f aca="false">MIN(R47,Sorted!$G$5)</f>
        <v>0</v>
      </c>
      <c r="T47" s="47" t="n">
        <f aca="false">MAX(0,MIN(R47-S47,$C47-(H47+L47+P47)))</f>
        <v>0</v>
      </c>
      <c r="U47" s="47" t="n">
        <f aca="false">ROUND(R47-S47-T47,2)</f>
        <v>0</v>
      </c>
      <c r="V47" s="47" t="n">
        <f aca="false">ROUND(Y46*(1+Sorted!$H$6),2)</f>
        <v>0</v>
      </c>
      <c r="W47" s="47" t="n">
        <f aca="false">MIN(V47,Sorted!$G$6)</f>
        <v>0</v>
      </c>
      <c r="X47" s="47" t="n">
        <f aca="false">MAX(0,MIN(V47-W47,$C47-(H47+L47+P47+T47)))</f>
        <v>0</v>
      </c>
      <c r="Y47" s="47" t="n">
        <f aca="false">ROUND(V47-W47-X47,2)</f>
        <v>0</v>
      </c>
      <c r="Z47" s="47" t="n">
        <f aca="false">ROUND(AC46*(1+Sorted!$H$7),2)</f>
        <v>0</v>
      </c>
      <c r="AA47" s="47" t="n">
        <f aca="false">MIN(Z47,Sorted!$G$7)</f>
        <v>0</v>
      </c>
      <c r="AB47" s="47" t="n">
        <f aca="false">MAX(0,MIN(Z47-AA47,$C47-(H47+L47+P47+T47+X47)))</f>
        <v>0</v>
      </c>
      <c r="AC47" s="47" t="n">
        <f aca="false">ROUND(Z47-AA47-AB47,2)</f>
        <v>0</v>
      </c>
      <c r="AD47" s="47" t="n">
        <f aca="false">ROUND(AG46*(1+Sorted!$H$8),2)</f>
        <v>0</v>
      </c>
      <c r="AE47" s="47" t="n">
        <f aca="false">MIN(AD47,Sorted!$G$8)</f>
        <v>0</v>
      </c>
      <c r="AF47" s="47" t="n">
        <f aca="false">MAX(0,MIN(AD47-AE47,$C47-(H47+L47+P47+T47+X47+AB47)))</f>
        <v>0</v>
      </c>
      <c r="AG47" s="47" t="n">
        <f aca="false">ROUND(AD47-AE47-AF47,2)</f>
        <v>0</v>
      </c>
      <c r="AH47" s="47" t="n">
        <f aca="false">ROUND(AK46*(1+Sorted!$H$9),2)</f>
        <v>0</v>
      </c>
      <c r="AI47" s="47" t="n">
        <f aca="false">MIN(AH47,Sorted!$G$9)</f>
        <v>0</v>
      </c>
      <c r="AJ47" s="47" t="n">
        <f aca="false">MAX(0,MIN(AH47-AI47,$C47-(H47+L47+P47+T47+X47+AB47+AF47)))</f>
        <v>0</v>
      </c>
      <c r="AK47" s="47" t="n">
        <f aca="false">ROUND(AH47-AI47-AJ47,2)</f>
        <v>0</v>
      </c>
      <c r="AL47" s="47" t="n">
        <f aca="false">ROUND(AO46*(1+Sorted!$H$10),2)</f>
        <v>0</v>
      </c>
      <c r="AM47" s="47" t="n">
        <f aca="false">MIN(AL47,Sorted!$G$10)</f>
        <v>0</v>
      </c>
      <c r="AN47" s="47" t="n">
        <f aca="false">MAX(0,MIN(AL47-AM47,$C47-(H47+L47+P47+T47+X47+AB47+AF47+AJ47)))</f>
        <v>0</v>
      </c>
      <c r="AO47" s="47" t="n">
        <f aca="false">ROUND(AL47-AM47-AN47,2)</f>
        <v>0</v>
      </c>
      <c r="AP47" s="47" t="n">
        <f aca="false">ROUND(AS46*(1+Sorted!$H$11),2)</f>
        <v>0</v>
      </c>
      <c r="AQ47" s="47" t="n">
        <f aca="false">MIN(AP47,Sorted!$G$11)</f>
        <v>0</v>
      </c>
      <c r="AR47" s="47" t="n">
        <f aca="false">MAX(0,MIN(AP47-AQ47,$C47-(H47+L47+P47+T47+X47+AB47+AF47+AJ47+AN47)))</f>
        <v>0</v>
      </c>
      <c r="AS47" s="47" t="n">
        <f aca="false">ROUND(AP47-AQ47-AR47,2)</f>
        <v>0</v>
      </c>
    </row>
    <row r="48" customFormat="false" ht="15" hidden="false" customHeight="false" outlineLevel="0" collapsed="false">
      <c r="A48" s="45" t="n">
        <v>45</v>
      </c>
      <c r="B48" s="46" t="n">
        <f aca="false">EDATE('My Debts'!$C$7,A48-1)</f>
        <v>47665</v>
      </c>
      <c r="C48" s="47" t="n">
        <f aca="false">MAX(0,'My Debts'!$E$6-(G48+K48+O48+S48+W48+AA48+AE48+AI48+AM48+AQ48))</f>
        <v>730</v>
      </c>
      <c r="D48" s="47" t="n">
        <f aca="false">(F48+J48+N48+R48+V48+Z48+AD48+AH48+AL48+AP48)-(I48+M48+Q48+U48+Y48+AC48+AG48+AK48+AO48+AS48)</f>
        <v>0</v>
      </c>
      <c r="E48" s="48" t="n">
        <f aca="false">I48+M48+Q48+U48+Y48+AC48+AG48+AK48+AO48+AS48</f>
        <v>0</v>
      </c>
      <c r="F48" s="47" t="n">
        <f aca="false">ROUND(I47*(1+Sorted!$H$2),2)</f>
        <v>0</v>
      </c>
      <c r="G48" s="47" t="n">
        <f aca="false">MIN(F48,Sorted!$G$2)</f>
        <v>0</v>
      </c>
      <c r="H48" s="47" t="n">
        <f aca="false">MAX(0,MIN(F48-G48,$C48-(0)))</f>
        <v>0</v>
      </c>
      <c r="I48" s="47" t="n">
        <f aca="false">ROUND(F48-G48-H48,2)</f>
        <v>0</v>
      </c>
      <c r="J48" s="47" t="n">
        <f aca="false">ROUND(M47*(1+Sorted!$H$3),2)</f>
        <v>0</v>
      </c>
      <c r="K48" s="47" t="n">
        <f aca="false">MIN(J48,Sorted!$G$3)</f>
        <v>0</v>
      </c>
      <c r="L48" s="47" t="n">
        <f aca="false">MAX(0,MIN(J48-K48,$C48-(H48)))</f>
        <v>0</v>
      </c>
      <c r="M48" s="47" t="n">
        <f aca="false">ROUND(J48-K48-L48,2)</f>
        <v>0</v>
      </c>
      <c r="N48" s="47" t="n">
        <f aca="false">ROUND(Q47*(1+Sorted!$H$4),2)</f>
        <v>0</v>
      </c>
      <c r="O48" s="47" t="n">
        <f aca="false">MIN(N48,Sorted!$G$4)</f>
        <v>0</v>
      </c>
      <c r="P48" s="47" t="n">
        <f aca="false">MAX(0,MIN(N48-O48,$C48-(H48+L48)))</f>
        <v>0</v>
      </c>
      <c r="Q48" s="47" t="n">
        <f aca="false">ROUND(N48-O48-P48,2)</f>
        <v>0</v>
      </c>
      <c r="R48" s="47" t="n">
        <f aca="false">ROUND(U47*(1+Sorted!$H$5),2)</f>
        <v>0</v>
      </c>
      <c r="S48" s="47" t="n">
        <f aca="false">MIN(R48,Sorted!$G$5)</f>
        <v>0</v>
      </c>
      <c r="T48" s="47" t="n">
        <f aca="false">MAX(0,MIN(R48-S48,$C48-(H48+L48+P48)))</f>
        <v>0</v>
      </c>
      <c r="U48" s="47" t="n">
        <f aca="false">ROUND(R48-S48-T48,2)</f>
        <v>0</v>
      </c>
      <c r="V48" s="47" t="n">
        <f aca="false">ROUND(Y47*(1+Sorted!$H$6),2)</f>
        <v>0</v>
      </c>
      <c r="W48" s="47" t="n">
        <f aca="false">MIN(V48,Sorted!$G$6)</f>
        <v>0</v>
      </c>
      <c r="X48" s="47" t="n">
        <f aca="false">MAX(0,MIN(V48-W48,$C48-(H48+L48+P48+T48)))</f>
        <v>0</v>
      </c>
      <c r="Y48" s="47" t="n">
        <f aca="false">ROUND(V48-W48-X48,2)</f>
        <v>0</v>
      </c>
      <c r="Z48" s="47" t="n">
        <f aca="false">ROUND(AC47*(1+Sorted!$H$7),2)</f>
        <v>0</v>
      </c>
      <c r="AA48" s="47" t="n">
        <f aca="false">MIN(Z48,Sorted!$G$7)</f>
        <v>0</v>
      </c>
      <c r="AB48" s="47" t="n">
        <f aca="false">MAX(0,MIN(Z48-AA48,$C48-(H48+L48+P48+T48+X48)))</f>
        <v>0</v>
      </c>
      <c r="AC48" s="47" t="n">
        <f aca="false">ROUND(Z48-AA48-AB48,2)</f>
        <v>0</v>
      </c>
      <c r="AD48" s="47" t="n">
        <f aca="false">ROUND(AG47*(1+Sorted!$H$8),2)</f>
        <v>0</v>
      </c>
      <c r="AE48" s="47" t="n">
        <f aca="false">MIN(AD48,Sorted!$G$8)</f>
        <v>0</v>
      </c>
      <c r="AF48" s="47" t="n">
        <f aca="false">MAX(0,MIN(AD48-AE48,$C48-(H48+L48+P48+T48+X48+AB48)))</f>
        <v>0</v>
      </c>
      <c r="AG48" s="47" t="n">
        <f aca="false">ROUND(AD48-AE48-AF48,2)</f>
        <v>0</v>
      </c>
      <c r="AH48" s="47" t="n">
        <f aca="false">ROUND(AK47*(1+Sorted!$H$9),2)</f>
        <v>0</v>
      </c>
      <c r="AI48" s="47" t="n">
        <f aca="false">MIN(AH48,Sorted!$G$9)</f>
        <v>0</v>
      </c>
      <c r="AJ48" s="47" t="n">
        <f aca="false">MAX(0,MIN(AH48-AI48,$C48-(H48+L48+P48+T48+X48+AB48+AF48)))</f>
        <v>0</v>
      </c>
      <c r="AK48" s="47" t="n">
        <f aca="false">ROUND(AH48-AI48-AJ48,2)</f>
        <v>0</v>
      </c>
      <c r="AL48" s="47" t="n">
        <f aca="false">ROUND(AO47*(1+Sorted!$H$10),2)</f>
        <v>0</v>
      </c>
      <c r="AM48" s="47" t="n">
        <f aca="false">MIN(AL48,Sorted!$G$10)</f>
        <v>0</v>
      </c>
      <c r="AN48" s="47" t="n">
        <f aca="false">MAX(0,MIN(AL48-AM48,$C48-(H48+L48+P48+T48+X48+AB48+AF48+AJ48)))</f>
        <v>0</v>
      </c>
      <c r="AO48" s="47" t="n">
        <f aca="false">ROUND(AL48-AM48-AN48,2)</f>
        <v>0</v>
      </c>
      <c r="AP48" s="47" t="n">
        <f aca="false">ROUND(AS47*(1+Sorted!$H$11),2)</f>
        <v>0</v>
      </c>
      <c r="AQ48" s="47" t="n">
        <f aca="false">MIN(AP48,Sorted!$G$11)</f>
        <v>0</v>
      </c>
      <c r="AR48" s="47" t="n">
        <f aca="false">MAX(0,MIN(AP48-AQ48,$C48-(H48+L48+P48+T48+X48+AB48+AF48+AJ48+AN48)))</f>
        <v>0</v>
      </c>
      <c r="AS48" s="47" t="n">
        <f aca="false">ROUND(AP48-AQ48-AR48,2)</f>
        <v>0</v>
      </c>
    </row>
    <row r="49" customFormat="false" ht="15" hidden="false" customHeight="false" outlineLevel="0" collapsed="false">
      <c r="A49" s="45" t="n">
        <v>46</v>
      </c>
      <c r="B49" s="46" t="n">
        <f aca="false">EDATE('My Debts'!$C$7,A49-1)</f>
        <v>47696</v>
      </c>
      <c r="C49" s="47" t="n">
        <f aca="false">MAX(0,'My Debts'!$E$6-(G49+K49+O49+S49+W49+AA49+AE49+AI49+AM49+AQ49))</f>
        <v>730</v>
      </c>
      <c r="D49" s="47" t="n">
        <f aca="false">(F49+J49+N49+R49+V49+Z49+AD49+AH49+AL49+AP49)-(I49+M49+Q49+U49+Y49+AC49+AG49+AK49+AO49+AS49)</f>
        <v>0</v>
      </c>
      <c r="E49" s="48" t="n">
        <f aca="false">I49+M49+Q49+U49+Y49+AC49+AG49+AK49+AO49+AS49</f>
        <v>0</v>
      </c>
      <c r="F49" s="47" t="n">
        <f aca="false">ROUND(I48*(1+Sorted!$H$2),2)</f>
        <v>0</v>
      </c>
      <c r="G49" s="47" t="n">
        <f aca="false">MIN(F49,Sorted!$G$2)</f>
        <v>0</v>
      </c>
      <c r="H49" s="47" t="n">
        <f aca="false">MAX(0,MIN(F49-G49,$C49-(0)))</f>
        <v>0</v>
      </c>
      <c r="I49" s="47" t="n">
        <f aca="false">ROUND(F49-G49-H49,2)</f>
        <v>0</v>
      </c>
      <c r="J49" s="47" t="n">
        <f aca="false">ROUND(M48*(1+Sorted!$H$3),2)</f>
        <v>0</v>
      </c>
      <c r="K49" s="47" t="n">
        <f aca="false">MIN(J49,Sorted!$G$3)</f>
        <v>0</v>
      </c>
      <c r="L49" s="47" t="n">
        <f aca="false">MAX(0,MIN(J49-K49,$C49-(H49)))</f>
        <v>0</v>
      </c>
      <c r="M49" s="47" t="n">
        <f aca="false">ROUND(J49-K49-L49,2)</f>
        <v>0</v>
      </c>
      <c r="N49" s="47" t="n">
        <f aca="false">ROUND(Q48*(1+Sorted!$H$4),2)</f>
        <v>0</v>
      </c>
      <c r="O49" s="47" t="n">
        <f aca="false">MIN(N49,Sorted!$G$4)</f>
        <v>0</v>
      </c>
      <c r="P49" s="47" t="n">
        <f aca="false">MAX(0,MIN(N49-O49,$C49-(H49+L49)))</f>
        <v>0</v>
      </c>
      <c r="Q49" s="47" t="n">
        <f aca="false">ROUND(N49-O49-P49,2)</f>
        <v>0</v>
      </c>
      <c r="R49" s="47" t="n">
        <f aca="false">ROUND(U48*(1+Sorted!$H$5),2)</f>
        <v>0</v>
      </c>
      <c r="S49" s="47" t="n">
        <f aca="false">MIN(R49,Sorted!$G$5)</f>
        <v>0</v>
      </c>
      <c r="T49" s="47" t="n">
        <f aca="false">MAX(0,MIN(R49-S49,$C49-(H49+L49+P49)))</f>
        <v>0</v>
      </c>
      <c r="U49" s="47" t="n">
        <f aca="false">ROUND(R49-S49-T49,2)</f>
        <v>0</v>
      </c>
      <c r="V49" s="47" t="n">
        <f aca="false">ROUND(Y48*(1+Sorted!$H$6),2)</f>
        <v>0</v>
      </c>
      <c r="W49" s="47" t="n">
        <f aca="false">MIN(V49,Sorted!$G$6)</f>
        <v>0</v>
      </c>
      <c r="X49" s="47" t="n">
        <f aca="false">MAX(0,MIN(V49-W49,$C49-(H49+L49+P49+T49)))</f>
        <v>0</v>
      </c>
      <c r="Y49" s="47" t="n">
        <f aca="false">ROUND(V49-W49-X49,2)</f>
        <v>0</v>
      </c>
      <c r="Z49" s="47" t="n">
        <f aca="false">ROUND(AC48*(1+Sorted!$H$7),2)</f>
        <v>0</v>
      </c>
      <c r="AA49" s="47" t="n">
        <f aca="false">MIN(Z49,Sorted!$G$7)</f>
        <v>0</v>
      </c>
      <c r="AB49" s="47" t="n">
        <f aca="false">MAX(0,MIN(Z49-AA49,$C49-(H49+L49+P49+T49+X49)))</f>
        <v>0</v>
      </c>
      <c r="AC49" s="47" t="n">
        <f aca="false">ROUND(Z49-AA49-AB49,2)</f>
        <v>0</v>
      </c>
      <c r="AD49" s="47" t="n">
        <f aca="false">ROUND(AG48*(1+Sorted!$H$8),2)</f>
        <v>0</v>
      </c>
      <c r="AE49" s="47" t="n">
        <f aca="false">MIN(AD49,Sorted!$G$8)</f>
        <v>0</v>
      </c>
      <c r="AF49" s="47" t="n">
        <f aca="false">MAX(0,MIN(AD49-AE49,$C49-(H49+L49+P49+T49+X49+AB49)))</f>
        <v>0</v>
      </c>
      <c r="AG49" s="47" t="n">
        <f aca="false">ROUND(AD49-AE49-AF49,2)</f>
        <v>0</v>
      </c>
      <c r="AH49" s="47" t="n">
        <f aca="false">ROUND(AK48*(1+Sorted!$H$9),2)</f>
        <v>0</v>
      </c>
      <c r="AI49" s="47" t="n">
        <f aca="false">MIN(AH49,Sorted!$G$9)</f>
        <v>0</v>
      </c>
      <c r="AJ49" s="47" t="n">
        <f aca="false">MAX(0,MIN(AH49-AI49,$C49-(H49+L49+P49+T49+X49+AB49+AF49)))</f>
        <v>0</v>
      </c>
      <c r="AK49" s="47" t="n">
        <f aca="false">ROUND(AH49-AI49-AJ49,2)</f>
        <v>0</v>
      </c>
      <c r="AL49" s="47" t="n">
        <f aca="false">ROUND(AO48*(1+Sorted!$H$10),2)</f>
        <v>0</v>
      </c>
      <c r="AM49" s="47" t="n">
        <f aca="false">MIN(AL49,Sorted!$G$10)</f>
        <v>0</v>
      </c>
      <c r="AN49" s="47" t="n">
        <f aca="false">MAX(0,MIN(AL49-AM49,$C49-(H49+L49+P49+T49+X49+AB49+AF49+AJ49)))</f>
        <v>0</v>
      </c>
      <c r="AO49" s="47" t="n">
        <f aca="false">ROUND(AL49-AM49-AN49,2)</f>
        <v>0</v>
      </c>
      <c r="AP49" s="47" t="n">
        <f aca="false">ROUND(AS48*(1+Sorted!$H$11),2)</f>
        <v>0</v>
      </c>
      <c r="AQ49" s="47" t="n">
        <f aca="false">MIN(AP49,Sorted!$G$11)</f>
        <v>0</v>
      </c>
      <c r="AR49" s="47" t="n">
        <f aca="false">MAX(0,MIN(AP49-AQ49,$C49-(H49+L49+P49+T49+X49+AB49+AF49+AJ49+AN49)))</f>
        <v>0</v>
      </c>
      <c r="AS49" s="47" t="n">
        <f aca="false">ROUND(AP49-AQ49-AR49,2)</f>
        <v>0</v>
      </c>
    </row>
    <row r="50" customFormat="false" ht="15" hidden="false" customHeight="false" outlineLevel="0" collapsed="false">
      <c r="A50" s="45" t="n">
        <v>47</v>
      </c>
      <c r="B50" s="46" t="n">
        <f aca="false">EDATE('My Debts'!$C$7,A50-1)</f>
        <v>47727</v>
      </c>
      <c r="C50" s="47" t="n">
        <f aca="false">MAX(0,'My Debts'!$E$6-(G50+K50+O50+S50+W50+AA50+AE50+AI50+AM50+AQ50))</f>
        <v>730</v>
      </c>
      <c r="D50" s="47" t="n">
        <f aca="false">(F50+J50+N50+R50+V50+Z50+AD50+AH50+AL50+AP50)-(I50+M50+Q50+U50+Y50+AC50+AG50+AK50+AO50+AS50)</f>
        <v>0</v>
      </c>
      <c r="E50" s="48" t="n">
        <f aca="false">I50+M50+Q50+U50+Y50+AC50+AG50+AK50+AO50+AS50</f>
        <v>0</v>
      </c>
      <c r="F50" s="47" t="n">
        <f aca="false">ROUND(I49*(1+Sorted!$H$2),2)</f>
        <v>0</v>
      </c>
      <c r="G50" s="47" t="n">
        <f aca="false">MIN(F50,Sorted!$G$2)</f>
        <v>0</v>
      </c>
      <c r="H50" s="47" t="n">
        <f aca="false">MAX(0,MIN(F50-G50,$C50-(0)))</f>
        <v>0</v>
      </c>
      <c r="I50" s="47" t="n">
        <f aca="false">ROUND(F50-G50-H50,2)</f>
        <v>0</v>
      </c>
      <c r="J50" s="47" t="n">
        <f aca="false">ROUND(M49*(1+Sorted!$H$3),2)</f>
        <v>0</v>
      </c>
      <c r="K50" s="47" t="n">
        <f aca="false">MIN(J50,Sorted!$G$3)</f>
        <v>0</v>
      </c>
      <c r="L50" s="47" t="n">
        <f aca="false">MAX(0,MIN(J50-K50,$C50-(H50)))</f>
        <v>0</v>
      </c>
      <c r="M50" s="47" t="n">
        <f aca="false">ROUND(J50-K50-L50,2)</f>
        <v>0</v>
      </c>
      <c r="N50" s="47" t="n">
        <f aca="false">ROUND(Q49*(1+Sorted!$H$4),2)</f>
        <v>0</v>
      </c>
      <c r="O50" s="47" t="n">
        <f aca="false">MIN(N50,Sorted!$G$4)</f>
        <v>0</v>
      </c>
      <c r="P50" s="47" t="n">
        <f aca="false">MAX(0,MIN(N50-O50,$C50-(H50+L50)))</f>
        <v>0</v>
      </c>
      <c r="Q50" s="47" t="n">
        <f aca="false">ROUND(N50-O50-P50,2)</f>
        <v>0</v>
      </c>
      <c r="R50" s="47" t="n">
        <f aca="false">ROUND(U49*(1+Sorted!$H$5),2)</f>
        <v>0</v>
      </c>
      <c r="S50" s="47" t="n">
        <f aca="false">MIN(R50,Sorted!$G$5)</f>
        <v>0</v>
      </c>
      <c r="T50" s="47" t="n">
        <f aca="false">MAX(0,MIN(R50-S50,$C50-(H50+L50+P50)))</f>
        <v>0</v>
      </c>
      <c r="U50" s="47" t="n">
        <f aca="false">ROUND(R50-S50-T50,2)</f>
        <v>0</v>
      </c>
      <c r="V50" s="47" t="n">
        <f aca="false">ROUND(Y49*(1+Sorted!$H$6),2)</f>
        <v>0</v>
      </c>
      <c r="W50" s="47" t="n">
        <f aca="false">MIN(V50,Sorted!$G$6)</f>
        <v>0</v>
      </c>
      <c r="X50" s="47" t="n">
        <f aca="false">MAX(0,MIN(V50-W50,$C50-(H50+L50+P50+T50)))</f>
        <v>0</v>
      </c>
      <c r="Y50" s="47" t="n">
        <f aca="false">ROUND(V50-W50-X50,2)</f>
        <v>0</v>
      </c>
      <c r="Z50" s="47" t="n">
        <f aca="false">ROUND(AC49*(1+Sorted!$H$7),2)</f>
        <v>0</v>
      </c>
      <c r="AA50" s="47" t="n">
        <f aca="false">MIN(Z50,Sorted!$G$7)</f>
        <v>0</v>
      </c>
      <c r="AB50" s="47" t="n">
        <f aca="false">MAX(0,MIN(Z50-AA50,$C50-(H50+L50+P50+T50+X50)))</f>
        <v>0</v>
      </c>
      <c r="AC50" s="47" t="n">
        <f aca="false">ROUND(Z50-AA50-AB50,2)</f>
        <v>0</v>
      </c>
      <c r="AD50" s="47" t="n">
        <f aca="false">ROUND(AG49*(1+Sorted!$H$8),2)</f>
        <v>0</v>
      </c>
      <c r="AE50" s="47" t="n">
        <f aca="false">MIN(AD50,Sorted!$G$8)</f>
        <v>0</v>
      </c>
      <c r="AF50" s="47" t="n">
        <f aca="false">MAX(0,MIN(AD50-AE50,$C50-(H50+L50+P50+T50+X50+AB50)))</f>
        <v>0</v>
      </c>
      <c r="AG50" s="47" t="n">
        <f aca="false">ROUND(AD50-AE50-AF50,2)</f>
        <v>0</v>
      </c>
      <c r="AH50" s="47" t="n">
        <f aca="false">ROUND(AK49*(1+Sorted!$H$9),2)</f>
        <v>0</v>
      </c>
      <c r="AI50" s="47" t="n">
        <f aca="false">MIN(AH50,Sorted!$G$9)</f>
        <v>0</v>
      </c>
      <c r="AJ50" s="47" t="n">
        <f aca="false">MAX(0,MIN(AH50-AI50,$C50-(H50+L50+P50+T50+X50+AB50+AF50)))</f>
        <v>0</v>
      </c>
      <c r="AK50" s="47" t="n">
        <f aca="false">ROUND(AH50-AI50-AJ50,2)</f>
        <v>0</v>
      </c>
      <c r="AL50" s="47" t="n">
        <f aca="false">ROUND(AO49*(1+Sorted!$H$10),2)</f>
        <v>0</v>
      </c>
      <c r="AM50" s="47" t="n">
        <f aca="false">MIN(AL50,Sorted!$G$10)</f>
        <v>0</v>
      </c>
      <c r="AN50" s="47" t="n">
        <f aca="false">MAX(0,MIN(AL50-AM50,$C50-(H50+L50+P50+T50+X50+AB50+AF50+AJ50)))</f>
        <v>0</v>
      </c>
      <c r="AO50" s="47" t="n">
        <f aca="false">ROUND(AL50-AM50-AN50,2)</f>
        <v>0</v>
      </c>
      <c r="AP50" s="47" t="n">
        <f aca="false">ROUND(AS49*(1+Sorted!$H$11),2)</f>
        <v>0</v>
      </c>
      <c r="AQ50" s="47" t="n">
        <f aca="false">MIN(AP50,Sorted!$G$11)</f>
        <v>0</v>
      </c>
      <c r="AR50" s="47" t="n">
        <f aca="false">MAX(0,MIN(AP50-AQ50,$C50-(H50+L50+P50+T50+X50+AB50+AF50+AJ50+AN50)))</f>
        <v>0</v>
      </c>
      <c r="AS50" s="47" t="n">
        <f aca="false">ROUND(AP50-AQ50-AR50,2)</f>
        <v>0</v>
      </c>
    </row>
    <row r="51" customFormat="false" ht="15" hidden="false" customHeight="false" outlineLevel="0" collapsed="false">
      <c r="A51" s="45" t="n">
        <v>48</v>
      </c>
      <c r="B51" s="46" t="n">
        <f aca="false">EDATE('My Debts'!$C$7,A51-1)</f>
        <v>47757</v>
      </c>
      <c r="C51" s="47" t="n">
        <f aca="false">MAX(0,'My Debts'!$E$6-(G51+K51+O51+S51+W51+AA51+AE51+AI51+AM51+AQ51))</f>
        <v>730</v>
      </c>
      <c r="D51" s="47" t="n">
        <f aca="false">(F51+J51+N51+R51+V51+Z51+AD51+AH51+AL51+AP51)-(I51+M51+Q51+U51+Y51+AC51+AG51+AK51+AO51+AS51)</f>
        <v>0</v>
      </c>
      <c r="E51" s="48" t="n">
        <f aca="false">I51+M51+Q51+U51+Y51+AC51+AG51+AK51+AO51+AS51</f>
        <v>0</v>
      </c>
      <c r="F51" s="47" t="n">
        <f aca="false">ROUND(I50*(1+Sorted!$H$2),2)</f>
        <v>0</v>
      </c>
      <c r="G51" s="47" t="n">
        <f aca="false">MIN(F51,Sorted!$G$2)</f>
        <v>0</v>
      </c>
      <c r="H51" s="47" t="n">
        <f aca="false">MAX(0,MIN(F51-G51,$C51-(0)))</f>
        <v>0</v>
      </c>
      <c r="I51" s="47" t="n">
        <f aca="false">ROUND(F51-G51-H51,2)</f>
        <v>0</v>
      </c>
      <c r="J51" s="47" t="n">
        <f aca="false">ROUND(M50*(1+Sorted!$H$3),2)</f>
        <v>0</v>
      </c>
      <c r="K51" s="47" t="n">
        <f aca="false">MIN(J51,Sorted!$G$3)</f>
        <v>0</v>
      </c>
      <c r="L51" s="47" t="n">
        <f aca="false">MAX(0,MIN(J51-K51,$C51-(H51)))</f>
        <v>0</v>
      </c>
      <c r="M51" s="47" t="n">
        <f aca="false">ROUND(J51-K51-L51,2)</f>
        <v>0</v>
      </c>
      <c r="N51" s="47" t="n">
        <f aca="false">ROUND(Q50*(1+Sorted!$H$4),2)</f>
        <v>0</v>
      </c>
      <c r="O51" s="47" t="n">
        <f aca="false">MIN(N51,Sorted!$G$4)</f>
        <v>0</v>
      </c>
      <c r="P51" s="47" t="n">
        <f aca="false">MAX(0,MIN(N51-O51,$C51-(H51+L51)))</f>
        <v>0</v>
      </c>
      <c r="Q51" s="47" t="n">
        <f aca="false">ROUND(N51-O51-P51,2)</f>
        <v>0</v>
      </c>
      <c r="R51" s="47" t="n">
        <f aca="false">ROUND(U50*(1+Sorted!$H$5),2)</f>
        <v>0</v>
      </c>
      <c r="S51" s="47" t="n">
        <f aca="false">MIN(R51,Sorted!$G$5)</f>
        <v>0</v>
      </c>
      <c r="T51" s="47" t="n">
        <f aca="false">MAX(0,MIN(R51-S51,$C51-(H51+L51+P51)))</f>
        <v>0</v>
      </c>
      <c r="U51" s="47" t="n">
        <f aca="false">ROUND(R51-S51-T51,2)</f>
        <v>0</v>
      </c>
      <c r="V51" s="47" t="n">
        <f aca="false">ROUND(Y50*(1+Sorted!$H$6),2)</f>
        <v>0</v>
      </c>
      <c r="W51" s="47" t="n">
        <f aca="false">MIN(V51,Sorted!$G$6)</f>
        <v>0</v>
      </c>
      <c r="X51" s="47" t="n">
        <f aca="false">MAX(0,MIN(V51-W51,$C51-(H51+L51+P51+T51)))</f>
        <v>0</v>
      </c>
      <c r="Y51" s="47" t="n">
        <f aca="false">ROUND(V51-W51-X51,2)</f>
        <v>0</v>
      </c>
      <c r="Z51" s="47" t="n">
        <f aca="false">ROUND(AC50*(1+Sorted!$H$7),2)</f>
        <v>0</v>
      </c>
      <c r="AA51" s="47" t="n">
        <f aca="false">MIN(Z51,Sorted!$G$7)</f>
        <v>0</v>
      </c>
      <c r="AB51" s="47" t="n">
        <f aca="false">MAX(0,MIN(Z51-AA51,$C51-(H51+L51+P51+T51+X51)))</f>
        <v>0</v>
      </c>
      <c r="AC51" s="47" t="n">
        <f aca="false">ROUND(Z51-AA51-AB51,2)</f>
        <v>0</v>
      </c>
      <c r="AD51" s="47" t="n">
        <f aca="false">ROUND(AG50*(1+Sorted!$H$8),2)</f>
        <v>0</v>
      </c>
      <c r="AE51" s="47" t="n">
        <f aca="false">MIN(AD51,Sorted!$G$8)</f>
        <v>0</v>
      </c>
      <c r="AF51" s="47" t="n">
        <f aca="false">MAX(0,MIN(AD51-AE51,$C51-(H51+L51+P51+T51+X51+AB51)))</f>
        <v>0</v>
      </c>
      <c r="AG51" s="47" t="n">
        <f aca="false">ROUND(AD51-AE51-AF51,2)</f>
        <v>0</v>
      </c>
      <c r="AH51" s="47" t="n">
        <f aca="false">ROUND(AK50*(1+Sorted!$H$9),2)</f>
        <v>0</v>
      </c>
      <c r="AI51" s="47" t="n">
        <f aca="false">MIN(AH51,Sorted!$G$9)</f>
        <v>0</v>
      </c>
      <c r="AJ51" s="47" t="n">
        <f aca="false">MAX(0,MIN(AH51-AI51,$C51-(H51+L51+P51+T51+X51+AB51+AF51)))</f>
        <v>0</v>
      </c>
      <c r="AK51" s="47" t="n">
        <f aca="false">ROUND(AH51-AI51-AJ51,2)</f>
        <v>0</v>
      </c>
      <c r="AL51" s="47" t="n">
        <f aca="false">ROUND(AO50*(1+Sorted!$H$10),2)</f>
        <v>0</v>
      </c>
      <c r="AM51" s="47" t="n">
        <f aca="false">MIN(AL51,Sorted!$G$10)</f>
        <v>0</v>
      </c>
      <c r="AN51" s="47" t="n">
        <f aca="false">MAX(0,MIN(AL51-AM51,$C51-(H51+L51+P51+T51+X51+AB51+AF51+AJ51)))</f>
        <v>0</v>
      </c>
      <c r="AO51" s="47" t="n">
        <f aca="false">ROUND(AL51-AM51-AN51,2)</f>
        <v>0</v>
      </c>
      <c r="AP51" s="47" t="n">
        <f aca="false">ROUND(AS50*(1+Sorted!$H$11),2)</f>
        <v>0</v>
      </c>
      <c r="AQ51" s="47" t="n">
        <f aca="false">MIN(AP51,Sorted!$G$11)</f>
        <v>0</v>
      </c>
      <c r="AR51" s="47" t="n">
        <f aca="false">MAX(0,MIN(AP51-AQ51,$C51-(H51+L51+P51+T51+X51+AB51+AF51+AJ51+AN51)))</f>
        <v>0</v>
      </c>
      <c r="AS51" s="47" t="n">
        <f aca="false">ROUND(AP51-AQ51-AR51,2)</f>
        <v>0</v>
      </c>
    </row>
    <row r="52" customFormat="false" ht="15" hidden="false" customHeight="false" outlineLevel="0" collapsed="false">
      <c r="A52" s="45" t="n">
        <v>49</v>
      </c>
      <c r="B52" s="46" t="n">
        <f aca="false">EDATE('My Debts'!$C$7,A52-1)</f>
        <v>47788</v>
      </c>
      <c r="C52" s="47" t="n">
        <f aca="false">MAX(0,'My Debts'!$E$6-(G52+K52+O52+S52+W52+AA52+AE52+AI52+AM52+AQ52))</f>
        <v>730</v>
      </c>
      <c r="D52" s="47" t="n">
        <f aca="false">(F52+J52+N52+R52+V52+Z52+AD52+AH52+AL52+AP52)-(I52+M52+Q52+U52+Y52+AC52+AG52+AK52+AO52+AS52)</f>
        <v>0</v>
      </c>
      <c r="E52" s="48" t="n">
        <f aca="false">I52+M52+Q52+U52+Y52+AC52+AG52+AK52+AO52+AS52</f>
        <v>0</v>
      </c>
      <c r="F52" s="47" t="n">
        <f aca="false">ROUND(I51*(1+Sorted!$H$2),2)</f>
        <v>0</v>
      </c>
      <c r="G52" s="47" t="n">
        <f aca="false">MIN(F52,Sorted!$G$2)</f>
        <v>0</v>
      </c>
      <c r="H52" s="47" t="n">
        <f aca="false">MAX(0,MIN(F52-G52,$C52-(0)))</f>
        <v>0</v>
      </c>
      <c r="I52" s="47" t="n">
        <f aca="false">ROUND(F52-G52-H52,2)</f>
        <v>0</v>
      </c>
      <c r="J52" s="47" t="n">
        <f aca="false">ROUND(M51*(1+Sorted!$H$3),2)</f>
        <v>0</v>
      </c>
      <c r="K52" s="47" t="n">
        <f aca="false">MIN(J52,Sorted!$G$3)</f>
        <v>0</v>
      </c>
      <c r="L52" s="47" t="n">
        <f aca="false">MAX(0,MIN(J52-K52,$C52-(H52)))</f>
        <v>0</v>
      </c>
      <c r="M52" s="47" t="n">
        <f aca="false">ROUND(J52-K52-L52,2)</f>
        <v>0</v>
      </c>
      <c r="N52" s="47" t="n">
        <f aca="false">ROUND(Q51*(1+Sorted!$H$4),2)</f>
        <v>0</v>
      </c>
      <c r="O52" s="47" t="n">
        <f aca="false">MIN(N52,Sorted!$G$4)</f>
        <v>0</v>
      </c>
      <c r="P52" s="47" t="n">
        <f aca="false">MAX(0,MIN(N52-O52,$C52-(H52+L52)))</f>
        <v>0</v>
      </c>
      <c r="Q52" s="47" t="n">
        <f aca="false">ROUND(N52-O52-P52,2)</f>
        <v>0</v>
      </c>
      <c r="R52" s="47" t="n">
        <f aca="false">ROUND(U51*(1+Sorted!$H$5),2)</f>
        <v>0</v>
      </c>
      <c r="S52" s="47" t="n">
        <f aca="false">MIN(R52,Sorted!$G$5)</f>
        <v>0</v>
      </c>
      <c r="T52" s="47" t="n">
        <f aca="false">MAX(0,MIN(R52-S52,$C52-(H52+L52+P52)))</f>
        <v>0</v>
      </c>
      <c r="U52" s="47" t="n">
        <f aca="false">ROUND(R52-S52-T52,2)</f>
        <v>0</v>
      </c>
      <c r="V52" s="47" t="n">
        <f aca="false">ROUND(Y51*(1+Sorted!$H$6),2)</f>
        <v>0</v>
      </c>
      <c r="W52" s="47" t="n">
        <f aca="false">MIN(V52,Sorted!$G$6)</f>
        <v>0</v>
      </c>
      <c r="X52" s="47" t="n">
        <f aca="false">MAX(0,MIN(V52-W52,$C52-(H52+L52+P52+T52)))</f>
        <v>0</v>
      </c>
      <c r="Y52" s="47" t="n">
        <f aca="false">ROUND(V52-W52-X52,2)</f>
        <v>0</v>
      </c>
      <c r="Z52" s="47" t="n">
        <f aca="false">ROUND(AC51*(1+Sorted!$H$7),2)</f>
        <v>0</v>
      </c>
      <c r="AA52" s="47" t="n">
        <f aca="false">MIN(Z52,Sorted!$G$7)</f>
        <v>0</v>
      </c>
      <c r="AB52" s="47" t="n">
        <f aca="false">MAX(0,MIN(Z52-AA52,$C52-(H52+L52+P52+T52+X52)))</f>
        <v>0</v>
      </c>
      <c r="AC52" s="47" t="n">
        <f aca="false">ROUND(Z52-AA52-AB52,2)</f>
        <v>0</v>
      </c>
      <c r="AD52" s="47" t="n">
        <f aca="false">ROUND(AG51*(1+Sorted!$H$8),2)</f>
        <v>0</v>
      </c>
      <c r="AE52" s="47" t="n">
        <f aca="false">MIN(AD52,Sorted!$G$8)</f>
        <v>0</v>
      </c>
      <c r="AF52" s="47" t="n">
        <f aca="false">MAX(0,MIN(AD52-AE52,$C52-(H52+L52+P52+T52+X52+AB52)))</f>
        <v>0</v>
      </c>
      <c r="AG52" s="47" t="n">
        <f aca="false">ROUND(AD52-AE52-AF52,2)</f>
        <v>0</v>
      </c>
      <c r="AH52" s="47" t="n">
        <f aca="false">ROUND(AK51*(1+Sorted!$H$9),2)</f>
        <v>0</v>
      </c>
      <c r="AI52" s="47" t="n">
        <f aca="false">MIN(AH52,Sorted!$G$9)</f>
        <v>0</v>
      </c>
      <c r="AJ52" s="47" t="n">
        <f aca="false">MAX(0,MIN(AH52-AI52,$C52-(H52+L52+P52+T52+X52+AB52+AF52)))</f>
        <v>0</v>
      </c>
      <c r="AK52" s="47" t="n">
        <f aca="false">ROUND(AH52-AI52-AJ52,2)</f>
        <v>0</v>
      </c>
      <c r="AL52" s="47" t="n">
        <f aca="false">ROUND(AO51*(1+Sorted!$H$10),2)</f>
        <v>0</v>
      </c>
      <c r="AM52" s="47" t="n">
        <f aca="false">MIN(AL52,Sorted!$G$10)</f>
        <v>0</v>
      </c>
      <c r="AN52" s="47" t="n">
        <f aca="false">MAX(0,MIN(AL52-AM52,$C52-(H52+L52+P52+T52+X52+AB52+AF52+AJ52)))</f>
        <v>0</v>
      </c>
      <c r="AO52" s="47" t="n">
        <f aca="false">ROUND(AL52-AM52-AN52,2)</f>
        <v>0</v>
      </c>
      <c r="AP52" s="47" t="n">
        <f aca="false">ROUND(AS51*(1+Sorted!$H$11),2)</f>
        <v>0</v>
      </c>
      <c r="AQ52" s="47" t="n">
        <f aca="false">MIN(AP52,Sorted!$G$11)</f>
        <v>0</v>
      </c>
      <c r="AR52" s="47" t="n">
        <f aca="false">MAX(0,MIN(AP52-AQ52,$C52-(H52+L52+P52+T52+X52+AB52+AF52+AJ52+AN52)))</f>
        <v>0</v>
      </c>
      <c r="AS52" s="47" t="n">
        <f aca="false">ROUND(AP52-AQ52-AR52,2)</f>
        <v>0</v>
      </c>
    </row>
    <row r="53" customFormat="false" ht="15" hidden="false" customHeight="false" outlineLevel="0" collapsed="false">
      <c r="A53" s="45" t="n">
        <v>50</v>
      </c>
      <c r="B53" s="46" t="n">
        <f aca="false">EDATE('My Debts'!$C$7,A53-1)</f>
        <v>47818</v>
      </c>
      <c r="C53" s="47" t="n">
        <f aca="false">MAX(0,'My Debts'!$E$6-(G53+K53+O53+S53+W53+AA53+AE53+AI53+AM53+AQ53))</f>
        <v>730</v>
      </c>
      <c r="D53" s="47" t="n">
        <f aca="false">(F53+J53+N53+R53+V53+Z53+AD53+AH53+AL53+AP53)-(I53+M53+Q53+U53+Y53+AC53+AG53+AK53+AO53+AS53)</f>
        <v>0</v>
      </c>
      <c r="E53" s="48" t="n">
        <f aca="false">I53+M53+Q53+U53+Y53+AC53+AG53+AK53+AO53+AS53</f>
        <v>0</v>
      </c>
      <c r="F53" s="47" t="n">
        <f aca="false">ROUND(I52*(1+Sorted!$H$2),2)</f>
        <v>0</v>
      </c>
      <c r="G53" s="47" t="n">
        <f aca="false">MIN(F53,Sorted!$G$2)</f>
        <v>0</v>
      </c>
      <c r="H53" s="47" t="n">
        <f aca="false">MAX(0,MIN(F53-G53,$C53-(0)))</f>
        <v>0</v>
      </c>
      <c r="I53" s="47" t="n">
        <f aca="false">ROUND(F53-G53-H53,2)</f>
        <v>0</v>
      </c>
      <c r="J53" s="47" t="n">
        <f aca="false">ROUND(M52*(1+Sorted!$H$3),2)</f>
        <v>0</v>
      </c>
      <c r="K53" s="47" t="n">
        <f aca="false">MIN(J53,Sorted!$G$3)</f>
        <v>0</v>
      </c>
      <c r="L53" s="47" t="n">
        <f aca="false">MAX(0,MIN(J53-K53,$C53-(H53)))</f>
        <v>0</v>
      </c>
      <c r="M53" s="47" t="n">
        <f aca="false">ROUND(J53-K53-L53,2)</f>
        <v>0</v>
      </c>
      <c r="N53" s="47" t="n">
        <f aca="false">ROUND(Q52*(1+Sorted!$H$4),2)</f>
        <v>0</v>
      </c>
      <c r="O53" s="47" t="n">
        <f aca="false">MIN(N53,Sorted!$G$4)</f>
        <v>0</v>
      </c>
      <c r="P53" s="47" t="n">
        <f aca="false">MAX(0,MIN(N53-O53,$C53-(H53+L53)))</f>
        <v>0</v>
      </c>
      <c r="Q53" s="47" t="n">
        <f aca="false">ROUND(N53-O53-P53,2)</f>
        <v>0</v>
      </c>
      <c r="R53" s="47" t="n">
        <f aca="false">ROUND(U52*(1+Sorted!$H$5),2)</f>
        <v>0</v>
      </c>
      <c r="S53" s="47" t="n">
        <f aca="false">MIN(R53,Sorted!$G$5)</f>
        <v>0</v>
      </c>
      <c r="T53" s="47" t="n">
        <f aca="false">MAX(0,MIN(R53-S53,$C53-(H53+L53+P53)))</f>
        <v>0</v>
      </c>
      <c r="U53" s="47" t="n">
        <f aca="false">ROUND(R53-S53-T53,2)</f>
        <v>0</v>
      </c>
      <c r="V53" s="47" t="n">
        <f aca="false">ROUND(Y52*(1+Sorted!$H$6),2)</f>
        <v>0</v>
      </c>
      <c r="W53" s="47" t="n">
        <f aca="false">MIN(V53,Sorted!$G$6)</f>
        <v>0</v>
      </c>
      <c r="X53" s="47" t="n">
        <f aca="false">MAX(0,MIN(V53-W53,$C53-(H53+L53+P53+T53)))</f>
        <v>0</v>
      </c>
      <c r="Y53" s="47" t="n">
        <f aca="false">ROUND(V53-W53-X53,2)</f>
        <v>0</v>
      </c>
      <c r="Z53" s="47" t="n">
        <f aca="false">ROUND(AC52*(1+Sorted!$H$7),2)</f>
        <v>0</v>
      </c>
      <c r="AA53" s="47" t="n">
        <f aca="false">MIN(Z53,Sorted!$G$7)</f>
        <v>0</v>
      </c>
      <c r="AB53" s="47" t="n">
        <f aca="false">MAX(0,MIN(Z53-AA53,$C53-(H53+L53+P53+T53+X53)))</f>
        <v>0</v>
      </c>
      <c r="AC53" s="47" t="n">
        <f aca="false">ROUND(Z53-AA53-AB53,2)</f>
        <v>0</v>
      </c>
      <c r="AD53" s="47" t="n">
        <f aca="false">ROUND(AG52*(1+Sorted!$H$8),2)</f>
        <v>0</v>
      </c>
      <c r="AE53" s="47" t="n">
        <f aca="false">MIN(AD53,Sorted!$G$8)</f>
        <v>0</v>
      </c>
      <c r="AF53" s="47" t="n">
        <f aca="false">MAX(0,MIN(AD53-AE53,$C53-(H53+L53+P53+T53+X53+AB53)))</f>
        <v>0</v>
      </c>
      <c r="AG53" s="47" t="n">
        <f aca="false">ROUND(AD53-AE53-AF53,2)</f>
        <v>0</v>
      </c>
      <c r="AH53" s="47" t="n">
        <f aca="false">ROUND(AK52*(1+Sorted!$H$9),2)</f>
        <v>0</v>
      </c>
      <c r="AI53" s="47" t="n">
        <f aca="false">MIN(AH53,Sorted!$G$9)</f>
        <v>0</v>
      </c>
      <c r="AJ53" s="47" t="n">
        <f aca="false">MAX(0,MIN(AH53-AI53,$C53-(H53+L53+P53+T53+X53+AB53+AF53)))</f>
        <v>0</v>
      </c>
      <c r="AK53" s="47" t="n">
        <f aca="false">ROUND(AH53-AI53-AJ53,2)</f>
        <v>0</v>
      </c>
      <c r="AL53" s="47" t="n">
        <f aca="false">ROUND(AO52*(1+Sorted!$H$10),2)</f>
        <v>0</v>
      </c>
      <c r="AM53" s="47" t="n">
        <f aca="false">MIN(AL53,Sorted!$G$10)</f>
        <v>0</v>
      </c>
      <c r="AN53" s="47" t="n">
        <f aca="false">MAX(0,MIN(AL53-AM53,$C53-(H53+L53+P53+T53+X53+AB53+AF53+AJ53)))</f>
        <v>0</v>
      </c>
      <c r="AO53" s="47" t="n">
        <f aca="false">ROUND(AL53-AM53-AN53,2)</f>
        <v>0</v>
      </c>
      <c r="AP53" s="47" t="n">
        <f aca="false">ROUND(AS52*(1+Sorted!$H$11),2)</f>
        <v>0</v>
      </c>
      <c r="AQ53" s="47" t="n">
        <f aca="false">MIN(AP53,Sorted!$G$11)</f>
        <v>0</v>
      </c>
      <c r="AR53" s="47" t="n">
        <f aca="false">MAX(0,MIN(AP53-AQ53,$C53-(H53+L53+P53+T53+X53+AB53+AF53+AJ53+AN53)))</f>
        <v>0</v>
      </c>
      <c r="AS53" s="47" t="n">
        <f aca="false">ROUND(AP53-AQ53-AR53,2)</f>
        <v>0</v>
      </c>
    </row>
    <row r="54" customFormat="false" ht="15" hidden="false" customHeight="false" outlineLevel="0" collapsed="false">
      <c r="A54" s="45" t="n">
        <v>51</v>
      </c>
      <c r="B54" s="46" t="n">
        <f aca="false">EDATE('My Debts'!$C$7,A54-1)</f>
        <v>47849</v>
      </c>
      <c r="C54" s="47" t="n">
        <f aca="false">MAX(0,'My Debts'!$E$6-(G54+K54+O54+S54+W54+AA54+AE54+AI54+AM54+AQ54))</f>
        <v>730</v>
      </c>
      <c r="D54" s="47" t="n">
        <f aca="false">(F54+J54+N54+R54+V54+Z54+AD54+AH54+AL54+AP54)-(I54+M54+Q54+U54+Y54+AC54+AG54+AK54+AO54+AS54)</f>
        <v>0</v>
      </c>
      <c r="E54" s="48" t="n">
        <f aca="false">I54+M54+Q54+U54+Y54+AC54+AG54+AK54+AO54+AS54</f>
        <v>0</v>
      </c>
      <c r="F54" s="47" t="n">
        <f aca="false">ROUND(I53*(1+Sorted!$H$2),2)</f>
        <v>0</v>
      </c>
      <c r="G54" s="47" t="n">
        <f aca="false">MIN(F54,Sorted!$G$2)</f>
        <v>0</v>
      </c>
      <c r="H54" s="47" t="n">
        <f aca="false">MAX(0,MIN(F54-G54,$C54-(0)))</f>
        <v>0</v>
      </c>
      <c r="I54" s="47" t="n">
        <f aca="false">ROUND(F54-G54-H54,2)</f>
        <v>0</v>
      </c>
      <c r="J54" s="47" t="n">
        <f aca="false">ROUND(M53*(1+Sorted!$H$3),2)</f>
        <v>0</v>
      </c>
      <c r="K54" s="47" t="n">
        <f aca="false">MIN(J54,Sorted!$G$3)</f>
        <v>0</v>
      </c>
      <c r="L54" s="47" t="n">
        <f aca="false">MAX(0,MIN(J54-K54,$C54-(H54)))</f>
        <v>0</v>
      </c>
      <c r="M54" s="47" t="n">
        <f aca="false">ROUND(J54-K54-L54,2)</f>
        <v>0</v>
      </c>
      <c r="N54" s="47" t="n">
        <f aca="false">ROUND(Q53*(1+Sorted!$H$4),2)</f>
        <v>0</v>
      </c>
      <c r="O54" s="47" t="n">
        <f aca="false">MIN(N54,Sorted!$G$4)</f>
        <v>0</v>
      </c>
      <c r="P54" s="47" t="n">
        <f aca="false">MAX(0,MIN(N54-O54,$C54-(H54+L54)))</f>
        <v>0</v>
      </c>
      <c r="Q54" s="47" t="n">
        <f aca="false">ROUND(N54-O54-P54,2)</f>
        <v>0</v>
      </c>
      <c r="R54" s="47" t="n">
        <f aca="false">ROUND(U53*(1+Sorted!$H$5),2)</f>
        <v>0</v>
      </c>
      <c r="S54" s="47" t="n">
        <f aca="false">MIN(R54,Sorted!$G$5)</f>
        <v>0</v>
      </c>
      <c r="T54" s="47" t="n">
        <f aca="false">MAX(0,MIN(R54-S54,$C54-(H54+L54+P54)))</f>
        <v>0</v>
      </c>
      <c r="U54" s="47" t="n">
        <f aca="false">ROUND(R54-S54-T54,2)</f>
        <v>0</v>
      </c>
      <c r="V54" s="47" t="n">
        <f aca="false">ROUND(Y53*(1+Sorted!$H$6),2)</f>
        <v>0</v>
      </c>
      <c r="W54" s="47" t="n">
        <f aca="false">MIN(V54,Sorted!$G$6)</f>
        <v>0</v>
      </c>
      <c r="X54" s="47" t="n">
        <f aca="false">MAX(0,MIN(V54-W54,$C54-(H54+L54+P54+T54)))</f>
        <v>0</v>
      </c>
      <c r="Y54" s="47" t="n">
        <f aca="false">ROUND(V54-W54-X54,2)</f>
        <v>0</v>
      </c>
      <c r="Z54" s="47" t="n">
        <f aca="false">ROUND(AC53*(1+Sorted!$H$7),2)</f>
        <v>0</v>
      </c>
      <c r="AA54" s="47" t="n">
        <f aca="false">MIN(Z54,Sorted!$G$7)</f>
        <v>0</v>
      </c>
      <c r="AB54" s="47" t="n">
        <f aca="false">MAX(0,MIN(Z54-AA54,$C54-(H54+L54+P54+T54+X54)))</f>
        <v>0</v>
      </c>
      <c r="AC54" s="47" t="n">
        <f aca="false">ROUND(Z54-AA54-AB54,2)</f>
        <v>0</v>
      </c>
      <c r="AD54" s="47" t="n">
        <f aca="false">ROUND(AG53*(1+Sorted!$H$8),2)</f>
        <v>0</v>
      </c>
      <c r="AE54" s="47" t="n">
        <f aca="false">MIN(AD54,Sorted!$G$8)</f>
        <v>0</v>
      </c>
      <c r="AF54" s="47" t="n">
        <f aca="false">MAX(0,MIN(AD54-AE54,$C54-(H54+L54+P54+T54+X54+AB54)))</f>
        <v>0</v>
      </c>
      <c r="AG54" s="47" t="n">
        <f aca="false">ROUND(AD54-AE54-AF54,2)</f>
        <v>0</v>
      </c>
      <c r="AH54" s="47" t="n">
        <f aca="false">ROUND(AK53*(1+Sorted!$H$9),2)</f>
        <v>0</v>
      </c>
      <c r="AI54" s="47" t="n">
        <f aca="false">MIN(AH54,Sorted!$G$9)</f>
        <v>0</v>
      </c>
      <c r="AJ54" s="47" t="n">
        <f aca="false">MAX(0,MIN(AH54-AI54,$C54-(H54+L54+P54+T54+X54+AB54+AF54)))</f>
        <v>0</v>
      </c>
      <c r="AK54" s="47" t="n">
        <f aca="false">ROUND(AH54-AI54-AJ54,2)</f>
        <v>0</v>
      </c>
      <c r="AL54" s="47" t="n">
        <f aca="false">ROUND(AO53*(1+Sorted!$H$10),2)</f>
        <v>0</v>
      </c>
      <c r="AM54" s="47" t="n">
        <f aca="false">MIN(AL54,Sorted!$G$10)</f>
        <v>0</v>
      </c>
      <c r="AN54" s="47" t="n">
        <f aca="false">MAX(0,MIN(AL54-AM54,$C54-(H54+L54+P54+T54+X54+AB54+AF54+AJ54)))</f>
        <v>0</v>
      </c>
      <c r="AO54" s="47" t="n">
        <f aca="false">ROUND(AL54-AM54-AN54,2)</f>
        <v>0</v>
      </c>
      <c r="AP54" s="47" t="n">
        <f aca="false">ROUND(AS53*(1+Sorted!$H$11),2)</f>
        <v>0</v>
      </c>
      <c r="AQ54" s="47" t="n">
        <f aca="false">MIN(AP54,Sorted!$G$11)</f>
        <v>0</v>
      </c>
      <c r="AR54" s="47" t="n">
        <f aca="false">MAX(0,MIN(AP54-AQ54,$C54-(H54+L54+P54+T54+X54+AB54+AF54+AJ54+AN54)))</f>
        <v>0</v>
      </c>
      <c r="AS54" s="47" t="n">
        <f aca="false">ROUND(AP54-AQ54-AR54,2)</f>
        <v>0</v>
      </c>
    </row>
    <row r="55" customFormat="false" ht="15" hidden="false" customHeight="false" outlineLevel="0" collapsed="false">
      <c r="A55" s="45" t="n">
        <v>52</v>
      </c>
      <c r="B55" s="46" t="n">
        <f aca="false">EDATE('My Debts'!$C$7,A55-1)</f>
        <v>47880</v>
      </c>
      <c r="C55" s="47" t="n">
        <f aca="false">MAX(0,'My Debts'!$E$6-(G55+K55+O55+S55+W55+AA55+AE55+AI55+AM55+AQ55))</f>
        <v>730</v>
      </c>
      <c r="D55" s="47" t="n">
        <f aca="false">(F55+J55+N55+R55+V55+Z55+AD55+AH55+AL55+AP55)-(I55+M55+Q55+U55+Y55+AC55+AG55+AK55+AO55+AS55)</f>
        <v>0</v>
      </c>
      <c r="E55" s="48" t="n">
        <f aca="false">I55+M55+Q55+U55+Y55+AC55+AG55+AK55+AO55+AS55</f>
        <v>0</v>
      </c>
      <c r="F55" s="47" t="n">
        <f aca="false">ROUND(I54*(1+Sorted!$H$2),2)</f>
        <v>0</v>
      </c>
      <c r="G55" s="47" t="n">
        <f aca="false">MIN(F55,Sorted!$G$2)</f>
        <v>0</v>
      </c>
      <c r="H55" s="47" t="n">
        <f aca="false">MAX(0,MIN(F55-G55,$C55-(0)))</f>
        <v>0</v>
      </c>
      <c r="I55" s="47" t="n">
        <f aca="false">ROUND(F55-G55-H55,2)</f>
        <v>0</v>
      </c>
      <c r="J55" s="47" t="n">
        <f aca="false">ROUND(M54*(1+Sorted!$H$3),2)</f>
        <v>0</v>
      </c>
      <c r="K55" s="47" t="n">
        <f aca="false">MIN(J55,Sorted!$G$3)</f>
        <v>0</v>
      </c>
      <c r="L55" s="47" t="n">
        <f aca="false">MAX(0,MIN(J55-K55,$C55-(H55)))</f>
        <v>0</v>
      </c>
      <c r="M55" s="47" t="n">
        <f aca="false">ROUND(J55-K55-L55,2)</f>
        <v>0</v>
      </c>
      <c r="N55" s="47" t="n">
        <f aca="false">ROUND(Q54*(1+Sorted!$H$4),2)</f>
        <v>0</v>
      </c>
      <c r="O55" s="47" t="n">
        <f aca="false">MIN(N55,Sorted!$G$4)</f>
        <v>0</v>
      </c>
      <c r="P55" s="47" t="n">
        <f aca="false">MAX(0,MIN(N55-O55,$C55-(H55+L55)))</f>
        <v>0</v>
      </c>
      <c r="Q55" s="47" t="n">
        <f aca="false">ROUND(N55-O55-P55,2)</f>
        <v>0</v>
      </c>
      <c r="R55" s="47" t="n">
        <f aca="false">ROUND(U54*(1+Sorted!$H$5),2)</f>
        <v>0</v>
      </c>
      <c r="S55" s="47" t="n">
        <f aca="false">MIN(R55,Sorted!$G$5)</f>
        <v>0</v>
      </c>
      <c r="T55" s="47" t="n">
        <f aca="false">MAX(0,MIN(R55-S55,$C55-(H55+L55+P55)))</f>
        <v>0</v>
      </c>
      <c r="U55" s="47" t="n">
        <f aca="false">ROUND(R55-S55-T55,2)</f>
        <v>0</v>
      </c>
      <c r="V55" s="47" t="n">
        <f aca="false">ROUND(Y54*(1+Sorted!$H$6),2)</f>
        <v>0</v>
      </c>
      <c r="W55" s="47" t="n">
        <f aca="false">MIN(V55,Sorted!$G$6)</f>
        <v>0</v>
      </c>
      <c r="X55" s="47" t="n">
        <f aca="false">MAX(0,MIN(V55-W55,$C55-(H55+L55+P55+T55)))</f>
        <v>0</v>
      </c>
      <c r="Y55" s="47" t="n">
        <f aca="false">ROUND(V55-W55-X55,2)</f>
        <v>0</v>
      </c>
      <c r="Z55" s="47" t="n">
        <f aca="false">ROUND(AC54*(1+Sorted!$H$7),2)</f>
        <v>0</v>
      </c>
      <c r="AA55" s="47" t="n">
        <f aca="false">MIN(Z55,Sorted!$G$7)</f>
        <v>0</v>
      </c>
      <c r="AB55" s="47" t="n">
        <f aca="false">MAX(0,MIN(Z55-AA55,$C55-(H55+L55+P55+T55+X55)))</f>
        <v>0</v>
      </c>
      <c r="AC55" s="47" t="n">
        <f aca="false">ROUND(Z55-AA55-AB55,2)</f>
        <v>0</v>
      </c>
      <c r="AD55" s="47" t="n">
        <f aca="false">ROUND(AG54*(1+Sorted!$H$8),2)</f>
        <v>0</v>
      </c>
      <c r="AE55" s="47" t="n">
        <f aca="false">MIN(AD55,Sorted!$G$8)</f>
        <v>0</v>
      </c>
      <c r="AF55" s="47" t="n">
        <f aca="false">MAX(0,MIN(AD55-AE55,$C55-(H55+L55+P55+T55+X55+AB55)))</f>
        <v>0</v>
      </c>
      <c r="AG55" s="47" t="n">
        <f aca="false">ROUND(AD55-AE55-AF55,2)</f>
        <v>0</v>
      </c>
      <c r="AH55" s="47" t="n">
        <f aca="false">ROUND(AK54*(1+Sorted!$H$9),2)</f>
        <v>0</v>
      </c>
      <c r="AI55" s="47" t="n">
        <f aca="false">MIN(AH55,Sorted!$G$9)</f>
        <v>0</v>
      </c>
      <c r="AJ55" s="47" t="n">
        <f aca="false">MAX(0,MIN(AH55-AI55,$C55-(H55+L55+P55+T55+X55+AB55+AF55)))</f>
        <v>0</v>
      </c>
      <c r="AK55" s="47" t="n">
        <f aca="false">ROUND(AH55-AI55-AJ55,2)</f>
        <v>0</v>
      </c>
      <c r="AL55" s="47" t="n">
        <f aca="false">ROUND(AO54*(1+Sorted!$H$10),2)</f>
        <v>0</v>
      </c>
      <c r="AM55" s="47" t="n">
        <f aca="false">MIN(AL55,Sorted!$G$10)</f>
        <v>0</v>
      </c>
      <c r="AN55" s="47" t="n">
        <f aca="false">MAX(0,MIN(AL55-AM55,$C55-(H55+L55+P55+T55+X55+AB55+AF55+AJ55)))</f>
        <v>0</v>
      </c>
      <c r="AO55" s="47" t="n">
        <f aca="false">ROUND(AL55-AM55-AN55,2)</f>
        <v>0</v>
      </c>
      <c r="AP55" s="47" t="n">
        <f aca="false">ROUND(AS54*(1+Sorted!$H$11),2)</f>
        <v>0</v>
      </c>
      <c r="AQ55" s="47" t="n">
        <f aca="false">MIN(AP55,Sorted!$G$11)</f>
        <v>0</v>
      </c>
      <c r="AR55" s="47" t="n">
        <f aca="false">MAX(0,MIN(AP55-AQ55,$C55-(H55+L55+P55+T55+X55+AB55+AF55+AJ55+AN55)))</f>
        <v>0</v>
      </c>
      <c r="AS55" s="47" t="n">
        <f aca="false">ROUND(AP55-AQ55-AR55,2)</f>
        <v>0</v>
      </c>
    </row>
    <row r="56" customFormat="false" ht="15" hidden="false" customHeight="false" outlineLevel="0" collapsed="false">
      <c r="A56" s="45" t="n">
        <v>53</v>
      </c>
      <c r="B56" s="46" t="n">
        <f aca="false">EDATE('My Debts'!$C$7,A56-1)</f>
        <v>47908</v>
      </c>
      <c r="C56" s="47" t="n">
        <f aca="false">MAX(0,'My Debts'!$E$6-(G56+K56+O56+S56+W56+AA56+AE56+AI56+AM56+AQ56))</f>
        <v>730</v>
      </c>
      <c r="D56" s="47" t="n">
        <f aca="false">(F56+J56+N56+R56+V56+Z56+AD56+AH56+AL56+AP56)-(I56+M56+Q56+U56+Y56+AC56+AG56+AK56+AO56+AS56)</f>
        <v>0</v>
      </c>
      <c r="E56" s="48" t="n">
        <f aca="false">I56+M56+Q56+U56+Y56+AC56+AG56+AK56+AO56+AS56</f>
        <v>0</v>
      </c>
      <c r="F56" s="47" t="n">
        <f aca="false">ROUND(I55*(1+Sorted!$H$2),2)</f>
        <v>0</v>
      </c>
      <c r="G56" s="47" t="n">
        <f aca="false">MIN(F56,Sorted!$G$2)</f>
        <v>0</v>
      </c>
      <c r="H56" s="47" t="n">
        <f aca="false">MAX(0,MIN(F56-G56,$C56-(0)))</f>
        <v>0</v>
      </c>
      <c r="I56" s="47" t="n">
        <f aca="false">ROUND(F56-G56-H56,2)</f>
        <v>0</v>
      </c>
      <c r="J56" s="47" t="n">
        <f aca="false">ROUND(M55*(1+Sorted!$H$3),2)</f>
        <v>0</v>
      </c>
      <c r="K56" s="47" t="n">
        <f aca="false">MIN(J56,Sorted!$G$3)</f>
        <v>0</v>
      </c>
      <c r="L56" s="47" t="n">
        <f aca="false">MAX(0,MIN(J56-K56,$C56-(H56)))</f>
        <v>0</v>
      </c>
      <c r="M56" s="47" t="n">
        <f aca="false">ROUND(J56-K56-L56,2)</f>
        <v>0</v>
      </c>
      <c r="N56" s="47" t="n">
        <f aca="false">ROUND(Q55*(1+Sorted!$H$4),2)</f>
        <v>0</v>
      </c>
      <c r="O56" s="47" t="n">
        <f aca="false">MIN(N56,Sorted!$G$4)</f>
        <v>0</v>
      </c>
      <c r="P56" s="47" t="n">
        <f aca="false">MAX(0,MIN(N56-O56,$C56-(H56+L56)))</f>
        <v>0</v>
      </c>
      <c r="Q56" s="47" t="n">
        <f aca="false">ROUND(N56-O56-P56,2)</f>
        <v>0</v>
      </c>
      <c r="R56" s="47" t="n">
        <f aca="false">ROUND(U55*(1+Sorted!$H$5),2)</f>
        <v>0</v>
      </c>
      <c r="S56" s="47" t="n">
        <f aca="false">MIN(R56,Sorted!$G$5)</f>
        <v>0</v>
      </c>
      <c r="T56" s="47" t="n">
        <f aca="false">MAX(0,MIN(R56-S56,$C56-(H56+L56+P56)))</f>
        <v>0</v>
      </c>
      <c r="U56" s="47" t="n">
        <f aca="false">ROUND(R56-S56-T56,2)</f>
        <v>0</v>
      </c>
      <c r="V56" s="47" t="n">
        <f aca="false">ROUND(Y55*(1+Sorted!$H$6),2)</f>
        <v>0</v>
      </c>
      <c r="W56" s="47" t="n">
        <f aca="false">MIN(V56,Sorted!$G$6)</f>
        <v>0</v>
      </c>
      <c r="X56" s="47" t="n">
        <f aca="false">MAX(0,MIN(V56-W56,$C56-(H56+L56+P56+T56)))</f>
        <v>0</v>
      </c>
      <c r="Y56" s="47" t="n">
        <f aca="false">ROUND(V56-W56-X56,2)</f>
        <v>0</v>
      </c>
      <c r="Z56" s="47" t="n">
        <f aca="false">ROUND(AC55*(1+Sorted!$H$7),2)</f>
        <v>0</v>
      </c>
      <c r="AA56" s="47" t="n">
        <f aca="false">MIN(Z56,Sorted!$G$7)</f>
        <v>0</v>
      </c>
      <c r="AB56" s="47" t="n">
        <f aca="false">MAX(0,MIN(Z56-AA56,$C56-(H56+L56+P56+T56+X56)))</f>
        <v>0</v>
      </c>
      <c r="AC56" s="47" t="n">
        <f aca="false">ROUND(Z56-AA56-AB56,2)</f>
        <v>0</v>
      </c>
      <c r="AD56" s="47" t="n">
        <f aca="false">ROUND(AG55*(1+Sorted!$H$8),2)</f>
        <v>0</v>
      </c>
      <c r="AE56" s="47" t="n">
        <f aca="false">MIN(AD56,Sorted!$G$8)</f>
        <v>0</v>
      </c>
      <c r="AF56" s="47" t="n">
        <f aca="false">MAX(0,MIN(AD56-AE56,$C56-(H56+L56+P56+T56+X56+AB56)))</f>
        <v>0</v>
      </c>
      <c r="AG56" s="47" t="n">
        <f aca="false">ROUND(AD56-AE56-AF56,2)</f>
        <v>0</v>
      </c>
      <c r="AH56" s="47" t="n">
        <f aca="false">ROUND(AK55*(1+Sorted!$H$9),2)</f>
        <v>0</v>
      </c>
      <c r="AI56" s="47" t="n">
        <f aca="false">MIN(AH56,Sorted!$G$9)</f>
        <v>0</v>
      </c>
      <c r="AJ56" s="47" t="n">
        <f aca="false">MAX(0,MIN(AH56-AI56,$C56-(H56+L56+P56+T56+X56+AB56+AF56)))</f>
        <v>0</v>
      </c>
      <c r="AK56" s="47" t="n">
        <f aca="false">ROUND(AH56-AI56-AJ56,2)</f>
        <v>0</v>
      </c>
      <c r="AL56" s="47" t="n">
        <f aca="false">ROUND(AO55*(1+Sorted!$H$10),2)</f>
        <v>0</v>
      </c>
      <c r="AM56" s="47" t="n">
        <f aca="false">MIN(AL56,Sorted!$G$10)</f>
        <v>0</v>
      </c>
      <c r="AN56" s="47" t="n">
        <f aca="false">MAX(0,MIN(AL56-AM56,$C56-(H56+L56+P56+T56+X56+AB56+AF56+AJ56)))</f>
        <v>0</v>
      </c>
      <c r="AO56" s="47" t="n">
        <f aca="false">ROUND(AL56-AM56-AN56,2)</f>
        <v>0</v>
      </c>
      <c r="AP56" s="47" t="n">
        <f aca="false">ROUND(AS55*(1+Sorted!$H$11),2)</f>
        <v>0</v>
      </c>
      <c r="AQ56" s="47" t="n">
        <f aca="false">MIN(AP56,Sorted!$G$11)</f>
        <v>0</v>
      </c>
      <c r="AR56" s="47" t="n">
        <f aca="false">MAX(0,MIN(AP56-AQ56,$C56-(H56+L56+P56+T56+X56+AB56+AF56+AJ56+AN56)))</f>
        <v>0</v>
      </c>
      <c r="AS56" s="47" t="n">
        <f aca="false">ROUND(AP56-AQ56-AR56,2)</f>
        <v>0</v>
      </c>
    </row>
    <row r="57" customFormat="false" ht="15" hidden="false" customHeight="false" outlineLevel="0" collapsed="false">
      <c r="A57" s="45" t="n">
        <v>54</v>
      </c>
      <c r="B57" s="46" t="n">
        <f aca="false">EDATE('My Debts'!$C$7,A57-1)</f>
        <v>47939</v>
      </c>
      <c r="C57" s="47" t="n">
        <f aca="false">MAX(0,'My Debts'!$E$6-(G57+K57+O57+S57+W57+AA57+AE57+AI57+AM57+AQ57))</f>
        <v>730</v>
      </c>
      <c r="D57" s="47" t="n">
        <f aca="false">(F57+J57+N57+R57+V57+Z57+AD57+AH57+AL57+AP57)-(I57+M57+Q57+U57+Y57+AC57+AG57+AK57+AO57+AS57)</f>
        <v>0</v>
      </c>
      <c r="E57" s="48" t="n">
        <f aca="false">I57+M57+Q57+U57+Y57+AC57+AG57+AK57+AO57+AS57</f>
        <v>0</v>
      </c>
      <c r="F57" s="47" t="n">
        <f aca="false">ROUND(I56*(1+Sorted!$H$2),2)</f>
        <v>0</v>
      </c>
      <c r="G57" s="47" t="n">
        <f aca="false">MIN(F57,Sorted!$G$2)</f>
        <v>0</v>
      </c>
      <c r="H57" s="47" t="n">
        <f aca="false">MAX(0,MIN(F57-G57,$C57-(0)))</f>
        <v>0</v>
      </c>
      <c r="I57" s="47" t="n">
        <f aca="false">ROUND(F57-G57-H57,2)</f>
        <v>0</v>
      </c>
      <c r="J57" s="47" t="n">
        <f aca="false">ROUND(M56*(1+Sorted!$H$3),2)</f>
        <v>0</v>
      </c>
      <c r="K57" s="47" t="n">
        <f aca="false">MIN(J57,Sorted!$G$3)</f>
        <v>0</v>
      </c>
      <c r="L57" s="47" t="n">
        <f aca="false">MAX(0,MIN(J57-K57,$C57-(H57)))</f>
        <v>0</v>
      </c>
      <c r="M57" s="47" t="n">
        <f aca="false">ROUND(J57-K57-L57,2)</f>
        <v>0</v>
      </c>
      <c r="N57" s="47" t="n">
        <f aca="false">ROUND(Q56*(1+Sorted!$H$4),2)</f>
        <v>0</v>
      </c>
      <c r="O57" s="47" t="n">
        <f aca="false">MIN(N57,Sorted!$G$4)</f>
        <v>0</v>
      </c>
      <c r="P57" s="47" t="n">
        <f aca="false">MAX(0,MIN(N57-O57,$C57-(H57+L57)))</f>
        <v>0</v>
      </c>
      <c r="Q57" s="47" t="n">
        <f aca="false">ROUND(N57-O57-P57,2)</f>
        <v>0</v>
      </c>
      <c r="R57" s="47" t="n">
        <f aca="false">ROUND(U56*(1+Sorted!$H$5),2)</f>
        <v>0</v>
      </c>
      <c r="S57" s="47" t="n">
        <f aca="false">MIN(R57,Sorted!$G$5)</f>
        <v>0</v>
      </c>
      <c r="T57" s="47" t="n">
        <f aca="false">MAX(0,MIN(R57-S57,$C57-(H57+L57+P57)))</f>
        <v>0</v>
      </c>
      <c r="U57" s="47" t="n">
        <f aca="false">ROUND(R57-S57-T57,2)</f>
        <v>0</v>
      </c>
      <c r="V57" s="47" t="n">
        <f aca="false">ROUND(Y56*(1+Sorted!$H$6),2)</f>
        <v>0</v>
      </c>
      <c r="W57" s="47" t="n">
        <f aca="false">MIN(V57,Sorted!$G$6)</f>
        <v>0</v>
      </c>
      <c r="X57" s="47" t="n">
        <f aca="false">MAX(0,MIN(V57-W57,$C57-(H57+L57+P57+T57)))</f>
        <v>0</v>
      </c>
      <c r="Y57" s="47" t="n">
        <f aca="false">ROUND(V57-W57-X57,2)</f>
        <v>0</v>
      </c>
      <c r="Z57" s="47" t="n">
        <f aca="false">ROUND(AC56*(1+Sorted!$H$7),2)</f>
        <v>0</v>
      </c>
      <c r="AA57" s="47" t="n">
        <f aca="false">MIN(Z57,Sorted!$G$7)</f>
        <v>0</v>
      </c>
      <c r="AB57" s="47" t="n">
        <f aca="false">MAX(0,MIN(Z57-AA57,$C57-(H57+L57+P57+T57+X57)))</f>
        <v>0</v>
      </c>
      <c r="AC57" s="47" t="n">
        <f aca="false">ROUND(Z57-AA57-AB57,2)</f>
        <v>0</v>
      </c>
      <c r="AD57" s="47" t="n">
        <f aca="false">ROUND(AG56*(1+Sorted!$H$8),2)</f>
        <v>0</v>
      </c>
      <c r="AE57" s="47" t="n">
        <f aca="false">MIN(AD57,Sorted!$G$8)</f>
        <v>0</v>
      </c>
      <c r="AF57" s="47" t="n">
        <f aca="false">MAX(0,MIN(AD57-AE57,$C57-(H57+L57+P57+T57+X57+AB57)))</f>
        <v>0</v>
      </c>
      <c r="AG57" s="47" t="n">
        <f aca="false">ROUND(AD57-AE57-AF57,2)</f>
        <v>0</v>
      </c>
      <c r="AH57" s="47" t="n">
        <f aca="false">ROUND(AK56*(1+Sorted!$H$9),2)</f>
        <v>0</v>
      </c>
      <c r="AI57" s="47" t="n">
        <f aca="false">MIN(AH57,Sorted!$G$9)</f>
        <v>0</v>
      </c>
      <c r="AJ57" s="47" t="n">
        <f aca="false">MAX(0,MIN(AH57-AI57,$C57-(H57+L57+P57+T57+X57+AB57+AF57)))</f>
        <v>0</v>
      </c>
      <c r="AK57" s="47" t="n">
        <f aca="false">ROUND(AH57-AI57-AJ57,2)</f>
        <v>0</v>
      </c>
      <c r="AL57" s="47" t="n">
        <f aca="false">ROUND(AO56*(1+Sorted!$H$10),2)</f>
        <v>0</v>
      </c>
      <c r="AM57" s="47" t="n">
        <f aca="false">MIN(AL57,Sorted!$G$10)</f>
        <v>0</v>
      </c>
      <c r="AN57" s="47" t="n">
        <f aca="false">MAX(0,MIN(AL57-AM57,$C57-(H57+L57+P57+T57+X57+AB57+AF57+AJ57)))</f>
        <v>0</v>
      </c>
      <c r="AO57" s="47" t="n">
        <f aca="false">ROUND(AL57-AM57-AN57,2)</f>
        <v>0</v>
      </c>
      <c r="AP57" s="47" t="n">
        <f aca="false">ROUND(AS56*(1+Sorted!$H$11),2)</f>
        <v>0</v>
      </c>
      <c r="AQ57" s="47" t="n">
        <f aca="false">MIN(AP57,Sorted!$G$11)</f>
        <v>0</v>
      </c>
      <c r="AR57" s="47" t="n">
        <f aca="false">MAX(0,MIN(AP57-AQ57,$C57-(H57+L57+P57+T57+X57+AB57+AF57+AJ57+AN57)))</f>
        <v>0</v>
      </c>
      <c r="AS57" s="47" t="n">
        <f aca="false">ROUND(AP57-AQ57-AR57,2)</f>
        <v>0</v>
      </c>
    </row>
    <row r="58" customFormat="false" ht="15" hidden="false" customHeight="false" outlineLevel="0" collapsed="false">
      <c r="A58" s="45" t="n">
        <v>55</v>
      </c>
      <c r="B58" s="46" t="n">
        <f aca="false">EDATE('My Debts'!$C$7,A58-1)</f>
        <v>47969</v>
      </c>
      <c r="C58" s="47" t="n">
        <f aca="false">MAX(0,'My Debts'!$E$6-(G58+K58+O58+S58+W58+AA58+AE58+AI58+AM58+AQ58))</f>
        <v>730</v>
      </c>
      <c r="D58" s="47" t="n">
        <f aca="false">(F58+J58+N58+R58+V58+Z58+AD58+AH58+AL58+AP58)-(I58+M58+Q58+U58+Y58+AC58+AG58+AK58+AO58+AS58)</f>
        <v>0</v>
      </c>
      <c r="E58" s="48" t="n">
        <f aca="false">I58+M58+Q58+U58+Y58+AC58+AG58+AK58+AO58+AS58</f>
        <v>0</v>
      </c>
      <c r="F58" s="47" t="n">
        <f aca="false">ROUND(I57*(1+Sorted!$H$2),2)</f>
        <v>0</v>
      </c>
      <c r="G58" s="47" t="n">
        <f aca="false">MIN(F58,Sorted!$G$2)</f>
        <v>0</v>
      </c>
      <c r="H58" s="47" t="n">
        <f aca="false">MAX(0,MIN(F58-G58,$C58-(0)))</f>
        <v>0</v>
      </c>
      <c r="I58" s="47" t="n">
        <f aca="false">ROUND(F58-G58-H58,2)</f>
        <v>0</v>
      </c>
      <c r="J58" s="47" t="n">
        <f aca="false">ROUND(M57*(1+Sorted!$H$3),2)</f>
        <v>0</v>
      </c>
      <c r="K58" s="47" t="n">
        <f aca="false">MIN(J58,Sorted!$G$3)</f>
        <v>0</v>
      </c>
      <c r="L58" s="47" t="n">
        <f aca="false">MAX(0,MIN(J58-K58,$C58-(H58)))</f>
        <v>0</v>
      </c>
      <c r="M58" s="47" t="n">
        <f aca="false">ROUND(J58-K58-L58,2)</f>
        <v>0</v>
      </c>
      <c r="N58" s="47" t="n">
        <f aca="false">ROUND(Q57*(1+Sorted!$H$4),2)</f>
        <v>0</v>
      </c>
      <c r="O58" s="47" t="n">
        <f aca="false">MIN(N58,Sorted!$G$4)</f>
        <v>0</v>
      </c>
      <c r="P58" s="47" t="n">
        <f aca="false">MAX(0,MIN(N58-O58,$C58-(H58+L58)))</f>
        <v>0</v>
      </c>
      <c r="Q58" s="47" t="n">
        <f aca="false">ROUND(N58-O58-P58,2)</f>
        <v>0</v>
      </c>
      <c r="R58" s="47" t="n">
        <f aca="false">ROUND(U57*(1+Sorted!$H$5),2)</f>
        <v>0</v>
      </c>
      <c r="S58" s="47" t="n">
        <f aca="false">MIN(R58,Sorted!$G$5)</f>
        <v>0</v>
      </c>
      <c r="T58" s="47" t="n">
        <f aca="false">MAX(0,MIN(R58-S58,$C58-(H58+L58+P58)))</f>
        <v>0</v>
      </c>
      <c r="U58" s="47" t="n">
        <f aca="false">ROUND(R58-S58-T58,2)</f>
        <v>0</v>
      </c>
      <c r="V58" s="47" t="n">
        <f aca="false">ROUND(Y57*(1+Sorted!$H$6),2)</f>
        <v>0</v>
      </c>
      <c r="W58" s="47" t="n">
        <f aca="false">MIN(V58,Sorted!$G$6)</f>
        <v>0</v>
      </c>
      <c r="X58" s="47" t="n">
        <f aca="false">MAX(0,MIN(V58-W58,$C58-(H58+L58+P58+T58)))</f>
        <v>0</v>
      </c>
      <c r="Y58" s="47" t="n">
        <f aca="false">ROUND(V58-W58-X58,2)</f>
        <v>0</v>
      </c>
      <c r="Z58" s="47" t="n">
        <f aca="false">ROUND(AC57*(1+Sorted!$H$7),2)</f>
        <v>0</v>
      </c>
      <c r="AA58" s="47" t="n">
        <f aca="false">MIN(Z58,Sorted!$G$7)</f>
        <v>0</v>
      </c>
      <c r="AB58" s="47" t="n">
        <f aca="false">MAX(0,MIN(Z58-AA58,$C58-(H58+L58+P58+T58+X58)))</f>
        <v>0</v>
      </c>
      <c r="AC58" s="47" t="n">
        <f aca="false">ROUND(Z58-AA58-AB58,2)</f>
        <v>0</v>
      </c>
      <c r="AD58" s="47" t="n">
        <f aca="false">ROUND(AG57*(1+Sorted!$H$8),2)</f>
        <v>0</v>
      </c>
      <c r="AE58" s="47" t="n">
        <f aca="false">MIN(AD58,Sorted!$G$8)</f>
        <v>0</v>
      </c>
      <c r="AF58" s="47" t="n">
        <f aca="false">MAX(0,MIN(AD58-AE58,$C58-(H58+L58+P58+T58+X58+AB58)))</f>
        <v>0</v>
      </c>
      <c r="AG58" s="47" t="n">
        <f aca="false">ROUND(AD58-AE58-AF58,2)</f>
        <v>0</v>
      </c>
      <c r="AH58" s="47" t="n">
        <f aca="false">ROUND(AK57*(1+Sorted!$H$9),2)</f>
        <v>0</v>
      </c>
      <c r="AI58" s="47" t="n">
        <f aca="false">MIN(AH58,Sorted!$G$9)</f>
        <v>0</v>
      </c>
      <c r="AJ58" s="47" t="n">
        <f aca="false">MAX(0,MIN(AH58-AI58,$C58-(H58+L58+P58+T58+X58+AB58+AF58)))</f>
        <v>0</v>
      </c>
      <c r="AK58" s="47" t="n">
        <f aca="false">ROUND(AH58-AI58-AJ58,2)</f>
        <v>0</v>
      </c>
      <c r="AL58" s="47" t="n">
        <f aca="false">ROUND(AO57*(1+Sorted!$H$10),2)</f>
        <v>0</v>
      </c>
      <c r="AM58" s="47" t="n">
        <f aca="false">MIN(AL58,Sorted!$G$10)</f>
        <v>0</v>
      </c>
      <c r="AN58" s="47" t="n">
        <f aca="false">MAX(0,MIN(AL58-AM58,$C58-(H58+L58+P58+T58+X58+AB58+AF58+AJ58)))</f>
        <v>0</v>
      </c>
      <c r="AO58" s="47" t="n">
        <f aca="false">ROUND(AL58-AM58-AN58,2)</f>
        <v>0</v>
      </c>
      <c r="AP58" s="47" t="n">
        <f aca="false">ROUND(AS57*(1+Sorted!$H$11),2)</f>
        <v>0</v>
      </c>
      <c r="AQ58" s="47" t="n">
        <f aca="false">MIN(AP58,Sorted!$G$11)</f>
        <v>0</v>
      </c>
      <c r="AR58" s="47" t="n">
        <f aca="false">MAX(0,MIN(AP58-AQ58,$C58-(H58+L58+P58+T58+X58+AB58+AF58+AJ58+AN58)))</f>
        <v>0</v>
      </c>
      <c r="AS58" s="47" t="n">
        <f aca="false">ROUND(AP58-AQ58-AR58,2)</f>
        <v>0</v>
      </c>
    </row>
    <row r="59" customFormat="false" ht="15" hidden="false" customHeight="false" outlineLevel="0" collapsed="false">
      <c r="A59" s="45" t="n">
        <v>56</v>
      </c>
      <c r="B59" s="46" t="n">
        <f aca="false">EDATE('My Debts'!$C$7,A59-1)</f>
        <v>48000</v>
      </c>
      <c r="C59" s="47" t="n">
        <f aca="false">MAX(0,'My Debts'!$E$6-(G59+K59+O59+S59+W59+AA59+AE59+AI59+AM59+AQ59))</f>
        <v>730</v>
      </c>
      <c r="D59" s="47" t="n">
        <f aca="false">(F59+J59+N59+R59+V59+Z59+AD59+AH59+AL59+AP59)-(I59+M59+Q59+U59+Y59+AC59+AG59+AK59+AO59+AS59)</f>
        <v>0</v>
      </c>
      <c r="E59" s="48" t="n">
        <f aca="false">I59+M59+Q59+U59+Y59+AC59+AG59+AK59+AO59+AS59</f>
        <v>0</v>
      </c>
      <c r="F59" s="47" t="n">
        <f aca="false">ROUND(I58*(1+Sorted!$H$2),2)</f>
        <v>0</v>
      </c>
      <c r="G59" s="47" t="n">
        <f aca="false">MIN(F59,Sorted!$G$2)</f>
        <v>0</v>
      </c>
      <c r="H59" s="47" t="n">
        <f aca="false">MAX(0,MIN(F59-G59,$C59-(0)))</f>
        <v>0</v>
      </c>
      <c r="I59" s="47" t="n">
        <f aca="false">ROUND(F59-G59-H59,2)</f>
        <v>0</v>
      </c>
      <c r="J59" s="47" t="n">
        <f aca="false">ROUND(M58*(1+Sorted!$H$3),2)</f>
        <v>0</v>
      </c>
      <c r="K59" s="47" t="n">
        <f aca="false">MIN(J59,Sorted!$G$3)</f>
        <v>0</v>
      </c>
      <c r="L59" s="47" t="n">
        <f aca="false">MAX(0,MIN(J59-K59,$C59-(H59)))</f>
        <v>0</v>
      </c>
      <c r="M59" s="47" t="n">
        <f aca="false">ROUND(J59-K59-L59,2)</f>
        <v>0</v>
      </c>
      <c r="N59" s="47" t="n">
        <f aca="false">ROUND(Q58*(1+Sorted!$H$4),2)</f>
        <v>0</v>
      </c>
      <c r="O59" s="47" t="n">
        <f aca="false">MIN(N59,Sorted!$G$4)</f>
        <v>0</v>
      </c>
      <c r="P59" s="47" t="n">
        <f aca="false">MAX(0,MIN(N59-O59,$C59-(H59+L59)))</f>
        <v>0</v>
      </c>
      <c r="Q59" s="47" t="n">
        <f aca="false">ROUND(N59-O59-P59,2)</f>
        <v>0</v>
      </c>
      <c r="R59" s="47" t="n">
        <f aca="false">ROUND(U58*(1+Sorted!$H$5),2)</f>
        <v>0</v>
      </c>
      <c r="S59" s="47" t="n">
        <f aca="false">MIN(R59,Sorted!$G$5)</f>
        <v>0</v>
      </c>
      <c r="T59" s="47" t="n">
        <f aca="false">MAX(0,MIN(R59-S59,$C59-(H59+L59+P59)))</f>
        <v>0</v>
      </c>
      <c r="U59" s="47" t="n">
        <f aca="false">ROUND(R59-S59-T59,2)</f>
        <v>0</v>
      </c>
      <c r="V59" s="47" t="n">
        <f aca="false">ROUND(Y58*(1+Sorted!$H$6),2)</f>
        <v>0</v>
      </c>
      <c r="W59" s="47" t="n">
        <f aca="false">MIN(V59,Sorted!$G$6)</f>
        <v>0</v>
      </c>
      <c r="X59" s="47" t="n">
        <f aca="false">MAX(0,MIN(V59-W59,$C59-(H59+L59+P59+T59)))</f>
        <v>0</v>
      </c>
      <c r="Y59" s="47" t="n">
        <f aca="false">ROUND(V59-W59-X59,2)</f>
        <v>0</v>
      </c>
      <c r="Z59" s="47" t="n">
        <f aca="false">ROUND(AC58*(1+Sorted!$H$7),2)</f>
        <v>0</v>
      </c>
      <c r="AA59" s="47" t="n">
        <f aca="false">MIN(Z59,Sorted!$G$7)</f>
        <v>0</v>
      </c>
      <c r="AB59" s="47" t="n">
        <f aca="false">MAX(0,MIN(Z59-AA59,$C59-(H59+L59+P59+T59+X59)))</f>
        <v>0</v>
      </c>
      <c r="AC59" s="47" t="n">
        <f aca="false">ROUND(Z59-AA59-AB59,2)</f>
        <v>0</v>
      </c>
      <c r="AD59" s="47" t="n">
        <f aca="false">ROUND(AG58*(1+Sorted!$H$8),2)</f>
        <v>0</v>
      </c>
      <c r="AE59" s="47" t="n">
        <f aca="false">MIN(AD59,Sorted!$G$8)</f>
        <v>0</v>
      </c>
      <c r="AF59" s="47" t="n">
        <f aca="false">MAX(0,MIN(AD59-AE59,$C59-(H59+L59+P59+T59+X59+AB59)))</f>
        <v>0</v>
      </c>
      <c r="AG59" s="47" t="n">
        <f aca="false">ROUND(AD59-AE59-AF59,2)</f>
        <v>0</v>
      </c>
      <c r="AH59" s="47" t="n">
        <f aca="false">ROUND(AK58*(1+Sorted!$H$9),2)</f>
        <v>0</v>
      </c>
      <c r="AI59" s="47" t="n">
        <f aca="false">MIN(AH59,Sorted!$G$9)</f>
        <v>0</v>
      </c>
      <c r="AJ59" s="47" t="n">
        <f aca="false">MAX(0,MIN(AH59-AI59,$C59-(H59+L59+P59+T59+X59+AB59+AF59)))</f>
        <v>0</v>
      </c>
      <c r="AK59" s="47" t="n">
        <f aca="false">ROUND(AH59-AI59-AJ59,2)</f>
        <v>0</v>
      </c>
      <c r="AL59" s="47" t="n">
        <f aca="false">ROUND(AO58*(1+Sorted!$H$10),2)</f>
        <v>0</v>
      </c>
      <c r="AM59" s="47" t="n">
        <f aca="false">MIN(AL59,Sorted!$G$10)</f>
        <v>0</v>
      </c>
      <c r="AN59" s="47" t="n">
        <f aca="false">MAX(0,MIN(AL59-AM59,$C59-(H59+L59+P59+T59+X59+AB59+AF59+AJ59)))</f>
        <v>0</v>
      </c>
      <c r="AO59" s="47" t="n">
        <f aca="false">ROUND(AL59-AM59-AN59,2)</f>
        <v>0</v>
      </c>
      <c r="AP59" s="47" t="n">
        <f aca="false">ROUND(AS58*(1+Sorted!$H$11),2)</f>
        <v>0</v>
      </c>
      <c r="AQ59" s="47" t="n">
        <f aca="false">MIN(AP59,Sorted!$G$11)</f>
        <v>0</v>
      </c>
      <c r="AR59" s="47" t="n">
        <f aca="false">MAX(0,MIN(AP59-AQ59,$C59-(H59+L59+P59+T59+X59+AB59+AF59+AJ59+AN59)))</f>
        <v>0</v>
      </c>
      <c r="AS59" s="47" t="n">
        <f aca="false">ROUND(AP59-AQ59-AR59,2)</f>
        <v>0</v>
      </c>
    </row>
    <row r="60" customFormat="false" ht="15" hidden="false" customHeight="false" outlineLevel="0" collapsed="false">
      <c r="A60" s="45" t="n">
        <v>57</v>
      </c>
      <c r="B60" s="46" t="n">
        <f aca="false">EDATE('My Debts'!$C$7,A60-1)</f>
        <v>48030</v>
      </c>
      <c r="C60" s="47" t="n">
        <f aca="false">MAX(0,'My Debts'!$E$6-(G60+K60+O60+S60+W60+AA60+AE60+AI60+AM60+AQ60))</f>
        <v>730</v>
      </c>
      <c r="D60" s="47" t="n">
        <f aca="false">(F60+J60+N60+R60+V60+Z60+AD60+AH60+AL60+AP60)-(I60+M60+Q60+U60+Y60+AC60+AG60+AK60+AO60+AS60)</f>
        <v>0</v>
      </c>
      <c r="E60" s="48" t="n">
        <f aca="false">I60+M60+Q60+U60+Y60+AC60+AG60+AK60+AO60+AS60</f>
        <v>0</v>
      </c>
      <c r="F60" s="47" t="n">
        <f aca="false">ROUND(I59*(1+Sorted!$H$2),2)</f>
        <v>0</v>
      </c>
      <c r="G60" s="47" t="n">
        <f aca="false">MIN(F60,Sorted!$G$2)</f>
        <v>0</v>
      </c>
      <c r="H60" s="47" t="n">
        <f aca="false">MAX(0,MIN(F60-G60,$C60-(0)))</f>
        <v>0</v>
      </c>
      <c r="I60" s="47" t="n">
        <f aca="false">ROUND(F60-G60-H60,2)</f>
        <v>0</v>
      </c>
      <c r="J60" s="47" t="n">
        <f aca="false">ROUND(M59*(1+Sorted!$H$3),2)</f>
        <v>0</v>
      </c>
      <c r="K60" s="47" t="n">
        <f aca="false">MIN(J60,Sorted!$G$3)</f>
        <v>0</v>
      </c>
      <c r="L60" s="47" t="n">
        <f aca="false">MAX(0,MIN(J60-K60,$C60-(H60)))</f>
        <v>0</v>
      </c>
      <c r="M60" s="47" t="n">
        <f aca="false">ROUND(J60-K60-L60,2)</f>
        <v>0</v>
      </c>
      <c r="N60" s="47" t="n">
        <f aca="false">ROUND(Q59*(1+Sorted!$H$4),2)</f>
        <v>0</v>
      </c>
      <c r="O60" s="47" t="n">
        <f aca="false">MIN(N60,Sorted!$G$4)</f>
        <v>0</v>
      </c>
      <c r="P60" s="47" t="n">
        <f aca="false">MAX(0,MIN(N60-O60,$C60-(H60+L60)))</f>
        <v>0</v>
      </c>
      <c r="Q60" s="47" t="n">
        <f aca="false">ROUND(N60-O60-P60,2)</f>
        <v>0</v>
      </c>
      <c r="R60" s="47" t="n">
        <f aca="false">ROUND(U59*(1+Sorted!$H$5),2)</f>
        <v>0</v>
      </c>
      <c r="S60" s="47" t="n">
        <f aca="false">MIN(R60,Sorted!$G$5)</f>
        <v>0</v>
      </c>
      <c r="T60" s="47" t="n">
        <f aca="false">MAX(0,MIN(R60-S60,$C60-(H60+L60+P60)))</f>
        <v>0</v>
      </c>
      <c r="U60" s="47" t="n">
        <f aca="false">ROUND(R60-S60-T60,2)</f>
        <v>0</v>
      </c>
      <c r="V60" s="47" t="n">
        <f aca="false">ROUND(Y59*(1+Sorted!$H$6),2)</f>
        <v>0</v>
      </c>
      <c r="W60" s="47" t="n">
        <f aca="false">MIN(V60,Sorted!$G$6)</f>
        <v>0</v>
      </c>
      <c r="X60" s="47" t="n">
        <f aca="false">MAX(0,MIN(V60-W60,$C60-(H60+L60+P60+T60)))</f>
        <v>0</v>
      </c>
      <c r="Y60" s="47" t="n">
        <f aca="false">ROUND(V60-W60-X60,2)</f>
        <v>0</v>
      </c>
      <c r="Z60" s="47" t="n">
        <f aca="false">ROUND(AC59*(1+Sorted!$H$7),2)</f>
        <v>0</v>
      </c>
      <c r="AA60" s="47" t="n">
        <f aca="false">MIN(Z60,Sorted!$G$7)</f>
        <v>0</v>
      </c>
      <c r="AB60" s="47" t="n">
        <f aca="false">MAX(0,MIN(Z60-AA60,$C60-(H60+L60+P60+T60+X60)))</f>
        <v>0</v>
      </c>
      <c r="AC60" s="47" t="n">
        <f aca="false">ROUND(Z60-AA60-AB60,2)</f>
        <v>0</v>
      </c>
      <c r="AD60" s="47" t="n">
        <f aca="false">ROUND(AG59*(1+Sorted!$H$8),2)</f>
        <v>0</v>
      </c>
      <c r="AE60" s="47" t="n">
        <f aca="false">MIN(AD60,Sorted!$G$8)</f>
        <v>0</v>
      </c>
      <c r="AF60" s="47" t="n">
        <f aca="false">MAX(0,MIN(AD60-AE60,$C60-(H60+L60+P60+T60+X60+AB60)))</f>
        <v>0</v>
      </c>
      <c r="AG60" s="47" t="n">
        <f aca="false">ROUND(AD60-AE60-AF60,2)</f>
        <v>0</v>
      </c>
      <c r="AH60" s="47" t="n">
        <f aca="false">ROUND(AK59*(1+Sorted!$H$9),2)</f>
        <v>0</v>
      </c>
      <c r="AI60" s="47" t="n">
        <f aca="false">MIN(AH60,Sorted!$G$9)</f>
        <v>0</v>
      </c>
      <c r="AJ60" s="47" t="n">
        <f aca="false">MAX(0,MIN(AH60-AI60,$C60-(H60+L60+P60+T60+X60+AB60+AF60)))</f>
        <v>0</v>
      </c>
      <c r="AK60" s="47" t="n">
        <f aca="false">ROUND(AH60-AI60-AJ60,2)</f>
        <v>0</v>
      </c>
      <c r="AL60" s="47" t="n">
        <f aca="false">ROUND(AO59*(1+Sorted!$H$10),2)</f>
        <v>0</v>
      </c>
      <c r="AM60" s="47" t="n">
        <f aca="false">MIN(AL60,Sorted!$G$10)</f>
        <v>0</v>
      </c>
      <c r="AN60" s="47" t="n">
        <f aca="false">MAX(0,MIN(AL60-AM60,$C60-(H60+L60+P60+T60+X60+AB60+AF60+AJ60)))</f>
        <v>0</v>
      </c>
      <c r="AO60" s="47" t="n">
        <f aca="false">ROUND(AL60-AM60-AN60,2)</f>
        <v>0</v>
      </c>
      <c r="AP60" s="47" t="n">
        <f aca="false">ROUND(AS59*(1+Sorted!$H$11),2)</f>
        <v>0</v>
      </c>
      <c r="AQ60" s="47" t="n">
        <f aca="false">MIN(AP60,Sorted!$G$11)</f>
        <v>0</v>
      </c>
      <c r="AR60" s="47" t="n">
        <f aca="false">MAX(0,MIN(AP60-AQ60,$C60-(H60+L60+P60+T60+X60+AB60+AF60+AJ60+AN60)))</f>
        <v>0</v>
      </c>
      <c r="AS60" s="47" t="n">
        <f aca="false">ROUND(AP60-AQ60-AR60,2)</f>
        <v>0</v>
      </c>
    </row>
    <row r="61" customFormat="false" ht="15" hidden="false" customHeight="false" outlineLevel="0" collapsed="false">
      <c r="A61" s="45" t="n">
        <v>58</v>
      </c>
      <c r="B61" s="46" t="n">
        <f aca="false">EDATE('My Debts'!$C$7,A61-1)</f>
        <v>48061</v>
      </c>
      <c r="C61" s="47" t="n">
        <f aca="false">MAX(0,'My Debts'!$E$6-(G61+K61+O61+S61+W61+AA61+AE61+AI61+AM61+AQ61))</f>
        <v>730</v>
      </c>
      <c r="D61" s="47" t="n">
        <f aca="false">(F61+J61+N61+R61+V61+Z61+AD61+AH61+AL61+AP61)-(I61+M61+Q61+U61+Y61+AC61+AG61+AK61+AO61+AS61)</f>
        <v>0</v>
      </c>
      <c r="E61" s="48" t="n">
        <f aca="false">I61+M61+Q61+U61+Y61+AC61+AG61+AK61+AO61+AS61</f>
        <v>0</v>
      </c>
      <c r="F61" s="47" t="n">
        <f aca="false">ROUND(I60*(1+Sorted!$H$2),2)</f>
        <v>0</v>
      </c>
      <c r="G61" s="47" t="n">
        <f aca="false">MIN(F61,Sorted!$G$2)</f>
        <v>0</v>
      </c>
      <c r="H61" s="47" t="n">
        <f aca="false">MAX(0,MIN(F61-G61,$C61-(0)))</f>
        <v>0</v>
      </c>
      <c r="I61" s="47" t="n">
        <f aca="false">ROUND(F61-G61-H61,2)</f>
        <v>0</v>
      </c>
      <c r="J61" s="47" t="n">
        <f aca="false">ROUND(M60*(1+Sorted!$H$3),2)</f>
        <v>0</v>
      </c>
      <c r="K61" s="47" t="n">
        <f aca="false">MIN(J61,Sorted!$G$3)</f>
        <v>0</v>
      </c>
      <c r="L61" s="47" t="n">
        <f aca="false">MAX(0,MIN(J61-K61,$C61-(H61)))</f>
        <v>0</v>
      </c>
      <c r="M61" s="47" t="n">
        <f aca="false">ROUND(J61-K61-L61,2)</f>
        <v>0</v>
      </c>
      <c r="N61" s="47" t="n">
        <f aca="false">ROUND(Q60*(1+Sorted!$H$4),2)</f>
        <v>0</v>
      </c>
      <c r="O61" s="47" t="n">
        <f aca="false">MIN(N61,Sorted!$G$4)</f>
        <v>0</v>
      </c>
      <c r="P61" s="47" t="n">
        <f aca="false">MAX(0,MIN(N61-O61,$C61-(H61+L61)))</f>
        <v>0</v>
      </c>
      <c r="Q61" s="47" t="n">
        <f aca="false">ROUND(N61-O61-P61,2)</f>
        <v>0</v>
      </c>
      <c r="R61" s="47" t="n">
        <f aca="false">ROUND(U60*(1+Sorted!$H$5),2)</f>
        <v>0</v>
      </c>
      <c r="S61" s="47" t="n">
        <f aca="false">MIN(R61,Sorted!$G$5)</f>
        <v>0</v>
      </c>
      <c r="T61" s="47" t="n">
        <f aca="false">MAX(0,MIN(R61-S61,$C61-(H61+L61+P61)))</f>
        <v>0</v>
      </c>
      <c r="U61" s="47" t="n">
        <f aca="false">ROUND(R61-S61-T61,2)</f>
        <v>0</v>
      </c>
      <c r="V61" s="47" t="n">
        <f aca="false">ROUND(Y60*(1+Sorted!$H$6),2)</f>
        <v>0</v>
      </c>
      <c r="W61" s="47" t="n">
        <f aca="false">MIN(V61,Sorted!$G$6)</f>
        <v>0</v>
      </c>
      <c r="X61" s="47" t="n">
        <f aca="false">MAX(0,MIN(V61-W61,$C61-(H61+L61+P61+T61)))</f>
        <v>0</v>
      </c>
      <c r="Y61" s="47" t="n">
        <f aca="false">ROUND(V61-W61-X61,2)</f>
        <v>0</v>
      </c>
      <c r="Z61" s="47" t="n">
        <f aca="false">ROUND(AC60*(1+Sorted!$H$7),2)</f>
        <v>0</v>
      </c>
      <c r="AA61" s="47" t="n">
        <f aca="false">MIN(Z61,Sorted!$G$7)</f>
        <v>0</v>
      </c>
      <c r="AB61" s="47" t="n">
        <f aca="false">MAX(0,MIN(Z61-AA61,$C61-(H61+L61+P61+T61+X61)))</f>
        <v>0</v>
      </c>
      <c r="AC61" s="47" t="n">
        <f aca="false">ROUND(Z61-AA61-AB61,2)</f>
        <v>0</v>
      </c>
      <c r="AD61" s="47" t="n">
        <f aca="false">ROUND(AG60*(1+Sorted!$H$8),2)</f>
        <v>0</v>
      </c>
      <c r="AE61" s="47" t="n">
        <f aca="false">MIN(AD61,Sorted!$G$8)</f>
        <v>0</v>
      </c>
      <c r="AF61" s="47" t="n">
        <f aca="false">MAX(0,MIN(AD61-AE61,$C61-(H61+L61+P61+T61+X61+AB61)))</f>
        <v>0</v>
      </c>
      <c r="AG61" s="47" t="n">
        <f aca="false">ROUND(AD61-AE61-AF61,2)</f>
        <v>0</v>
      </c>
      <c r="AH61" s="47" t="n">
        <f aca="false">ROUND(AK60*(1+Sorted!$H$9),2)</f>
        <v>0</v>
      </c>
      <c r="AI61" s="47" t="n">
        <f aca="false">MIN(AH61,Sorted!$G$9)</f>
        <v>0</v>
      </c>
      <c r="AJ61" s="47" t="n">
        <f aca="false">MAX(0,MIN(AH61-AI61,$C61-(H61+L61+P61+T61+X61+AB61+AF61)))</f>
        <v>0</v>
      </c>
      <c r="AK61" s="47" t="n">
        <f aca="false">ROUND(AH61-AI61-AJ61,2)</f>
        <v>0</v>
      </c>
      <c r="AL61" s="47" t="n">
        <f aca="false">ROUND(AO60*(1+Sorted!$H$10),2)</f>
        <v>0</v>
      </c>
      <c r="AM61" s="47" t="n">
        <f aca="false">MIN(AL61,Sorted!$G$10)</f>
        <v>0</v>
      </c>
      <c r="AN61" s="47" t="n">
        <f aca="false">MAX(0,MIN(AL61-AM61,$C61-(H61+L61+P61+T61+X61+AB61+AF61+AJ61)))</f>
        <v>0</v>
      </c>
      <c r="AO61" s="47" t="n">
        <f aca="false">ROUND(AL61-AM61-AN61,2)</f>
        <v>0</v>
      </c>
      <c r="AP61" s="47" t="n">
        <f aca="false">ROUND(AS60*(1+Sorted!$H$11),2)</f>
        <v>0</v>
      </c>
      <c r="AQ61" s="47" t="n">
        <f aca="false">MIN(AP61,Sorted!$G$11)</f>
        <v>0</v>
      </c>
      <c r="AR61" s="47" t="n">
        <f aca="false">MAX(0,MIN(AP61-AQ61,$C61-(H61+L61+P61+T61+X61+AB61+AF61+AJ61+AN61)))</f>
        <v>0</v>
      </c>
      <c r="AS61" s="47" t="n">
        <f aca="false">ROUND(AP61-AQ61-AR61,2)</f>
        <v>0</v>
      </c>
    </row>
    <row r="62" customFormat="false" ht="15" hidden="false" customHeight="false" outlineLevel="0" collapsed="false">
      <c r="A62" s="45" t="n">
        <v>59</v>
      </c>
      <c r="B62" s="46" t="n">
        <f aca="false">EDATE('My Debts'!$C$7,A62-1)</f>
        <v>48092</v>
      </c>
      <c r="C62" s="47" t="n">
        <f aca="false">MAX(0,'My Debts'!$E$6-(G62+K62+O62+S62+W62+AA62+AE62+AI62+AM62+AQ62))</f>
        <v>730</v>
      </c>
      <c r="D62" s="47" t="n">
        <f aca="false">(F62+J62+N62+R62+V62+Z62+AD62+AH62+AL62+AP62)-(I62+M62+Q62+U62+Y62+AC62+AG62+AK62+AO62+AS62)</f>
        <v>0</v>
      </c>
      <c r="E62" s="48" t="n">
        <f aca="false">I62+M62+Q62+U62+Y62+AC62+AG62+AK62+AO62+AS62</f>
        <v>0</v>
      </c>
      <c r="F62" s="47" t="n">
        <f aca="false">ROUND(I61*(1+Sorted!$H$2),2)</f>
        <v>0</v>
      </c>
      <c r="G62" s="47" t="n">
        <f aca="false">MIN(F62,Sorted!$G$2)</f>
        <v>0</v>
      </c>
      <c r="H62" s="47" t="n">
        <f aca="false">MAX(0,MIN(F62-G62,$C62-(0)))</f>
        <v>0</v>
      </c>
      <c r="I62" s="47" t="n">
        <f aca="false">ROUND(F62-G62-H62,2)</f>
        <v>0</v>
      </c>
      <c r="J62" s="47" t="n">
        <f aca="false">ROUND(M61*(1+Sorted!$H$3),2)</f>
        <v>0</v>
      </c>
      <c r="K62" s="47" t="n">
        <f aca="false">MIN(J62,Sorted!$G$3)</f>
        <v>0</v>
      </c>
      <c r="L62" s="47" t="n">
        <f aca="false">MAX(0,MIN(J62-K62,$C62-(H62)))</f>
        <v>0</v>
      </c>
      <c r="M62" s="47" t="n">
        <f aca="false">ROUND(J62-K62-L62,2)</f>
        <v>0</v>
      </c>
      <c r="N62" s="47" t="n">
        <f aca="false">ROUND(Q61*(1+Sorted!$H$4),2)</f>
        <v>0</v>
      </c>
      <c r="O62" s="47" t="n">
        <f aca="false">MIN(N62,Sorted!$G$4)</f>
        <v>0</v>
      </c>
      <c r="P62" s="47" t="n">
        <f aca="false">MAX(0,MIN(N62-O62,$C62-(H62+L62)))</f>
        <v>0</v>
      </c>
      <c r="Q62" s="47" t="n">
        <f aca="false">ROUND(N62-O62-P62,2)</f>
        <v>0</v>
      </c>
      <c r="R62" s="47" t="n">
        <f aca="false">ROUND(U61*(1+Sorted!$H$5),2)</f>
        <v>0</v>
      </c>
      <c r="S62" s="47" t="n">
        <f aca="false">MIN(R62,Sorted!$G$5)</f>
        <v>0</v>
      </c>
      <c r="T62" s="47" t="n">
        <f aca="false">MAX(0,MIN(R62-S62,$C62-(H62+L62+P62)))</f>
        <v>0</v>
      </c>
      <c r="U62" s="47" t="n">
        <f aca="false">ROUND(R62-S62-T62,2)</f>
        <v>0</v>
      </c>
      <c r="V62" s="47" t="n">
        <f aca="false">ROUND(Y61*(1+Sorted!$H$6),2)</f>
        <v>0</v>
      </c>
      <c r="W62" s="47" t="n">
        <f aca="false">MIN(V62,Sorted!$G$6)</f>
        <v>0</v>
      </c>
      <c r="X62" s="47" t="n">
        <f aca="false">MAX(0,MIN(V62-W62,$C62-(H62+L62+P62+T62)))</f>
        <v>0</v>
      </c>
      <c r="Y62" s="47" t="n">
        <f aca="false">ROUND(V62-W62-X62,2)</f>
        <v>0</v>
      </c>
      <c r="Z62" s="47" t="n">
        <f aca="false">ROUND(AC61*(1+Sorted!$H$7),2)</f>
        <v>0</v>
      </c>
      <c r="AA62" s="47" t="n">
        <f aca="false">MIN(Z62,Sorted!$G$7)</f>
        <v>0</v>
      </c>
      <c r="AB62" s="47" t="n">
        <f aca="false">MAX(0,MIN(Z62-AA62,$C62-(H62+L62+P62+T62+X62)))</f>
        <v>0</v>
      </c>
      <c r="AC62" s="47" t="n">
        <f aca="false">ROUND(Z62-AA62-AB62,2)</f>
        <v>0</v>
      </c>
      <c r="AD62" s="47" t="n">
        <f aca="false">ROUND(AG61*(1+Sorted!$H$8),2)</f>
        <v>0</v>
      </c>
      <c r="AE62" s="47" t="n">
        <f aca="false">MIN(AD62,Sorted!$G$8)</f>
        <v>0</v>
      </c>
      <c r="AF62" s="47" t="n">
        <f aca="false">MAX(0,MIN(AD62-AE62,$C62-(H62+L62+P62+T62+X62+AB62)))</f>
        <v>0</v>
      </c>
      <c r="AG62" s="47" t="n">
        <f aca="false">ROUND(AD62-AE62-AF62,2)</f>
        <v>0</v>
      </c>
      <c r="AH62" s="47" t="n">
        <f aca="false">ROUND(AK61*(1+Sorted!$H$9),2)</f>
        <v>0</v>
      </c>
      <c r="AI62" s="47" t="n">
        <f aca="false">MIN(AH62,Sorted!$G$9)</f>
        <v>0</v>
      </c>
      <c r="AJ62" s="47" t="n">
        <f aca="false">MAX(0,MIN(AH62-AI62,$C62-(H62+L62+P62+T62+X62+AB62+AF62)))</f>
        <v>0</v>
      </c>
      <c r="AK62" s="47" t="n">
        <f aca="false">ROUND(AH62-AI62-AJ62,2)</f>
        <v>0</v>
      </c>
      <c r="AL62" s="47" t="n">
        <f aca="false">ROUND(AO61*(1+Sorted!$H$10),2)</f>
        <v>0</v>
      </c>
      <c r="AM62" s="47" t="n">
        <f aca="false">MIN(AL62,Sorted!$G$10)</f>
        <v>0</v>
      </c>
      <c r="AN62" s="47" t="n">
        <f aca="false">MAX(0,MIN(AL62-AM62,$C62-(H62+L62+P62+T62+X62+AB62+AF62+AJ62)))</f>
        <v>0</v>
      </c>
      <c r="AO62" s="47" t="n">
        <f aca="false">ROUND(AL62-AM62-AN62,2)</f>
        <v>0</v>
      </c>
      <c r="AP62" s="47" t="n">
        <f aca="false">ROUND(AS61*(1+Sorted!$H$11),2)</f>
        <v>0</v>
      </c>
      <c r="AQ62" s="47" t="n">
        <f aca="false">MIN(AP62,Sorted!$G$11)</f>
        <v>0</v>
      </c>
      <c r="AR62" s="47" t="n">
        <f aca="false">MAX(0,MIN(AP62-AQ62,$C62-(H62+L62+P62+T62+X62+AB62+AF62+AJ62+AN62)))</f>
        <v>0</v>
      </c>
      <c r="AS62" s="47" t="n">
        <f aca="false">ROUND(AP62-AQ62-AR62,2)</f>
        <v>0</v>
      </c>
    </row>
    <row r="63" customFormat="false" ht="15" hidden="false" customHeight="false" outlineLevel="0" collapsed="false">
      <c r="A63" s="45" t="n">
        <v>60</v>
      </c>
      <c r="B63" s="46" t="n">
        <f aca="false">EDATE('My Debts'!$C$7,A63-1)</f>
        <v>48122</v>
      </c>
      <c r="C63" s="47" t="n">
        <f aca="false">MAX(0,'My Debts'!$E$6-(G63+K63+O63+S63+W63+AA63+AE63+AI63+AM63+AQ63))</f>
        <v>730</v>
      </c>
      <c r="D63" s="47" t="n">
        <f aca="false">(F63+J63+N63+R63+V63+Z63+AD63+AH63+AL63+AP63)-(I63+M63+Q63+U63+Y63+AC63+AG63+AK63+AO63+AS63)</f>
        <v>0</v>
      </c>
      <c r="E63" s="48" t="n">
        <f aca="false">I63+M63+Q63+U63+Y63+AC63+AG63+AK63+AO63+AS63</f>
        <v>0</v>
      </c>
      <c r="F63" s="47" t="n">
        <f aca="false">ROUND(I62*(1+Sorted!$H$2),2)</f>
        <v>0</v>
      </c>
      <c r="G63" s="47" t="n">
        <f aca="false">MIN(F63,Sorted!$G$2)</f>
        <v>0</v>
      </c>
      <c r="H63" s="47" t="n">
        <f aca="false">MAX(0,MIN(F63-G63,$C63-(0)))</f>
        <v>0</v>
      </c>
      <c r="I63" s="47" t="n">
        <f aca="false">ROUND(F63-G63-H63,2)</f>
        <v>0</v>
      </c>
      <c r="J63" s="47" t="n">
        <f aca="false">ROUND(M62*(1+Sorted!$H$3),2)</f>
        <v>0</v>
      </c>
      <c r="K63" s="47" t="n">
        <f aca="false">MIN(J63,Sorted!$G$3)</f>
        <v>0</v>
      </c>
      <c r="L63" s="47" t="n">
        <f aca="false">MAX(0,MIN(J63-K63,$C63-(H63)))</f>
        <v>0</v>
      </c>
      <c r="M63" s="47" t="n">
        <f aca="false">ROUND(J63-K63-L63,2)</f>
        <v>0</v>
      </c>
      <c r="N63" s="47" t="n">
        <f aca="false">ROUND(Q62*(1+Sorted!$H$4),2)</f>
        <v>0</v>
      </c>
      <c r="O63" s="47" t="n">
        <f aca="false">MIN(N63,Sorted!$G$4)</f>
        <v>0</v>
      </c>
      <c r="P63" s="47" t="n">
        <f aca="false">MAX(0,MIN(N63-O63,$C63-(H63+L63)))</f>
        <v>0</v>
      </c>
      <c r="Q63" s="47" t="n">
        <f aca="false">ROUND(N63-O63-P63,2)</f>
        <v>0</v>
      </c>
      <c r="R63" s="47" t="n">
        <f aca="false">ROUND(U62*(1+Sorted!$H$5),2)</f>
        <v>0</v>
      </c>
      <c r="S63" s="47" t="n">
        <f aca="false">MIN(R63,Sorted!$G$5)</f>
        <v>0</v>
      </c>
      <c r="T63" s="47" t="n">
        <f aca="false">MAX(0,MIN(R63-S63,$C63-(H63+L63+P63)))</f>
        <v>0</v>
      </c>
      <c r="U63" s="47" t="n">
        <f aca="false">ROUND(R63-S63-T63,2)</f>
        <v>0</v>
      </c>
      <c r="V63" s="47" t="n">
        <f aca="false">ROUND(Y62*(1+Sorted!$H$6),2)</f>
        <v>0</v>
      </c>
      <c r="W63" s="47" t="n">
        <f aca="false">MIN(V63,Sorted!$G$6)</f>
        <v>0</v>
      </c>
      <c r="X63" s="47" t="n">
        <f aca="false">MAX(0,MIN(V63-W63,$C63-(H63+L63+P63+T63)))</f>
        <v>0</v>
      </c>
      <c r="Y63" s="47" t="n">
        <f aca="false">ROUND(V63-W63-X63,2)</f>
        <v>0</v>
      </c>
      <c r="Z63" s="47" t="n">
        <f aca="false">ROUND(AC62*(1+Sorted!$H$7),2)</f>
        <v>0</v>
      </c>
      <c r="AA63" s="47" t="n">
        <f aca="false">MIN(Z63,Sorted!$G$7)</f>
        <v>0</v>
      </c>
      <c r="AB63" s="47" t="n">
        <f aca="false">MAX(0,MIN(Z63-AA63,$C63-(H63+L63+P63+T63+X63)))</f>
        <v>0</v>
      </c>
      <c r="AC63" s="47" t="n">
        <f aca="false">ROUND(Z63-AA63-AB63,2)</f>
        <v>0</v>
      </c>
      <c r="AD63" s="47" t="n">
        <f aca="false">ROUND(AG62*(1+Sorted!$H$8),2)</f>
        <v>0</v>
      </c>
      <c r="AE63" s="47" t="n">
        <f aca="false">MIN(AD63,Sorted!$G$8)</f>
        <v>0</v>
      </c>
      <c r="AF63" s="47" t="n">
        <f aca="false">MAX(0,MIN(AD63-AE63,$C63-(H63+L63+P63+T63+X63+AB63)))</f>
        <v>0</v>
      </c>
      <c r="AG63" s="47" t="n">
        <f aca="false">ROUND(AD63-AE63-AF63,2)</f>
        <v>0</v>
      </c>
      <c r="AH63" s="47" t="n">
        <f aca="false">ROUND(AK62*(1+Sorted!$H$9),2)</f>
        <v>0</v>
      </c>
      <c r="AI63" s="47" t="n">
        <f aca="false">MIN(AH63,Sorted!$G$9)</f>
        <v>0</v>
      </c>
      <c r="AJ63" s="47" t="n">
        <f aca="false">MAX(0,MIN(AH63-AI63,$C63-(H63+L63+P63+T63+X63+AB63+AF63)))</f>
        <v>0</v>
      </c>
      <c r="AK63" s="47" t="n">
        <f aca="false">ROUND(AH63-AI63-AJ63,2)</f>
        <v>0</v>
      </c>
      <c r="AL63" s="47" t="n">
        <f aca="false">ROUND(AO62*(1+Sorted!$H$10),2)</f>
        <v>0</v>
      </c>
      <c r="AM63" s="47" t="n">
        <f aca="false">MIN(AL63,Sorted!$G$10)</f>
        <v>0</v>
      </c>
      <c r="AN63" s="47" t="n">
        <f aca="false">MAX(0,MIN(AL63-AM63,$C63-(H63+L63+P63+T63+X63+AB63+AF63+AJ63)))</f>
        <v>0</v>
      </c>
      <c r="AO63" s="47" t="n">
        <f aca="false">ROUND(AL63-AM63-AN63,2)</f>
        <v>0</v>
      </c>
      <c r="AP63" s="47" t="n">
        <f aca="false">ROUND(AS62*(1+Sorted!$H$11),2)</f>
        <v>0</v>
      </c>
      <c r="AQ63" s="47" t="n">
        <f aca="false">MIN(AP63,Sorted!$G$11)</f>
        <v>0</v>
      </c>
      <c r="AR63" s="47" t="n">
        <f aca="false">MAX(0,MIN(AP63-AQ63,$C63-(H63+L63+P63+T63+X63+AB63+AF63+AJ63+AN63)))</f>
        <v>0</v>
      </c>
      <c r="AS63" s="47" t="n">
        <f aca="false">ROUND(AP63-AQ63-AR63,2)</f>
        <v>0</v>
      </c>
    </row>
    <row r="64" customFormat="false" ht="15" hidden="false" customHeight="false" outlineLevel="0" collapsed="false">
      <c r="A64" s="45" t="n">
        <v>61</v>
      </c>
      <c r="B64" s="46" t="n">
        <f aca="false">EDATE('My Debts'!$C$7,A64-1)</f>
        <v>48153</v>
      </c>
      <c r="C64" s="47" t="n">
        <f aca="false">MAX(0,'My Debts'!$E$6-(G64+K64+O64+S64+W64+AA64+AE64+AI64+AM64+AQ64))</f>
        <v>730</v>
      </c>
      <c r="D64" s="47" t="n">
        <f aca="false">(F64+J64+N64+R64+V64+Z64+AD64+AH64+AL64+AP64)-(I64+M64+Q64+U64+Y64+AC64+AG64+AK64+AO64+AS64)</f>
        <v>0</v>
      </c>
      <c r="E64" s="48" t="n">
        <f aca="false">I64+M64+Q64+U64+Y64+AC64+AG64+AK64+AO64+AS64</f>
        <v>0</v>
      </c>
      <c r="F64" s="47" t="n">
        <f aca="false">ROUND(I63*(1+Sorted!$H$2),2)</f>
        <v>0</v>
      </c>
      <c r="G64" s="47" t="n">
        <f aca="false">MIN(F64,Sorted!$G$2)</f>
        <v>0</v>
      </c>
      <c r="H64" s="47" t="n">
        <f aca="false">MAX(0,MIN(F64-G64,$C64-(0)))</f>
        <v>0</v>
      </c>
      <c r="I64" s="47" t="n">
        <f aca="false">ROUND(F64-G64-H64,2)</f>
        <v>0</v>
      </c>
      <c r="J64" s="47" t="n">
        <f aca="false">ROUND(M63*(1+Sorted!$H$3),2)</f>
        <v>0</v>
      </c>
      <c r="K64" s="47" t="n">
        <f aca="false">MIN(J64,Sorted!$G$3)</f>
        <v>0</v>
      </c>
      <c r="L64" s="47" t="n">
        <f aca="false">MAX(0,MIN(J64-K64,$C64-(H64)))</f>
        <v>0</v>
      </c>
      <c r="M64" s="47" t="n">
        <f aca="false">ROUND(J64-K64-L64,2)</f>
        <v>0</v>
      </c>
      <c r="N64" s="47" t="n">
        <f aca="false">ROUND(Q63*(1+Sorted!$H$4),2)</f>
        <v>0</v>
      </c>
      <c r="O64" s="47" t="n">
        <f aca="false">MIN(N64,Sorted!$G$4)</f>
        <v>0</v>
      </c>
      <c r="P64" s="47" t="n">
        <f aca="false">MAX(0,MIN(N64-O64,$C64-(H64+L64)))</f>
        <v>0</v>
      </c>
      <c r="Q64" s="47" t="n">
        <f aca="false">ROUND(N64-O64-P64,2)</f>
        <v>0</v>
      </c>
      <c r="R64" s="47" t="n">
        <f aca="false">ROUND(U63*(1+Sorted!$H$5),2)</f>
        <v>0</v>
      </c>
      <c r="S64" s="47" t="n">
        <f aca="false">MIN(R64,Sorted!$G$5)</f>
        <v>0</v>
      </c>
      <c r="T64" s="47" t="n">
        <f aca="false">MAX(0,MIN(R64-S64,$C64-(H64+L64+P64)))</f>
        <v>0</v>
      </c>
      <c r="U64" s="47" t="n">
        <f aca="false">ROUND(R64-S64-T64,2)</f>
        <v>0</v>
      </c>
      <c r="V64" s="47" t="n">
        <f aca="false">ROUND(Y63*(1+Sorted!$H$6),2)</f>
        <v>0</v>
      </c>
      <c r="W64" s="47" t="n">
        <f aca="false">MIN(V64,Sorted!$G$6)</f>
        <v>0</v>
      </c>
      <c r="X64" s="47" t="n">
        <f aca="false">MAX(0,MIN(V64-W64,$C64-(H64+L64+P64+T64)))</f>
        <v>0</v>
      </c>
      <c r="Y64" s="47" t="n">
        <f aca="false">ROUND(V64-W64-X64,2)</f>
        <v>0</v>
      </c>
      <c r="Z64" s="47" t="n">
        <f aca="false">ROUND(AC63*(1+Sorted!$H$7),2)</f>
        <v>0</v>
      </c>
      <c r="AA64" s="47" t="n">
        <f aca="false">MIN(Z64,Sorted!$G$7)</f>
        <v>0</v>
      </c>
      <c r="AB64" s="47" t="n">
        <f aca="false">MAX(0,MIN(Z64-AA64,$C64-(H64+L64+P64+T64+X64)))</f>
        <v>0</v>
      </c>
      <c r="AC64" s="47" t="n">
        <f aca="false">ROUND(Z64-AA64-AB64,2)</f>
        <v>0</v>
      </c>
      <c r="AD64" s="47" t="n">
        <f aca="false">ROUND(AG63*(1+Sorted!$H$8),2)</f>
        <v>0</v>
      </c>
      <c r="AE64" s="47" t="n">
        <f aca="false">MIN(AD64,Sorted!$G$8)</f>
        <v>0</v>
      </c>
      <c r="AF64" s="47" t="n">
        <f aca="false">MAX(0,MIN(AD64-AE64,$C64-(H64+L64+P64+T64+X64+AB64)))</f>
        <v>0</v>
      </c>
      <c r="AG64" s="47" t="n">
        <f aca="false">ROUND(AD64-AE64-AF64,2)</f>
        <v>0</v>
      </c>
      <c r="AH64" s="47" t="n">
        <f aca="false">ROUND(AK63*(1+Sorted!$H$9),2)</f>
        <v>0</v>
      </c>
      <c r="AI64" s="47" t="n">
        <f aca="false">MIN(AH64,Sorted!$G$9)</f>
        <v>0</v>
      </c>
      <c r="AJ64" s="47" t="n">
        <f aca="false">MAX(0,MIN(AH64-AI64,$C64-(H64+L64+P64+T64+X64+AB64+AF64)))</f>
        <v>0</v>
      </c>
      <c r="AK64" s="47" t="n">
        <f aca="false">ROUND(AH64-AI64-AJ64,2)</f>
        <v>0</v>
      </c>
      <c r="AL64" s="47" t="n">
        <f aca="false">ROUND(AO63*(1+Sorted!$H$10),2)</f>
        <v>0</v>
      </c>
      <c r="AM64" s="47" t="n">
        <f aca="false">MIN(AL64,Sorted!$G$10)</f>
        <v>0</v>
      </c>
      <c r="AN64" s="47" t="n">
        <f aca="false">MAX(0,MIN(AL64-AM64,$C64-(H64+L64+P64+T64+X64+AB64+AF64+AJ64)))</f>
        <v>0</v>
      </c>
      <c r="AO64" s="47" t="n">
        <f aca="false">ROUND(AL64-AM64-AN64,2)</f>
        <v>0</v>
      </c>
      <c r="AP64" s="47" t="n">
        <f aca="false">ROUND(AS63*(1+Sorted!$H$11),2)</f>
        <v>0</v>
      </c>
      <c r="AQ64" s="47" t="n">
        <f aca="false">MIN(AP64,Sorted!$G$11)</f>
        <v>0</v>
      </c>
      <c r="AR64" s="47" t="n">
        <f aca="false">MAX(0,MIN(AP64-AQ64,$C64-(H64+L64+P64+T64+X64+AB64+AF64+AJ64+AN64)))</f>
        <v>0</v>
      </c>
      <c r="AS64" s="47" t="n">
        <f aca="false">ROUND(AP64-AQ64-AR64,2)</f>
        <v>0</v>
      </c>
    </row>
    <row r="65" customFormat="false" ht="15" hidden="false" customHeight="false" outlineLevel="0" collapsed="false">
      <c r="A65" s="45" t="n">
        <v>62</v>
      </c>
      <c r="B65" s="46" t="n">
        <f aca="false">EDATE('My Debts'!$C$7,A65-1)</f>
        <v>48183</v>
      </c>
      <c r="C65" s="47" t="n">
        <f aca="false">MAX(0,'My Debts'!$E$6-(G65+K65+O65+S65+W65+AA65+AE65+AI65+AM65+AQ65))</f>
        <v>730</v>
      </c>
      <c r="D65" s="47" t="n">
        <f aca="false">(F65+J65+N65+R65+V65+Z65+AD65+AH65+AL65+AP65)-(I65+M65+Q65+U65+Y65+AC65+AG65+AK65+AO65+AS65)</f>
        <v>0</v>
      </c>
      <c r="E65" s="48" t="n">
        <f aca="false">I65+M65+Q65+U65+Y65+AC65+AG65+AK65+AO65+AS65</f>
        <v>0</v>
      </c>
      <c r="F65" s="47" t="n">
        <f aca="false">ROUND(I64*(1+Sorted!$H$2),2)</f>
        <v>0</v>
      </c>
      <c r="G65" s="47" t="n">
        <f aca="false">MIN(F65,Sorted!$G$2)</f>
        <v>0</v>
      </c>
      <c r="H65" s="47" t="n">
        <f aca="false">MAX(0,MIN(F65-G65,$C65-(0)))</f>
        <v>0</v>
      </c>
      <c r="I65" s="47" t="n">
        <f aca="false">ROUND(F65-G65-H65,2)</f>
        <v>0</v>
      </c>
      <c r="J65" s="47" t="n">
        <f aca="false">ROUND(M64*(1+Sorted!$H$3),2)</f>
        <v>0</v>
      </c>
      <c r="K65" s="47" t="n">
        <f aca="false">MIN(J65,Sorted!$G$3)</f>
        <v>0</v>
      </c>
      <c r="L65" s="47" t="n">
        <f aca="false">MAX(0,MIN(J65-K65,$C65-(H65)))</f>
        <v>0</v>
      </c>
      <c r="M65" s="47" t="n">
        <f aca="false">ROUND(J65-K65-L65,2)</f>
        <v>0</v>
      </c>
      <c r="N65" s="47" t="n">
        <f aca="false">ROUND(Q64*(1+Sorted!$H$4),2)</f>
        <v>0</v>
      </c>
      <c r="O65" s="47" t="n">
        <f aca="false">MIN(N65,Sorted!$G$4)</f>
        <v>0</v>
      </c>
      <c r="P65" s="47" t="n">
        <f aca="false">MAX(0,MIN(N65-O65,$C65-(H65+L65)))</f>
        <v>0</v>
      </c>
      <c r="Q65" s="47" t="n">
        <f aca="false">ROUND(N65-O65-P65,2)</f>
        <v>0</v>
      </c>
      <c r="R65" s="47" t="n">
        <f aca="false">ROUND(U64*(1+Sorted!$H$5),2)</f>
        <v>0</v>
      </c>
      <c r="S65" s="47" t="n">
        <f aca="false">MIN(R65,Sorted!$G$5)</f>
        <v>0</v>
      </c>
      <c r="T65" s="47" t="n">
        <f aca="false">MAX(0,MIN(R65-S65,$C65-(H65+L65+P65)))</f>
        <v>0</v>
      </c>
      <c r="U65" s="47" t="n">
        <f aca="false">ROUND(R65-S65-T65,2)</f>
        <v>0</v>
      </c>
      <c r="V65" s="47" t="n">
        <f aca="false">ROUND(Y64*(1+Sorted!$H$6),2)</f>
        <v>0</v>
      </c>
      <c r="W65" s="47" t="n">
        <f aca="false">MIN(V65,Sorted!$G$6)</f>
        <v>0</v>
      </c>
      <c r="X65" s="47" t="n">
        <f aca="false">MAX(0,MIN(V65-W65,$C65-(H65+L65+P65+T65)))</f>
        <v>0</v>
      </c>
      <c r="Y65" s="47" t="n">
        <f aca="false">ROUND(V65-W65-X65,2)</f>
        <v>0</v>
      </c>
      <c r="Z65" s="47" t="n">
        <f aca="false">ROUND(AC64*(1+Sorted!$H$7),2)</f>
        <v>0</v>
      </c>
      <c r="AA65" s="47" t="n">
        <f aca="false">MIN(Z65,Sorted!$G$7)</f>
        <v>0</v>
      </c>
      <c r="AB65" s="47" t="n">
        <f aca="false">MAX(0,MIN(Z65-AA65,$C65-(H65+L65+P65+T65+X65)))</f>
        <v>0</v>
      </c>
      <c r="AC65" s="47" t="n">
        <f aca="false">ROUND(Z65-AA65-AB65,2)</f>
        <v>0</v>
      </c>
      <c r="AD65" s="47" t="n">
        <f aca="false">ROUND(AG64*(1+Sorted!$H$8),2)</f>
        <v>0</v>
      </c>
      <c r="AE65" s="47" t="n">
        <f aca="false">MIN(AD65,Sorted!$G$8)</f>
        <v>0</v>
      </c>
      <c r="AF65" s="47" t="n">
        <f aca="false">MAX(0,MIN(AD65-AE65,$C65-(H65+L65+P65+T65+X65+AB65)))</f>
        <v>0</v>
      </c>
      <c r="AG65" s="47" t="n">
        <f aca="false">ROUND(AD65-AE65-AF65,2)</f>
        <v>0</v>
      </c>
      <c r="AH65" s="47" t="n">
        <f aca="false">ROUND(AK64*(1+Sorted!$H$9),2)</f>
        <v>0</v>
      </c>
      <c r="AI65" s="47" t="n">
        <f aca="false">MIN(AH65,Sorted!$G$9)</f>
        <v>0</v>
      </c>
      <c r="AJ65" s="47" t="n">
        <f aca="false">MAX(0,MIN(AH65-AI65,$C65-(H65+L65+P65+T65+X65+AB65+AF65)))</f>
        <v>0</v>
      </c>
      <c r="AK65" s="47" t="n">
        <f aca="false">ROUND(AH65-AI65-AJ65,2)</f>
        <v>0</v>
      </c>
      <c r="AL65" s="47" t="n">
        <f aca="false">ROUND(AO64*(1+Sorted!$H$10),2)</f>
        <v>0</v>
      </c>
      <c r="AM65" s="47" t="n">
        <f aca="false">MIN(AL65,Sorted!$G$10)</f>
        <v>0</v>
      </c>
      <c r="AN65" s="47" t="n">
        <f aca="false">MAX(0,MIN(AL65-AM65,$C65-(H65+L65+P65+T65+X65+AB65+AF65+AJ65)))</f>
        <v>0</v>
      </c>
      <c r="AO65" s="47" t="n">
        <f aca="false">ROUND(AL65-AM65-AN65,2)</f>
        <v>0</v>
      </c>
      <c r="AP65" s="47" t="n">
        <f aca="false">ROUND(AS64*(1+Sorted!$H$11),2)</f>
        <v>0</v>
      </c>
      <c r="AQ65" s="47" t="n">
        <f aca="false">MIN(AP65,Sorted!$G$11)</f>
        <v>0</v>
      </c>
      <c r="AR65" s="47" t="n">
        <f aca="false">MAX(0,MIN(AP65-AQ65,$C65-(H65+L65+P65+T65+X65+AB65+AF65+AJ65+AN65)))</f>
        <v>0</v>
      </c>
      <c r="AS65" s="47" t="n">
        <f aca="false">ROUND(AP65-AQ65-AR65,2)</f>
        <v>0</v>
      </c>
    </row>
    <row r="66" customFormat="false" ht="15" hidden="false" customHeight="false" outlineLevel="0" collapsed="false">
      <c r="A66" s="45" t="n">
        <v>63</v>
      </c>
      <c r="B66" s="46" t="n">
        <f aca="false">EDATE('My Debts'!$C$7,A66-1)</f>
        <v>48214</v>
      </c>
      <c r="C66" s="47" t="n">
        <f aca="false">MAX(0,'My Debts'!$E$6-(G66+K66+O66+S66+W66+AA66+AE66+AI66+AM66+AQ66))</f>
        <v>730</v>
      </c>
      <c r="D66" s="47" t="n">
        <f aca="false">(F66+J66+N66+R66+V66+Z66+AD66+AH66+AL66+AP66)-(I66+M66+Q66+U66+Y66+AC66+AG66+AK66+AO66+AS66)</f>
        <v>0</v>
      </c>
      <c r="E66" s="48" t="n">
        <f aca="false">I66+M66+Q66+U66+Y66+AC66+AG66+AK66+AO66+AS66</f>
        <v>0</v>
      </c>
      <c r="F66" s="47" t="n">
        <f aca="false">ROUND(I65*(1+Sorted!$H$2),2)</f>
        <v>0</v>
      </c>
      <c r="G66" s="47" t="n">
        <f aca="false">MIN(F66,Sorted!$G$2)</f>
        <v>0</v>
      </c>
      <c r="H66" s="47" t="n">
        <f aca="false">MAX(0,MIN(F66-G66,$C66-(0)))</f>
        <v>0</v>
      </c>
      <c r="I66" s="47" t="n">
        <f aca="false">ROUND(F66-G66-H66,2)</f>
        <v>0</v>
      </c>
      <c r="J66" s="47" t="n">
        <f aca="false">ROUND(M65*(1+Sorted!$H$3),2)</f>
        <v>0</v>
      </c>
      <c r="K66" s="47" t="n">
        <f aca="false">MIN(J66,Sorted!$G$3)</f>
        <v>0</v>
      </c>
      <c r="L66" s="47" t="n">
        <f aca="false">MAX(0,MIN(J66-K66,$C66-(H66)))</f>
        <v>0</v>
      </c>
      <c r="M66" s="47" t="n">
        <f aca="false">ROUND(J66-K66-L66,2)</f>
        <v>0</v>
      </c>
      <c r="N66" s="47" t="n">
        <f aca="false">ROUND(Q65*(1+Sorted!$H$4),2)</f>
        <v>0</v>
      </c>
      <c r="O66" s="47" t="n">
        <f aca="false">MIN(N66,Sorted!$G$4)</f>
        <v>0</v>
      </c>
      <c r="P66" s="47" t="n">
        <f aca="false">MAX(0,MIN(N66-O66,$C66-(H66+L66)))</f>
        <v>0</v>
      </c>
      <c r="Q66" s="47" t="n">
        <f aca="false">ROUND(N66-O66-P66,2)</f>
        <v>0</v>
      </c>
      <c r="R66" s="47" t="n">
        <f aca="false">ROUND(U65*(1+Sorted!$H$5),2)</f>
        <v>0</v>
      </c>
      <c r="S66" s="47" t="n">
        <f aca="false">MIN(R66,Sorted!$G$5)</f>
        <v>0</v>
      </c>
      <c r="T66" s="47" t="n">
        <f aca="false">MAX(0,MIN(R66-S66,$C66-(H66+L66+P66)))</f>
        <v>0</v>
      </c>
      <c r="U66" s="47" t="n">
        <f aca="false">ROUND(R66-S66-T66,2)</f>
        <v>0</v>
      </c>
      <c r="V66" s="47" t="n">
        <f aca="false">ROUND(Y65*(1+Sorted!$H$6),2)</f>
        <v>0</v>
      </c>
      <c r="W66" s="47" t="n">
        <f aca="false">MIN(V66,Sorted!$G$6)</f>
        <v>0</v>
      </c>
      <c r="X66" s="47" t="n">
        <f aca="false">MAX(0,MIN(V66-W66,$C66-(H66+L66+P66+T66)))</f>
        <v>0</v>
      </c>
      <c r="Y66" s="47" t="n">
        <f aca="false">ROUND(V66-W66-X66,2)</f>
        <v>0</v>
      </c>
      <c r="Z66" s="47" t="n">
        <f aca="false">ROUND(AC65*(1+Sorted!$H$7),2)</f>
        <v>0</v>
      </c>
      <c r="AA66" s="47" t="n">
        <f aca="false">MIN(Z66,Sorted!$G$7)</f>
        <v>0</v>
      </c>
      <c r="AB66" s="47" t="n">
        <f aca="false">MAX(0,MIN(Z66-AA66,$C66-(H66+L66+P66+T66+X66)))</f>
        <v>0</v>
      </c>
      <c r="AC66" s="47" t="n">
        <f aca="false">ROUND(Z66-AA66-AB66,2)</f>
        <v>0</v>
      </c>
      <c r="AD66" s="47" t="n">
        <f aca="false">ROUND(AG65*(1+Sorted!$H$8),2)</f>
        <v>0</v>
      </c>
      <c r="AE66" s="47" t="n">
        <f aca="false">MIN(AD66,Sorted!$G$8)</f>
        <v>0</v>
      </c>
      <c r="AF66" s="47" t="n">
        <f aca="false">MAX(0,MIN(AD66-AE66,$C66-(H66+L66+P66+T66+X66+AB66)))</f>
        <v>0</v>
      </c>
      <c r="AG66" s="47" t="n">
        <f aca="false">ROUND(AD66-AE66-AF66,2)</f>
        <v>0</v>
      </c>
      <c r="AH66" s="47" t="n">
        <f aca="false">ROUND(AK65*(1+Sorted!$H$9),2)</f>
        <v>0</v>
      </c>
      <c r="AI66" s="47" t="n">
        <f aca="false">MIN(AH66,Sorted!$G$9)</f>
        <v>0</v>
      </c>
      <c r="AJ66" s="47" t="n">
        <f aca="false">MAX(0,MIN(AH66-AI66,$C66-(H66+L66+P66+T66+X66+AB66+AF66)))</f>
        <v>0</v>
      </c>
      <c r="AK66" s="47" t="n">
        <f aca="false">ROUND(AH66-AI66-AJ66,2)</f>
        <v>0</v>
      </c>
      <c r="AL66" s="47" t="n">
        <f aca="false">ROUND(AO65*(1+Sorted!$H$10),2)</f>
        <v>0</v>
      </c>
      <c r="AM66" s="47" t="n">
        <f aca="false">MIN(AL66,Sorted!$G$10)</f>
        <v>0</v>
      </c>
      <c r="AN66" s="47" t="n">
        <f aca="false">MAX(0,MIN(AL66-AM66,$C66-(H66+L66+P66+T66+X66+AB66+AF66+AJ66)))</f>
        <v>0</v>
      </c>
      <c r="AO66" s="47" t="n">
        <f aca="false">ROUND(AL66-AM66-AN66,2)</f>
        <v>0</v>
      </c>
      <c r="AP66" s="47" t="n">
        <f aca="false">ROUND(AS65*(1+Sorted!$H$11),2)</f>
        <v>0</v>
      </c>
      <c r="AQ66" s="47" t="n">
        <f aca="false">MIN(AP66,Sorted!$G$11)</f>
        <v>0</v>
      </c>
      <c r="AR66" s="47" t="n">
        <f aca="false">MAX(0,MIN(AP66-AQ66,$C66-(H66+L66+P66+T66+X66+AB66+AF66+AJ66+AN66)))</f>
        <v>0</v>
      </c>
      <c r="AS66" s="47" t="n">
        <f aca="false">ROUND(AP66-AQ66-AR66,2)</f>
        <v>0</v>
      </c>
    </row>
    <row r="67" customFormat="false" ht="15" hidden="false" customHeight="false" outlineLevel="0" collapsed="false">
      <c r="A67" s="45" t="n">
        <v>64</v>
      </c>
      <c r="B67" s="46" t="n">
        <f aca="false">EDATE('My Debts'!$C$7,A67-1)</f>
        <v>48245</v>
      </c>
      <c r="C67" s="47" t="n">
        <f aca="false">MAX(0,'My Debts'!$E$6-(G67+K67+O67+S67+W67+AA67+AE67+AI67+AM67+AQ67))</f>
        <v>730</v>
      </c>
      <c r="D67" s="47" t="n">
        <f aca="false">(F67+J67+N67+R67+V67+Z67+AD67+AH67+AL67+AP67)-(I67+M67+Q67+U67+Y67+AC67+AG67+AK67+AO67+AS67)</f>
        <v>0</v>
      </c>
      <c r="E67" s="48" t="n">
        <f aca="false">I67+M67+Q67+U67+Y67+AC67+AG67+AK67+AO67+AS67</f>
        <v>0</v>
      </c>
      <c r="F67" s="47" t="n">
        <f aca="false">ROUND(I66*(1+Sorted!$H$2),2)</f>
        <v>0</v>
      </c>
      <c r="G67" s="47" t="n">
        <f aca="false">MIN(F67,Sorted!$G$2)</f>
        <v>0</v>
      </c>
      <c r="H67" s="47" t="n">
        <f aca="false">MAX(0,MIN(F67-G67,$C67-(0)))</f>
        <v>0</v>
      </c>
      <c r="I67" s="47" t="n">
        <f aca="false">ROUND(F67-G67-H67,2)</f>
        <v>0</v>
      </c>
      <c r="J67" s="47" t="n">
        <f aca="false">ROUND(M66*(1+Sorted!$H$3),2)</f>
        <v>0</v>
      </c>
      <c r="K67" s="47" t="n">
        <f aca="false">MIN(J67,Sorted!$G$3)</f>
        <v>0</v>
      </c>
      <c r="L67" s="47" t="n">
        <f aca="false">MAX(0,MIN(J67-K67,$C67-(H67)))</f>
        <v>0</v>
      </c>
      <c r="M67" s="47" t="n">
        <f aca="false">ROUND(J67-K67-L67,2)</f>
        <v>0</v>
      </c>
      <c r="N67" s="47" t="n">
        <f aca="false">ROUND(Q66*(1+Sorted!$H$4),2)</f>
        <v>0</v>
      </c>
      <c r="O67" s="47" t="n">
        <f aca="false">MIN(N67,Sorted!$G$4)</f>
        <v>0</v>
      </c>
      <c r="P67" s="47" t="n">
        <f aca="false">MAX(0,MIN(N67-O67,$C67-(H67+L67)))</f>
        <v>0</v>
      </c>
      <c r="Q67" s="47" t="n">
        <f aca="false">ROUND(N67-O67-P67,2)</f>
        <v>0</v>
      </c>
      <c r="R67" s="47" t="n">
        <f aca="false">ROUND(U66*(1+Sorted!$H$5),2)</f>
        <v>0</v>
      </c>
      <c r="S67" s="47" t="n">
        <f aca="false">MIN(R67,Sorted!$G$5)</f>
        <v>0</v>
      </c>
      <c r="T67" s="47" t="n">
        <f aca="false">MAX(0,MIN(R67-S67,$C67-(H67+L67+P67)))</f>
        <v>0</v>
      </c>
      <c r="U67" s="47" t="n">
        <f aca="false">ROUND(R67-S67-T67,2)</f>
        <v>0</v>
      </c>
      <c r="V67" s="47" t="n">
        <f aca="false">ROUND(Y66*(1+Sorted!$H$6),2)</f>
        <v>0</v>
      </c>
      <c r="W67" s="47" t="n">
        <f aca="false">MIN(V67,Sorted!$G$6)</f>
        <v>0</v>
      </c>
      <c r="X67" s="47" t="n">
        <f aca="false">MAX(0,MIN(V67-W67,$C67-(H67+L67+P67+T67)))</f>
        <v>0</v>
      </c>
      <c r="Y67" s="47" t="n">
        <f aca="false">ROUND(V67-W67-X67,2)</f>
        <v>0</v>
      </c>
      <c r="Z67" s="47" t="n">
        <f aca="false">ROUND(AC66*(1+Sorted!$H$7),2)</f>
        <v>0</v>
      </c>
      <c r="AA67" s="47" t="n">
        <f aca="false">MIN(Z67,Sorted!$G$7)</f>
        <v>0</v>
      </c>
      <c r="AB67" s="47" t="n">
        <f aca="false">MAX(0,MIN(Z67-AA67,$C67-(H67+L67+P67+T67+X67)))</f>
        <v>0</v>
      </c>
      <c r="AC67" s="47" t="n">
        <f aca="false">ROUND(Z67-AA67-AB67,2)</f>
        <v>0</v>
      </c>
      <c r="AD67" s="47" t="n">
        <f aca="false">ROUND(AG66*(1+Sorted!$H$8),2)</f>
        <v>0</v>
      </c>
      <c r="AE67" s="47" t="n">
        <f aca="false">MIN(AD67,Sorted!$G$8)</f>
        <v>0</v>
      </c>
      <c r="AF67" s="47" t="n">
        <f aca="false">MAX(0,MIN(AD67-AE67,$C67-(H67+L67+P67+T67+X67+AB67)))</f>
        <v>0</v>
      </c>
      <c r="AG67" s="47" t="n">
        <f aca="false">ROUND(AD67-AE67-AF67,2)</f>
        <v>0</v>
      </c>
      <c r="AH67" s="47" t="n">
        <f aca="false">ROUND(AK66*(1+Sorted!$H$9),2)</f>
        <v>0</v>
      </c>
      <c r="AI67" s="47" t="n">
        <f aca="false">MIN(AH67,Sorted!$G$9)</f>
        <v>0</v>
      </c>
      <c r="AJ67" s="47" t="n">
        <f aca="false">MAX(0,MIN(AH67-AI67,$C67-(H67+L67+P67+T67+X67+AB67+AF67)))</f>
        <v>0</v>
      </c>
      <c r="AK67" s="47" t="n">
        <f aca="false">ROUND(AH67-AI67-AJ67,2)</f>
        <v>0</v>
      </c>
      <c r="AL67" s="47" t="n">
        <f aca="false">ROUND(AO66*(1+Sorted!$H$10),2)</f>
        <v>0</v>
      </c>
      <c r="AM67" s="47" t="n">
        <f aca="false">MIN(AL67,Sorted!$G$10)</f>
        <v>0</v>
      </c>
      <c r="AN67" s="47" t="n">
        <f aca="false">MAX(0,MIN(AL67-AM67,$C67-(H67+L67+P67+T67+X67+AB67+AF67+AJ67)))</f>
        <v>0</v>
      </c>
      <c r="AO67" s="47" t="n">
        <f aca="false">ROUND(AL67-AM67-AN67,2)</f>
        <v>0</v>
      </c>
      <c r="AP67" s="47" t="n">
        <f aca="false">ROUND(AS66*(1+Sorted!$H$11),2)</f>
        <v>0</v>
      </c>
      <c r="AQ67" s="47" t="n">
        <f aca="false">MIN(AP67,Sorted!$G$11)</f>
        <v>0</v>
      </c>
      <c r="AR67" s="47" t="n">
        <f aca="false">MAX(0,MIN(AP67-AQ67,$C67-(H67+L67+P67+T67+X67+AB67+AF67+AJ67+AN67)))</f>
        <v>0</v>
      </c>
      <c r="AS67" s="47" t="n">
        <f aca="false">ROUND(AP67-AQ67-AR67,2)</f>
        <v>0</v>
      </c>
    </row>
    <row r="68" customFormat="false" ht="15" hidden="false" customHeight="false" outlineLevel="0" collapsed="false">
      <c r="A68" s="45" t="n">
        <v>65</v>
      </c>
      <c r="B68" s="46" t="n">
        <f aca="false">EDATE('My Debts'!$C$7,A68-1)</f>
        <v>48274</v>
      </c>
      <c r="C68" s="47" t="n">
        <f aca="false">MAX(0,'My Debts'!$E$6-(G68+K68+O68+S68+W68+AA68+AE68+AI68+AM68+AQ68))</f>
        <v>730</v>
      </c>
      <c r="D68" s="47" t="n">
        <f aca="false">(F68+J68+N68+R68+V68+Z68+AD68+AH68+AL68+AP68)-(I68+M68+Q68+U68+Y68+AC68+AG68+AK68+AO68+AS68)</f>
        <v>0</v>
      </c>
      <c r="E68" s="48" t="n">
        <f aca="false">I68+M68+Q68+U68+Y68+AC68+AG68+AK68+AO68+AS68</f>
        <v>0</v>
      </c>
      <c r="F68" s="47" t="n">
        <f aca="false">ROUND(I67*(1+Sorted!$H$2),2)</f>
        <v>0</v>
      </c>
      <c r="G68" s="47" t="n">
        <f aca="false">MIN(F68,Sorted!$G$2)</f>
        <v>0</v>
      </c>
      <c r="H68" s="47" t="n">
        <f aca="false">MAX(0,MIN(F68-G68,$C68-(0)))</f>
        <v>0</v>
      </c>
      <c r="I68" s="47" t="n">
        <f aca="false">ROUND(F68-G68-H68,2)</f>
        <v>0</v>
      </c>
      <c r="J68" s="47" t="n">
        <f aca="false">ROUND(M67*(1+Sorted!$H$3),2)</f>
        <v>0</v>
      </c>
      <c r="K68" s="47" t="n">
        <f aca="false">MIN(J68,Sorted!$G$3)</f>
        <v>0</v>
      </c>
      <c r="L68" s="47" t="n">
        <f aca="false">MAX(0,MIN(J68-K68,$C68-(H68)))</f>
        <v>0</v>
      </c>
      <c r="M68" s="47" t="n">
        <f aca="false">ROUND(J68-K68-L68,2)</f>
        <v>0</v>
      </c>
      <c r="N68" s="47" t="n">
        <f aca="false">ROUND(Q67*(1+Sorted!$H$4),2)</f>
        <v>0</v>
      </c>
      <c r="O68" s="47" t="n">
        <f aca="false">MIN(N68,Sorted!$G$4)</f>
        <v>0</v>
      </c>
      <c r="P68" s="47" t="n">
        <f aca="false">MAX(0,MIN(N68-O68,$C68-(H68+L68)))</f>
        <v>0</v>
      </c>
      <c r="Q68" s="47" t="n">
        <f aca="false">ROUND(N68-O68-P68,2)</f>
        <v>0</v>
      </c>
      <c r="R68" s="47" t="n">
        <f aca="false">ROUND(U67*(1+Sorted!$H$5),2)</f>
        <v>0</v>
      </c>
      <c r="S68" s="47" t="n">
        <f aca="false">MIN(R68,Sorted!$G$5)</f>
        <v>0</v>
      </c>
      <c r="T68" s="47" t="n">
        <f aca="false">MAX(0,MIN(R68-S68,$C68-(H68+L68+P68)))</f>
        <v>0</v>
      </c>
      <c r="U68" s="47" t="n">
        <f aca="false">ROUND(R68-S68-T68,2)</f>
        <v>0</v>
      </c>
      <c r="V68" s="47" t="n">
        <f aca="false">ROUND(Y67*(1+Sorted!$H$6),2)</f>
        <v>0</v>
      </c>
      <c r="W68" s="47" t="n">
        <f aca="false">MIN(V68,Sorted!$G$6)</f>
        <v>0</v>
      </c>
      <c r="X68" s="47" t="n">
        <f aca="false">MAX(0,MIN(V68-W68,$C68-(H68+L68+P68+T68)))</f>
        <v>0</v>
      </c>
      <c r="Y68" s="47" t="n">
        <f aca="false">ROUND(V68-W68-X68,2)</f>
        <v>0</v>
      </c>
      <c r="Z68" s="47" t="n">
        <f aca="false">ROUND(AC67*(1+Sorted!$H$7),2)</f>
        <v>0</v>
      </c>
      <c r="AA68" s="47" t="n">
        <f aca="false">MIN(Z68,Sorted!$G$7)</f>
        <v>0</v>
      </c>
      <c r="AB68" s="47" t="n">
        <f aca="false">MAX(0,MIN(Z68-AA68,$C68-(H68+L68+P68+T68+X68)))</f>
        <v>0</v>
      </c>
      <c r="AC68" s="47" t="n">
        <f aca="false">ROUND(Z68-AA68-AB68,2)</f>
        <v>0</v>
      </c>
      <c r="AD68" s="47" t="n">
        <f aca="false">ROUND(AG67*(1+Sorted!$H$8),2)</f>
        <v>0</v>
      </c>
      <c r="AE68" s="47" t="n">
        <f aca="false">MIN(AD68,Sorted!$G$8)</f>
        <v>0</v>
      </c>
      <c r="AF68" s="47" t="n">
        <f aca="false">MAX(0,MIN(AD68-AE68,$C68-(H68+L68+P68+T68+X68+AB68)))</f>
        <v>0</v>
      </c>
      <c r="AG68" s="47" t="n">
        <f aca="false">ROUND(AD68-AE68-AF68,2)</f>
        <v>0</v>
      </c>
      <c r="AH68" s="47" t="n">
        <f aca="false">ROUND(AK67*(1+Sorted!$H$9),2)</f>
        <v>0</v>
      </c>
      <c r="AI68" s="47" t="n">
        <f aca="false">MIN(AH68,Sorted!$G$9)</f>
        <v>0</v>
      </c>
      <c r="AJ68" s="47" t="n">
        <f aca="false">MAX(0,MIN(AH68-AI68,$C68-(H68+L68+P68+T68+X68+AB68+AF68)))</f>
        <v>0</v>
      </c>
      <c r="AK68" s="47" t="n">
        <f aca="false">ROUND(AH68-AI68-AJ68,2)</f>
        <v>0</v>
      </c>
      <c r="AL68" s="47" t="n">
        <f aca="false">ROUND(AO67*(1+Sorted!$H$10),2)</f>
        <v>0</v>
      </c>
      <c r="AM68" s="47" t="n">
        <f aca="false">MIN(AL68,Sorted!$G$10)</f>
        <v>0</v>
      </c>
      <c r="AN68" s="47" t="n">
        <f aca="false">MAX(0,MIN(AL68-AM68,$C68-(H68+L68+P68+T68+X68+AB68+AF68+AJ68)))</f>
        <v>0</v>
      </c>
      <c r="AO68" s="47" t="n">
        <f aca="false">ROUND(AL68-AM68-AN68,2)</f>
        <v>0</v>
      </c>
      <c r="AP68" s="47" t="n">
        <f aca="false">ROUND(AS67*(1+Sorted!$H$11),2)</f>
        <v>0</v>
      </c>
      <c r="AQ68" s="47" t="n">
        <f aca="false">MIN(AP68,Sorted!$G$11)</f>
        <v>0</v>
      </c>
      <c r="AR68" s="47" t="n">
        <f aca="false">MAX(0,MIN(AP68-AQ68,$C68-(H68+L68+P68+T68+X68+AB68+AF68+AJ68+AN68)))</f>
        <v>0</v>
      </c>
      <c r="AS68" s="47" t="n">
        <f aca="false">ROUND(AP68-AQ68-AR68,2)</f>
        <v>0</v>
      </c>
    </row>
    <row r="69" customFormat="false" ht="15" hidden="false" customHeight="false" outlineLevel="0" collapsed="false">
      <c r="A69" s="45" t="n">
        <v>66</v>
      </c>
      <c r="B69" s="46" t="n">
        <f aca="false">EDATE('My Debts'!$C$7,A69-1)</f>
        <v>48305</v>
      </c>
      <c r="C69" s="47" t="n">
        <f aca="false">MAX(0,'My Debts'!$E$6-(G69+K69+O69+S69+W69+AA69+AE69+AI69+AM69+AQ69))</f>
        <v>730</v>
      </c>
      <c r="D69" s="47" t="n">
        <f aca="false">(F69+J69+N69+R69+V69+Z69+AD69+AH69+AL69+AP69)-(I69+M69+Q69+U69+Y69+AC69+AG69+AK69+AO69+AS69)</f>
        <v>0</v>
      </c>
      <c r="E69" s="48" t="n">
        <f aca="false">I69+M69+Q69+U69+Y69+AC69+AG69+AK69+AO69+AS69</f>
        <v>0</v>
      </c>
      <c r="F69" s="47" t="n">
        <f aca="false">ROUND(I68*(1+Sorted!$H$2),2)</f>
        <v>0</v>
      </c>
      <c r="G69" s="47" t="n">
        <f aca="false">MIN(F69,Sorted!$G$2)</f>
        <v>0</v>
      </c>
      <c r="H69" s="47" t="n">
        <f aca="false">MAX(0,MIN(F69-G69,$C69-(0)))</f>
        <v>0</v>
      </c>
      <c r="I69" s="47" t="n">
        <f aca="false">ROUND(F69-G69-H69,2)</f>
        <v>0</v>
      </c>
      <c r="J69" s="47" t="n">
        <f aca="false">ROUND(M68*(1+Sorted!$H$3),2)</f>
        <v>0</v>
      </c>
      <c r="K69" s="47" t="n">
        <f aca="false">MIN(J69,Sorted!$G$3)</f>
        <v>0</v>
      </c>
      <c r="L69" s="47" t="n">
        <f aca="false">MAX(0,MIN(J69-K69,$C69-(H69)))</f>
        <v>0</v>
      </c>
      <c r="M69" s="47" t="n">
        <f aca="false">ROUND(J69-K69-L69,2)</f>
        <v>0</v>
      </c>
      <c r="N69" s="47" t="n">
        <f aca="false">ROUND(Q68*(1+Sorted!$H$4),2)</f>
        <v>0</v>
      </c>
      <c r="O69" s="47" t="n">
        <f aca="false">MIN(N69,Sorted!$G$4)</f>
        <v>0</v>
      </c>
      <c r="P69" s="47" t="n">
        <f aca="false">MAX(0,MIN(N69-O69,$C69-(H69+L69)))</f>
        <v>0</v>
      </c>
      <c r="Q69" s="47" t="n">
        <f aca="false">ROUND(N69-O69-P69,2)</f>
        <v>0</v>
      </c>
      <c r="R69" s="47" t="n">
        <f aca="false">ROUND(U68*(1+Sorted!$H$5),2)</f>
        <v>0</v>
      </c>
      <c r="S69" s="47" t="n">
        <f aca="false">MIN(R69,Sorted!$G$5)</f>
        <v>0</v>
      </c>
      <c r="T69" s="47" t="n">
        <f aca="false">MAX(0,MIN(R69-S69,$C69-(H69+L69+P69)))</f>
        <v>0</v>
      </c>
      <c r="U69" s="47" t="n">
        <f aca="false">ROUND(R69-S69-T69,2)</f>
        <v>0</v>
      </c>
      <c r="V69" s="47" t="n">
        <f aca="false">ROUND(Y68*(1+Sorted!$H$6),2)</f>
        <v>0</v>
      </c>
      <c r="W69" s="47" t="n">
        <f aca="false">MIN(V69,Sorted!$G$6)</f>
        <v>0</v>
      </c>
      <c r="X69" s="47" t="n">
        <f aca="false">MAX(0,MIN(V69-W69,$C69-(H69+L69+P69+T69)))</f>
        <v>0</v>
      </c>
      <c r="Y69" s="47" t="n">
        <f aca="false">ROUND(V69-W69-X69,2)</f>
        <v>0</v>
      </c>
      <c r="Z69" s="47" t="n">
        <f aca="false">ROUND(AC68*(1+Sorted!$H$7),2)</f>
        <v>0</v>
      </c>
      <c r="AA69" s="47" t="n">
        <f aca="false">MIN(Z69,Sorted!$G$7)</f>
        <v>0</v>
      </c>
      <c r="AB69" s="47" t="n">
        <f aca="false">MAX(0,MIN(Z69-AA69,$C69-(H69+L69+P69+T69+X69)))</f>
        <v>0</v>
      </c>
      <c r="AC69" s="47" t="n">
        <f aca="false">ROUND(Z69-AA69-AB69,2)</f>
        <v>0</v>
      </c>
      <c r="AD69" s="47" t="n">
        <f aca="false">ROUND(AG68*(1+Sorted!$H$8),2)</f>
        <v>0</v>
      </c>
      <c r="AE69" s="47" t="n">
        <f aca="false">MIN(AD69,Sorted!$G$8)</f>
        <v>0</v>
      </c>
      <c r="AF69" s="47" t="n">
        <f aca="false">MAX(0,MIN(AD69-AE69,$C69-(H69+L69+P69+T69+X69+AB69)))</f>
        <v>0</v>
      </c>
      <c r="AG69" s="47" t="n">
        <f aca="false">ROUND(AD69-AE69-AF69,2)</f>
        <v>0</v>
      </c>
      <c r="AH69" s="47" t="n">
        <f aca="false">ROUND(AK68*(1+Sorted!$H$9),2)</f>
        <v>0</v>
      </c>
      <c r="AI69" s="47" t="n">
        <f aca="false">MIN(AH69,Sorted!$G$9)</f>
        <v>0</v>
      </c>
      <c r="AJ69" s="47" t="n">
        <f aca="false">MAX(0,MIN(AH69-AI69,$C69-(H69+L69+P69+T69+X69+AB69+AF69)))</f>
        <v>0</v>
      </c>
      <c r="AK69" s="47" t="n">
        <f aca="false">ROUND(AH69-AI69-AJ69,2)</f>
        <v>0</v>
      </c>
      <c r="AL69" s="47" t="n">
        <f aca="false">ROUND(AO68*(1+Sorted!$H$10),2)</f>
        <v>0</v>
      </c>
      <c r="AM69" s="47" t="n">
        <f aca="false">MIN(AL69,Sorted!$G$10)</f>
        <v>0</v>
      </c>
      <c r="AN69" s="47" t="n">
        <f aca="false">MAX(0,MIN(AL69-AM69,$C69-(H69+L69+P69+T69+X69+AB69+AF69+AJ69)))</f>
        <v>0</v>
      </c>
      <c r="AO69" s="47" t="n">
        <f aca="false">ROUND(AL69-AM69-AN69,2)</f>
        <v>0</v>
      </c>
      <c r="AP69" s="47" t="n">
        <f aca="false">ROUND(AS68*(1+Sorted!$H$11),2)</f>
        <v>0</v>
      </c>
      <c r="AQ69" s="47" t="n">
        <f aca="false">MIN(AP69,Sorted!$G$11)</f>
        <v>0</v>
      </c>
      <c r="AR69" s="47" t="n">
        <f aca="false">MAX(0,MIN(AP69-AQ69,$C69-(H69+L69+P69+T69+X69+AB69+AF69+AJ69+AN69)))</f>
        <v>0</v>
      </c>
      <c r="AS69" s="47" t="n">
        <f aca="false">ROUND(AP69-AQ69-AR69,2)</f>
        <v>0</v>
      </c>
    </row>
    <row r="70" customFormat="false" ht="15" hidden="false" customHeight="false" outlineLevel="0" collapsed="false">
      <c r="A70" s="45" t="n">
        <v>67</v>
      </c>
      <c r="B70" s="46" t="n">
        <f aca="false">EDATE('My Debts'!$C$7,A70-1)</f>
        <v>48335</v>
      </c>
      <c r="C70" s="47" t="n">
        <f aca="false">MAX(0,'My Debts'!$E$6-(G70+K70+O70+S70+W70+AA70+AE70+AI70+AM70+AQ70))</f>
        <v>730</v>
      </c>
      <c r="D70" s="47" t="n">
        <f aca="false">(F70+J70+N70+R70+V70+Z70+AD70+AH70+AL70+AP70)-(I70+M70+Q70+U70+Y70+AC70+AG70+AK70+AO70+AS70)</f>
        <v>0</v>
      </c>
      <c r="E70" s="48" t="n">
        <f aca="false">I70+M70+Q70+U70+Y70+AC70+AG70+AK70+AO70+AS70</f>
        <v>0</v>
      </c>
      <c r="F70" s="47" t="n">
        <f aca="false">ROUND(I69*(1+Sorted!$H$2),2)</f>
        <v>0</v>
      </c>
      <c r="G70" s="47" t="n">
        <f aca="false">MIN(F70,Sorted!$G$2)</f>
        <v>0</v>
      </c>
      <c r="H70" s="47" t="n">
        <f aca="false">MAX(0,MIN(F70-G70,$C70-(0)))</f>
        <v>0</v>
      </c>
      <c r="I70" s="47" t="n">
        <f aca="false">ROUND(F70-G70-H70,2)</f>
        <v>0</v>
      </c>
      <c r="J70" s="47" t="n">
        <f aca="false">ROUND(M69*(1+Sorted!$H$3),2)</f>
        <v>0</v>
      </c>
      <c r="K70" s="47" t="n">
        <f aca="false">MIN(J70,Sorted!$G$3)</f>
        <v>0</v>
      </c>
      <c r="L70" s="47" t="n">
        <f aca="false">MAX(0,MIN(J70-K70,$C70-(H70)))</f>
        <v>0</v>
      </c>
      <c r="M70" s="47" t="n">
        <f aca="false">ROUND(J70-K70-L70,2)</f>
        <v>0</v>
      </c>
      <c r="N70" s="47" t="n">
        <f aca="false">ROUND(Q69*(1+Sorted!$H$4),2)</f>
        <v>0</v>
      </c>
      <c r="O70" s="47" t="n">
        <f aca="false">MIN(N70,Sorted!$G$4)</f>
        <v>0</v>
      </c>
      <c r="P70" s="47" t="n">
        <f aca="false">MAX(0,MIN(N70-O70,$C70-(H70+L70)))</f>
        <v>0</v>
      </c>
      <c r="Q70" s="47" t="n">
        <f aca="false">ROUND(N70-O70-P70,2)</f>
        <v>0</v>
      </c>
      <c r="R70" s="47" t="n">
        <f aca="false">ROUND(U69*(1+Sorted!$H$5),2)</f>
        <v>0</v>
      </c>
      <c r="S70" s="47" t="n">
        <f aca="false">MIN(R70,Sorted!$G$5)</f>
        <v>0</v>
      </c>
      <c r="T70" s="47" t="n">
        <f aca="false">MAX(0,MIN(R70-S70,$C70-(H70+L70+P70)))</f>
        <v>0</v>
      </c>
      <c r="U70" s="47" t="n">
        <f aca="false">ROUND(R70-S70-T70,2)</f>
        <v>0</v>
      </c>
      <c r="V70" s="47" t="n">
        <f aca="false">ROUND(Y69*(1+Sorted!$H$6),2)</f>
        <v>0</v>
      </c>
      <c r="W70" s="47" t="n">
        <f aca="false">MIN(V70,Sorted!$G$6)</f>
        <v>0</v>
      </c>
      <c r="X70" s="47" t="n">
        <f aca="false">MAX(0,MIN(V70-W70,$C70-(H70+L70+P70+T70)))</f>
        <v>0</v>
      </c>
      <c r="Y70" s="47" t="n">
        <f aca="false">ROUND(V70-W70-X70,2)</f>
        <v>0</v>
      </c>
      <c r="Z70" s="47" t="n">
        <f aca="false">ROUND(AC69*(1+Sorted!$H$7),2)</f>
        <v>0</v>
      </c>
      <c r="AA70" s="47" t="n">
        <f aca="false">MIN(Z70,Sorted!$G$7)</f>
        <v>0</v>
      </c>
      <c r="AB70" s="47" t="n">
        <f aca="false">MAX(0,MIN(Z70-AA70,$C70-(H70+L70+P70+T70+X70)))</f>
        <v>0</v>
      </c>
      <c r="AC70" s="47" t="n">
        <f aca="false">ROUND(Z70-AA70-AB70,2)</f>
        <v>0</v>
      </c>
      <c r="AD70" s="47" t="n">
        <f aca="false">ROUND(AG69*(1+Sorted!$H$8),2)</f>
        <v>0</v>
      </c>
      <c r="AE70" s="47" t="n">
        <f aca="false">MIN(AD70,Sorted!$G$8)</f>
        <v>0</v>
      </c>
      <c r="AF70" s="47" t="n">
        <f aca="false">MAX(0,MIN(AD70-AE70,$C70-(H70+L70+P70+T70+X70+AB70)))</f>
        <v>0</v>
      </c>
      <c r="AG70" s="47" t="n">
        <f aca="false">ROUND(AD70-AE70-AF70,2)</f>
        <v>0</v>
      </c>
      <c r="AH70" s="47" t="n">
        <f aca="false">ROUND(AK69*(1+Sorted!$H$9),2)</f>
        <v>0</v>
      </c>
      <c r="AI70" s="47" t="n">
        <f aca="false">MIN(AH70,Sorted!$G$9)</f>
        <v>0</v>
      </c>
      <c r="AJ70" s="47" t="n">
        <f aca="false">MAX(0,MIN(AH70-AI70,$C70-(H70+L70+P70+T70+X70+AB70+AF70)))</f>
        <v>0</v>
      </c>
      <c r="AK70" s="47" t="n">
        <f aca="false">ROUND(AH70-AI70-AJ70,2)</f>
        <v>0</v>
      </c>
      <c r="AL70" s="47" t="n">
        <f aca="false">ROUND(AO69*(1+Sorted!$H$10),2)</f>
        <v>0</v>
      </c>
      <c r="AM70" s="47" t="n">
        <f aca="false">MIN(AL70,Sorted!$G$10)</f>
        <v>0</v>
      </c>
      <c r="AN70" s="47" t="n">
        <f aca="false">MAX(0,MIN(AL70-AM70,$C70-(H70+L70+P70+T70+X70+AB70+AF70+AJ70)))</f>
        <v>0</v>
      </c>
      <c r="AO70" s="47" t="n">
        <f aca="false">ROUND(AL70-AM70-AN70,2)</f>
        <v>0</v>
      </c>
      <c r="AP70" s="47" t="n">
        <f aca="false">ROUND(AS69*(1+Sorted!$H$11),2)</f>
        <v>0</v>
      </c>
      <c r="AQ70" s="47" t="n">
        <f aca="false">MIN(AP70,Sorted!$G$11)</f>
        <v>0</v>
      </c>
      <c r="AR70" s="47" t="n">
        <f aca="false">MAX(0,MIN(AP70-AQ70,$C70-(H70+L70+P70+T70+X70+AB70+AF70+AJ70+AN70)))</f>
        <v>0</v>
      </c>
      <c r="AS70" s="47" t="n">
        <f aca="false">ROUND(AP70-AQ70-AR70,2)</f>
        <v>0</v>
      </c>
    </row>
    <row r="71" customFormat="false" ht="15" hidden="false" customHeight="false" outlineLevel="0" collapsed="false">
      <c r="A71" s="45" t="n">
        <v>68</v>
      </c>
      <c r="B71" s="46" t="n">
        <f aca="false">EDATE('My Debts'!$C$7,A71-1)</f>
        <v>48366</v>
      </c>
      <c r="C71" s="47" t="n">
        <f aca="false">MAX(0,'My Debts'!$E$6-(G71+K71+O71+S71+W71+AA71+AE71+AI71+AM71+AQ71))</f>
        <v>730</v>
      </c>
      <c r="D71" s="47" t="n">
        <f aca="false">(F71+J71+N71+R71+V71+Z71+AD71+AH71+AL71+AP71)-(I71+M71+Q71+U71+Y71+AC71+AG71+AK71+AO71+AS71)</f>
        <v>0</v>
      </c>
      <c r="E71" s="48" t="n">
        <f aca="false">I71+M71+Q71+U71+Y71+AC71+AG71+AK71+AO71+AS71</f>
        <v>0</v>
      </c>
      <c r="F71" s="47" t="n">
        <f aca="false">ROUND(I70*(1+Sorted!$H$2),2)</f>
        <v>0</v>
      </c>
      <c r="G71" s="47" t="n">
        <f aca="false">MIN(F71,Sorted!$G$2)</f>
        <v>0</v>
      </c>
      <c r="H71" s="47" t="n">
        <f aca="false">MAX(0,MIN(F71-G71,$C71-(0)))</f>
        <v>0</v>
      </c>
      <c r="I71" s="47" t="n">
        <f aca="false">ROUND(F71-G71-H71,2)</f>
        <v>0</v>
      </c>
      <c r="J71" s="47" t="n">
        <f aca="false">ROUND(M70*(1+Sorted!$H$3),2)</f>
        <v>0</v>
      </c>
      <c r="K71" s="47" t="n">
        <f aca="false">MIN(J71,Sorted!$G$3)</f>
        <v>0</v>
      </c>
      <c r="L71" s="47" t="n">
        <f aca="false">MAX(0,MIN(J71-K71,$C71-(H71)))</f>
        <v>0</v>
      </c>
      <c r="M71" s="47" t="n">
        <f aca="false">ROUND(J71-K71-L71,2)</f>
        <v>0</v>
      </c>
      <c r="N71" s="47" t="n">
        <f aca="false">ROUND(Q70*(1+Sorted!$H$4),2)</f>
        <v>0</v>
      </c>
      <c r="O71" s="47" t="n">
        <f aca="false">MIN(N71,Sorted!$G$4)</f>
        <v>0</v>
      </c>
      <c r="P71" s="47" t="n">
        <f aca="false">MAX(0,MIN(N71-O71,$C71-(H71+L71)))</f>
        <v>0</v>
      </c>
      <c r="Q71" s="47" t="n">
        <f aca="false">ROUND(N71-O71-P71,2)</f>
        <v>0</v>
      </c>
      <c r="R71" s="47" t="n">
        <f aca="false">ROUND(U70*(1+Sorted!$H$5),2)</f>
        <v>0</v>
      </c>
      <c r="S71" s="47" t="n">
        <f aca="false">MIN(R71,Sorted!$G$5)</f>
        <v>0</v>
      </c>
      <c r="T71" s="47" t="n">
        <f aca="false">MAX(0,MIN(R71-S71,$C71-(H71+L71+P71)))</f>
        <v>0</v>
      </c>
      <c r="U71" s="47" t="n">
        <f aca="false">ROUND(R71-S71-T71,2)</f>
        <v>0</v>
      </c>
      <c r="V71" s="47" t="n">
        <f aca="false">ROUND(Y70*(1+Sorted!$H$6),2)</f>
        <v>0</v>
      </c>
      <c r="W71" s="47" t="n">
        <f aca="false">MIN(V71,Sorted!$G$6)</f>
        <v>0</v>
      </c>
      <c r="X71" s="47" t="n">
        <f aca="false">MAX(0,MIN(V71-W71,$C71-(H71+L71+P71+T71)))</f>
        <v>0</v>
      </c>
      <c r="Y71" s="47" t="n">
        <f aca="false">ROUND(V71-W71-X71,2)</f>
        <v>0</v>
      </c>
      <c r="Z71" s="47" t="n">
        <f aca="false">ROUND(AC70*(1+Sorted!$H$7),2)</f>
        <v>0</v>
      </c>
      <c r="AA71" s="47" t="n">
        <f aca="false">MIN(Z71,Sorted!$G$7)</f>
        <v>0</v>
      </c>
      <c r="AB71" s="47" t="n">
        <f aca="false">MAX(0,MIN(Z71-AA71,$C71-(H71+L71+P71+T71+X71)))</f>
        <v>0</v>
      </c>
      <c r="AC71" s="47" t="n">
        <f aca="false">ROUND(Z71-AA71-AB71,2)</f>
        <v>0</v>
      </c>
      <c r="AD71" s="47" t="n">
        <f aca="false">ROUND(AG70*(1+Sorted!$H$8),2)</f>
        <v>0</v>
      </c>
      <c r="AE71" s="47" t="n">
        <f aca="false">MIN(AD71,Sorted!$G$8)</f>
        <v>0</v>
      </c>
      <c r="AF71" s="47" t="n">
        <f aca="false">MAX(0,MIN(AD71-AE71,$C71-(H71+L71+P71+T71+X71+AB71)))</f>
        <v>0</v>
      </c>
      <c r="AG71" s="47" t="n">
        <f aca="false">ROUND(AD71-AE71-AF71,2)</f>
        <v>0</v>
      </c>
      <c r="AH71" s="47" t="n">
        <f aca="false">ROUND(AK70*(1+Sorted!$H$9),2)</f>
        <v>0</v>
      </c>
      <c r="AI71" s="47" t="n">
        <f aca="false">MIN(AH71,Sorted!$G$9)</f>
        <v>0</v>
      </c>
      <c r="AJ71" s="47" t="n">
        <f aca="false">MAX(0,MIN(AH71-AI71,$C71-(H71+L71+P71+T71+X71+AB71+AF71)))</f>
        <v>0</v>
      </c>
      <c r="AK71" s="47" t="n">
        <f aca="false">ROUND(AH71-AI71-AJ71,2)</f>
        <v>0</v>
      </c>
      <c r="AL71" s="47" t="n">
        <f aca="false">ROUND(AO70*(1+Sorted!$H$10),2)</f>
        <v>0</v>
      </c>
      <c r="AM71" s="47" t="n">
        <f aca="false">MIN(AL71,Sorted!$G$10)</f>
        <v>0</v>
      </c>
      <c r="AN71" s="47" t="n">
        <f aca="false">MAX(0,MIN(AL71-AM71,$C71-(H71+L71+P71+T71+X71+AB71+AF71+AJ71)))</f>
        <v>0</v>
      </c>
      <c r="AO71" s="47" t="n">
        <f aca="false">ROUND(AL71-AM71-AN71,2)</f>
        <v>0</v>
      </c>
      <c r="AP71" s="47" t="n">
        <f aca="false">ROUND(AS70*(1+Sorted!$H$11),2)</f>
        <v>0</v>
      </c>
      <c r="AQ71" s="47" t="n">
        <f aca="false">MIN(AP71,Sorted!$G$11)</f>
        <v>0</v>
      </c>
      <c r="AR71" s="47" t="n">
        <f aca="false">MAX(0,MIN(AP71-AQ71,$C71-(H71+L71+P71+T71+X71+AB71+AF71+AJ71+AN71)))</f>
        <v>0</v>
      </c>
      <c r="AS71" s="47" t="n">
        <f aca="false">ROUND(AP71-AQ71-AR71,2)</f>
        <v>0</v>
      </c>
    </row>
    <row r="72" customFormat="false" ht="15" hidden="false" customHeight="false" outlineLevel="0" collapsed="false">
      <c r="A72" s="45" t="n">
        <v>69</v>
      </c>
      <c r="B72" s="46" t="n">
        <f aca="false">EDATE('My Debts'!$C$7,A72-1)</f>
        <v>48396</v>
      </c>
      <c r="C72" s="47" t="n">
        <f aca="false">MAX(0,'My Debts'!$E$6-(G72+K72+O72+S72+W72+AA72+AE72+AI72+AM72+AQ72))</f>
        <v>730</v>
      </c>
      <c r="D72" s="47" t="n">
        <f aca="false">(F72+J72+N72+R72+V72+Z72+AD72+AH72+AL72+AP72)-(I72+M72+Q72+U72+Y72+AC72+AG72+AK72+AO72+AS72)</f>
        <v>0</v>
      </c>
      <c r="E72" s="48" t="n">
        <f aca="false">I72+M72+Q72+U72+Y72+AC72+AG72+AK72+AO72+AS72</f>
        <v>0</v>
      </c>
      <c r="F72" s="47" t="n">
        <f aca="false">ROUND(I71*(1+Sorted!$H$2),2)</f>
        <v>0</v>
      </c>
      <c r="G72" s="47" t="n">
        <f aca="false">MIN(F72,Sorted!$G$2)</f>
        <v>0</v>
      </c>
      <c r="H72" s="47" t="n">
        <f aca="false">MAX(0,MIN(F72-G72,$C72-(0)))</f>
        <v>0</v>
      </c>
      <c r="I72" s="47" t="n">
        <f aca="false">ROUND(F72-G72-H72,2)</f>
        <v>0</v>
      </c>
      <c r="J72" s="47" t="n">
        <f aca="false">ROUND(M71*(1+Sorted!$H$3),2)</f>
        <v>0</v>
      </c>
      <c r="K72" s="47" t="n">
        <f aca="false">MIN(J72,Sorted!$G$3)</f>
        <v>0</v>
      </c>
      <c r="L72" s="47" t="n">
        <f aca="false">MAX(0,MIN(J72-K72,$C72-(H72)))</f>
        <v>0</v>
      </c>
      <c r="M72" s="47" t="n">
        <f aca="false">ROUND(J72-K72-L72,2)</f>
        <v>0</v>
      </c>
      <c r="N72" s="47" t="n">
        <f aca="false">ROUND(Q71*(1+Sorted!$H$4),2)</f>
        <v>0</v>
      </c>
      <c r="O72" s="47" t="n">
        <f aca="false">MIN(N72,Sorted!$G$4)</f>
        <v>0</v>
      </c>
      <c r="P72" s="47" t="n">
        <f aca="false">MAX(0,MIN(N72-O72,$C72-(H72+L72)))</f>
        <v>0</v>
      </c>
      <c r="Q72" s="47" t="n">
        <f aca="false">ROUND(N72-O72-P72,2)</f>
        <v>0</v>
      </c>
      <c r="R72" s="47" t="n">
        <f aca="false">ROUND(U71*(1+Sorted!$H$5),2)</f>
        <v>0</v>
      </c>
      <c r="S72" s="47" t="n">
        <f aca="false">MIN(R72,Sorted!$G$5)</f>
        <v>0</v>
      </c>
      <c r="T72" s="47" t="n">
        <f aca="false">MAX(0,MIN(R72-S72,$C72-(H72+L72+P72)))</f>
        <v>0</v>
      </c>
      <c r="U72" s="47" t="n">
        <f aca="false">ROUND(R72-S72-T72,2)</f>
        <v>0</v>
      </c>
      <c r="V72" s="47" t="n">
        <f aca="false">ROUND(Y71*(1+Sorted!$H$6),2)</f>
        <v>0</v>
      </c>
      <c r="W72" s="47" t="n">
        <f aca="false">MIN(V72,Sorted!$G$6)</f>
        <v>0</v>
      </c>
      <c r="X72" s="47" t="n">
        <f aca="false">MAX(0,MIN(V72-W72,$C72-(H72+L72+P72+T72)))</f>
        <v>0</v>
      </c>
      <c r="Y72" s="47" t="n">
        <f aca="false">ROUND(V72-W72-X72,2)</f>
        <v>0</v>
      </c>
      <c r="Z72" s="47" t="n">
        <f aca="false">ROUND(AC71*(1+Sorted!$H$7),2)</f>
        <v>0</v>
      </c>
      <c r="AA72" s="47" t="n">
        <f aca="false">MIN(Z72,Sorted!$G$7)</f>
        <v>0</v>
      </c>
      <c r="AB72" s="47" t="n">
        <f aca="false">MAX(0,MIN(Z72-AA72,$C72-(H72+L72+P72+T72+X72)))</f>
        <v>0</v>
      </c>
      <c r="AC72" s="47" t="n">
        <f aca="false">ROUND(Z72-AA72-AB72,2)</f>
        <v>0</v>
      </c>
      <c r="AD72" s="47" t="n">
        <f aca="false">ROUND(AG71*(1+Sorted!$H$8),2)</f>
        <v>0</v>
      </c>
      <c r="AE72" s="47" t="n">
        <f aca="false">MIN(AD72,Sorted!$G$8)</f>
        <v>0</v>
      </c>
      <c r="AF72" s="47" t="n">
        <f aca="false">MAX(0,MIN(AD72-AE72,$C72-(H72+L72+P72+T72+X72+AB72)))</f>
        <v>0</v>
      </c>
      <c r="AG72" s="47" t="n">
        <f aca="false">ROUND(AD72-AE72-AF72,2)</f>
        <v>0</v>
      </c>
      <c r="AH72" s="47" t="n">
        <f aca="false">ROUND(AK71*(1+Sorted!$H$9),2)</f>
        <v>0</v>
      </c>
      <c r="AI72" s="47" t="n">
        <f aca="false">MIN(AH72,Sorted!$G$9)</f>
        <v>0</v>
      </c>
      <c r="AJ72" s="47" t="n">
        <f aca="false">MAX(0,MIN(AH72-AI72,$C72-(H72+L72+P72+T72+X72+AB72+AF72)))</f>
        <v>0</v>
      </c>
      <c r="AK72" s="47" t="n">
        <f aca="false">ROUND(AH72-AI72-AJ72,2)</f>
        <v>0</v>
      </c>
      <c r="AL72" s="47" t="n">
        <f aca="false">ROUND(AO71*(1+Sorted!$H$10),2)</f>
        <v>0</v>
      </c>
      <c r="AM72" s="47" t="n">
        <f aca="false">MIN(AL72,Sorted!$G$10)</f>
        <v>0</v>
      </c>
      <c r="AN72" s="47" t="n">
        <f aca="false">MAX(0,MIN(AL72-AM72,$C72-(H72+L72+P72+T72+X72+AB72+AF72+AJ72)))</f>
        <v>0</v>
      </c>
      <c r="AO72" s="47" t="n">
        <f aca="false">ROUND(AL72-AM72-AN72,2)</f>
        <v>0</v>
      </c>
      <c r="AP72" s="47" t="n">
        <f aca="false">ROUND(AS71*(1+Sorted!$H$11),2)</f>
        <v>0</v>
      </c>
      <c r="AQ72" s="47" t="n">
        <f aca="false">MIN(AP72,Sorted!$G$11)</f>
        <v>0</v>
      </c>
      <c r="AR72" s="47" t="n">
        <f aca="false">MAX(0,MIN(AP72-AQ72,$C72-(H72+L72+P72+T72+X72+AB72+AF72+AJ72+AN72)))</f>
        <v>0</v>
      </c>
      <c r="AS72" s="47" t="n">
        <f aca="false">ROUND(AP72-AQ72-AR72,2)</f>
        <v>0</v>
      </c>
    </row>
    <row r="73" customFormat="false" ht="15" hidden="false" customHeight="false" outlineLevel="0" collapsed="false">
      <c r="A73" s="45" t="n">
        <v>70</v>
      </c>
      <c r="B73" s="46" t="n">
        <f aca="false">EDATE('My Debts'!$C$7,A73-1)</f>
        <v>48427</v>
      </c>
      <c r="C73" s="47" t="n">
        <f aca="false">MAX(0,'My Debts'!$E$6-(G73+K73+O73+S73+W73+AA73+AE73+AI73+AM73+AQ73))</f>
        <v>730</v>
      </c>
      <c r="D73" s="47" t="n">
        <f aca="false">(F73+J73+N73+R73+V73+Z73+AD73+AH73+AL73+AP73)-(I73+M73+Q73+U73+Y73+AC73+AG73+AK73+AO73+AS73)</f>
        <v>0</v>
      </c>
      <c r="E73" s="48" t="n">
        <f aca="false">I73+M73+Q73+U73+Y73+AC73+AG73+AK73+AO73+AS73</f>
        <v>0</v>
      </c>
      <c r="F73" s="47" t="n">
        <f aca="false">ROUND(I72*(1+Sorted!$H$2),2)</f>
        <v>0</v>
      </c>
      <c r="G73" s="47" t="n">
        <f aca="false">MIN(F73,Sorted!$G$2)</f>
        <v>0</v>
      </c>
      <c r="H73" s="47" t="n">
        <f aca="false">MAX(0,MIN(F73-G73,$C73-(0)))</f>
        <v>0</v>
      </c>
      <c r="I73" s="47" t="n">
        <f aca="false">ROUND(F73-G73-H73,2)</f>
        <v>0</v>
      </c>
      <c r="J73" s="47" t="n">
        <f aca="false">ROUND(M72*(1+Sorted!$H$3),2)</f>
        <v>0</v>
      </c>
      <c r="K73" s="47" t="n">
        <f aca="false">MIN(J73,Sorted!$G$3)</f>
        <v>0</v>
      </c>
      <c r="L73" s="47" t="n">
        <f aca="false">MAX(0,MIN(J73-K73,$C73-(H73)))</f>
        <v>0</v>
      </c>
      <c r="M73" s="47" t="n">
        <f aca="false">ROUND(J73-K73-L73,2)</f>
        <v>0</v>
      </c>
      <c r="N73" s="47" t="n">
        <f aca="false">ROUND(Q72*(1+Sorted!$H$4),2)</f>
        <v>0</v>
      </c>
      <c r="O73" s="47" t="n">
        <f aca="false">MIN(N73,Sorted!$G$4)</f>
        <v>0</v>
      </c>
      <c r="P73" s="47" t="n">
        <f aca="false">MAX(0,MIN(N73-O73,$C73-(H73+L73)))</f>
        <v>0</v>
      </c>
      <c r="Q73" s="47" t="n">
        <f aca="false">ROUND(N73-O73-P73,2)</f>
        <v>0</v>
      </c>
      <c r="R73" s="47" t="n">
        <f aca="false">ROUND(U72*(1+Sorted!$H$5),2)</f>
        <v>0</v>
      </c>
      <c r="S73" s="47" t="n">
        <f aca="false">MIN(R73,Sorted!$G$5)</f>
        <v>0</v>
      </c>
      <c r="T73" s="47" t="n">
        <f aca="false">MAX(0,MIN(R73-S73,$C73-(H73+L73+P73)))</f>
        <v>0</v>
      </c>
      <c r="U73" s="47" t="n">
        <f aca="false">ROUND(R73-S73-T73,2)</f>
        <v>0</v>
      </c>
      <c r="V73" s="47" t="n">
        <f aca="false">ROUND(Y72*(1+Sorted!$H$6),2)</f>
        <v>0</v>
      </c>
      <c r="W73" s="47" t="n">
        <f aca="false">MIN(V73,Sorted!$G$6)</f>
        <v>0</v>
      </c>
      <c r="X73" s="47" t="n">
        <f aca="false">MAX(0,MIN(V73-W73,$C73-(H73+L73+P73+T73)))</f>
        <v>0</v>
      </c>
      <c r="Y73" s="47" t="n">
        <f aca="false">ROUND(V73-W73-X73,2)</f>
        <v>0</v>
      </c>
      <c r="Z73" s="47" t="n">
        <f aca="false">ROUND(AC72*(1+Sorted!$H$7),2)</f>
        <v>0</v>
      </c>
      <c r="AA73" s="47" t="n">
        <f aca="false">MIN(Z73,Sorted!$G$7)</f>
        <v>0</v>
      </c>
      <c r="AB73" s="47" t="n">
        <f aca="false">MAX(0,MIN(Z73-AA73,$C73-(H73+L73+P73+T73+X73)))</f>
        <v>0</v>
      </c>
      <c r="AC73" s="47" t="n">
        <f aca="false">ROUND(Z73-AA73-AB73,2)</f>
        <v>0</v>
      </c>
      <c r="AD73" s="47" t="n">
        <f aca="false">ROUND(AG72*(1+Sorted!$H$8),2)</f>
        <v>0</v>
      </c>
      <c r="AE73" s="47" t="n">
        <f aca="false">MIN(AD73,Sorted!$G$8)</f>
        <v>0</v>
      </c>
      <c r="AF73" s="47" t="n">
        <f aca="false">MAX(0,MIN(AD73-AE73,$C73-(H73+L73+P73+T73+X73+AB73)))</f>
        <v>0</v>
      </c>
      <c r="AG73" s="47" t="n">
        <f aca="false">ROUND(AD73-AE73-AF73,2)</f>
        <v>0</v>
      </c>
      <c r="AH73" s="47" t="n">
        <f aca="false">ROUND(AK72*(1+Sorted!$H$9),2)</f>
        <v>0</v>
      </c>
      <c r="AI73" s="47" t="n">
        <f aca="false">MIN(AH73,Sorted!$G$9)</f>
        <v>0</v>
      </c>
      <c r="AJ73" s="47" t="n">
        <f aca="false">MAX(0,MIN(AH73-AI73,$C73-(H73+L73+P73+T73+X73+AB73+AF73)))</f>
        <v>0</v>
      </c>
      <c r="AK73" s="47" t="n">
        <f aca="false">ROUND(AH73-AI73-AJ73,2)</f>
        <v>0</v>
      </c>
      <c r="AL73" s="47" t="n">
        <f aca="false">ROUND(AO72*(1+Sorted!$H$10),2)</f>
        <v>0</v>
      </c>
      <c r="AM73" s="47" t="n">
        <f aca="false">MIN(AL73,Sorted!$G$10)</f>
        <v>0</v>
      </c>
      <c r="AN73" s="47" t="n">
        <f aca="false">MAX(0,MIN(AL73-AM73,$C73-(H73+L73+P73+T73+X73+AB73+AF73+AJ73)))</f>
        <v>0</v>
      </c>
      <c r="AO73" s="47" t="n">
        <f aca="false">ROUND(AL73-AM73-AN73,2)</f>
        <v>0</v>
      </c>
      <c r="AP73" s="47" t="n">
        <f aca="false">ROUND(AS72*(1+Sorted!$H$11),2)</f>
        <v>0</v>
      </c>
      <c r="AQ73" s="47" t="n">
        <f aca="false">MIN(AP73,Sorted!$G$11)</f>
        <v>0</v>
      </c>
      <c r="AR73" s="47" t="n">
        <f aca="false">MAX(0,MIN(AP73-AQ73,$C73-(H73+L73+P73+T73+X73+AB73+AF73+AJ73+AN73)))</f>
        <v>0</v>
      </c>
      <c r="AS73" s="47" t="n">
        <f aca="false">ROUND(AP73-AQ73-AR73,2)</f>
        <v>0</v>
      </c>
    </row>
    <row r="74" customFormat="false" ht="15" hidden="false" customHeight="false" outlineLevel="0" collapsed="false">
      <c r="A74" s="45" t="n">
        <v>71</v>
      </c>
      <c r="B74" s="46" t="n">
        <f aca="false">EDATE('My Debts'!$C$7,A74-1)</f>
        <v>48458</v>
      </c>
      <c r="C74" s="47" t="n">
        <f aca="false">MAX(0,'My Debts'!$E$6-(G74+K74+O74+S74+W74+AA74+AE74+AI74+AM74+AQ74))</f>
        <v>730</v>
      </c>
      <c r="D74" s="47" t="n">
        <f aca="false">(F74+J74+N74+R74+V74+Z74+AD74+AH74+AL74+AP74)-(I74+M74+Q74+U74+Y74+AC74+AG74+AK74+AO74+AS74)</f>
        <v>0</v>
      </c>
      <c r="E74" s="48" t="n">
        <f aca="false">I74+M74+Q74+U74+Y74+AC74+AG74+AK74+AO74+AS74</f>
        <v>0</v>
      </c>
      <c r="F74" s="47" t="n">
        <f aca="false">ROUND(I73*(1+Sorted!$H$2),2)</f>
        <v>0</v>
      </c>
      <c r="G74" s="47" t="n">
        <f aca="false">MIN(F74,Sorted!$G$2)</f>
        <v>0</v>
      </c>
      <c r="H74" s="47" t="n">
        <f aca="false">MAX(0,MIN(F74-G74,$C74-(0)))</f>
        <v>0</v>
      </c>
      <c r="I74" s="47" t="n">
        <f aca="false">ROUND(F74-G74-H74,2)</f>
        <v>0</v>
      </c>
      <c r="J74" s="47" t="n">
        <f aca="false">ROUND(M73*(1+Sorted!$H$3),2)</f>
        <v>0</v>
      </c>
      <c r="K74" s="47" t="n">
        <f aca="false">MIN(J74,Sorted!$G$3)</f>
        <v>0</v>
      </c>
      <c r="L74" s="47" t="n">
        <f aca="false">MAX(0,MIN(J74-K74,$C74-(H74)))</f>
        <v>0</v>
      </c>
      <c r="M74" s="47" t="n">
        <f aca="false">ROUND(J74-K74-L74,2)</f>
        <v>0</v>
      </c>
      <c r="N74" s="47" t="n">
        <f aca="false">ROUND(Q73*(1+Sorted!$H$4),2)</f>
        <v>0</v>
      </c>
      <c r="O74" s="47" t="n">
        <f aca="false">MIN(N74,Sorted!$G$4)</f>
        <v>0</v>
      </c>
      <c r="P74" s="47" t="n">
        <f aca="false">MAX(0,MIN(N74-O74,$C74-(H74+L74)))</f>
        <v>0</v>
      </c>
      <c r="Q74" s="47" t="n">
        <f aca="false">ROUND(N74-O74-P74,2)</f>
        <v>0</v>
      </c>
      <c r="R74" s="47" t="n">
        <f aca="false">ROUND(U73*(1+Sorted!$H$5),2)</f>
        <v>0</v>
      </c>
      <c r="S74" s="47" t="n">
        <f aca="false">MIN(R74,Sorted!$G$5)</f>
        <v>0</v>
      </c>
      <c r="T74" s="47" t="n">
        <f aca="false">MAX(0,MIN(R74-S74,$C74-(H74+L74+P74)))</f>
        <v>0</v>
      </c>
      <c r="U74" s="47" t="n">
        <f aca="false">ROUND(R74-S74-T74,2)</f>
        <v>0</v>
      </c>
      <c r="V74" s="47" t="n">
        <f aca="false">ROUND(Y73*(1+Sorted!$H$6),2)</f>
        <v>0</v>
      </c>
      <c r="W74" s="47" t="n">
        <f aca="false">MIN(V74,Sorted!$G$6)</f>
        <v>0</v>
      </c>
      <c r="X74" s="47" t="n">
        <f aca="false">MAX(0,MIN(V74-W74,$C74-(H74+L74+P74+T74)))</f>
        <v>0</v>
      </c>
      <c r="Y74" s="47" t="n">
        <f aca="false">ROUND(V74-W74-X74,2)</f>
        <v>0</v>
      </c>
      <c r="Z74" s="47" t="n">
        <f aca="false">ROUND(AC73*(1+Sorted!$H$7),2)</f>
        <v>0</v>
      </c>
      <c r="AA74" s="47" t="n">
        <f aca="false">MIN(Z74,Sorted!$G$7)</f>
        <v>0</v>
      </c>
      <c r="AB74" s="47" t="n">
        <f aca="false">MAX(0,MIN(Z74-AA74,$C74-(H74+L74+P74+T74+X74)))</f>
        <v>0</v>
      </c>
      <c r="AC74" s="47" t="n">
        <f aca="false">ROUND(Z74-AA74-AB74,2)</f>
        <v>0</v>
      </c>
      <c r="AD74" s="47" t="n">
        <f aca="false">ROUND(AG73*(1+Sorted!$H$8),2)</f>
        <v>0</v>
      </c>
      <c r="AE74" s="47" t="n">
        <f aca="false">MIN(AD74,Sorted!$G$8)</f>
        <v>0</v>
      </c>
      <c r="AF74" s="47" t="n">
        <f aca="false">MAX(0,MIN(AD74-AE74,$C74-(H74+L74+P74+T74+X74+AB74)))</f>
        <v>0</v>
      </c>
      <c r="AG74" s="47" t="n">
        <f aca="false">ROUND(AD74-AE74-AF74,2)</f>
        <v>0</v>
      </c>
      <c r="AH74" s="47" t="n">
        <f aca="false">ROUND(AK73*(1+Sorted!$H$9),2)</f>
        <v>0</v>
      </c>
      <c r="AI74" s="47" t="n">
        <f aca="false">MIN(AH74,Sorted!$G$9)</f>
        <v>0</v>
      </c>
      <c r="AJ74" s="47" t="n">
        <f aca="false">MAX(0,MIN(AH74-AI74,$C74-(H74+L74+P74+T74+X74+AB74+AF74)))</f>
        <v>0</v>
      </c>
      <c r="AK74" s="47" t="n">
        <f aca="false">ROUND(AH74-AI74-AJ74,2)</f>
        <v>0</v>
      </c>
      <c r="AL74" s="47" t="n">
        <f aca="false">ROUND(AO73*(1+Sorted!$H$10),2)</f>
        <v>0</v>
      </c>
      <c r="AM74" s="47" t="n">
        <f aca="false">MIN(AL74,Sorted!$G$10)</f>
        <v>0</v>
      </c>
      <c r="AN74" s="47" t="n">
        <f aca="false">MAX(0,MIN(AL74-AM74,$C74-(H74+L74+P74+T74+X74+AB74+AF74+AJ74)))</f>
        <v>0</v>
      </c>
      <c r="AO74" s="47" t="n">
        <f aca="false">ROUND(AL74-AM74-AN74,2)</f>
        <v>0</v>
      </c>
      <c r="AP74" s="47" t="n">
        <f aca="false">ROUND(AS73*(1+Sorted!$H$11),2)</f>
        <v>0</v>
      </c>
      <c r="AQ74" s="47" t="n">
        <f aca="false">MIN(AP74,Sorted!$G$11)</f>
        <v>0</v>
      </c>
      <c r="AR74" s="47" t="n">
        <f aca="false">MAX(0,MIN(AP74-AQ74,$C74-(H74+L74+P74+T74+X74+AB74+AF74+AJ74+AN74)))</f>
        <v>0</v>
      </c>
      <c r="AS74" s="47" t="n">
        <f aca="false">ROUND(AP74-AQ74-AR74,2)</f>
        <v>0</v>
      </c>
    </row>
    <row r="75" customFormat="false" ht="15" hidden="false" customHeight="false" outlineLevel="0" collapsed="false">
      <c r="A75" s="45" t="n">
        <v>72</v>
      </c>
      <c r="B75" s="46" t="n">
        <f aca="false">EDATE('My Debts'!$C$7,A75-1)</f>
        <v>48488</v>
      </c>
      <c r="C75" s="47" t="n">
        <f aca="false">MAX(0,'My Debts'!$E$6-(G75+K75+O75+S75+W75+AA75+AE75+AI75+AM75+AQ75))</f>
        <v>730</v>
      </c>
      <c r="D75" s="47" t="n">
        <f aca="false">(F75+J75+N75+R75+V75+Z75+AD75+AH75+AL75+AP75)-(I75+M75+Q75+U75+Y75+AC75+AG75+AK75+AO75+AS75)</f>
        <v>0</v>
      </c>
      <c r="E75" s="48" t="n">
        <f aca="false">I75+M75+Q75+U75+Y75+AC75+AG75+AK75+AO75+AS75</f>
        <v>0</v>
      </c>
      <c r="F75" s="47" t="n">
        <f aca="false">ROUND(I74*(1+Sorted!$H$2),2)</f>
        <v>0</v>
      </c>
      <c r="G75" s="47" t="n">
        <f aca="false">MIN(F75,Sorted!$G$2)</f>
        <v>0</v>
      </c>
      <c r="H75" s="47" t="n">
        <f aca="false">MAX(0,MIN(F75-G75,$C75-(0)))</f>
        <v>0</v>
      </c>
      <c r="I75" s="47" t="n">
        <f aca="false">ROUND(F75-G75-H75,2)</f>
        <v>0</v>
      </c>
      <c r="J75" s="47" t="n">
        <f aca="false">ROUND(M74*(1+Sorted!$H$3),2)</f>
        <v>0</v>
      </c>
      <c r="K75" s="47" t="n">
        <f aca="false">MIN(J75,Sorted!$G$3)</f>
        <v>0</v>
      </c>
      <c r="L75" s="47" t="n">
        <f aca="false">MAX(0,MIN(J75-K75,$C75-(H75)))</f>
        <v>0</v>
      </c>
      <c r="M75" s="47" t="n">
        <f aca="false">ROUND(J75-K75-L75,2)</f>
        <v>0</v>
      </c>
      <c r="N75" s="47" t="n">
        <f aca="false">ROUND(Q74*(1+Sorted!$H$4),2)</f>
        <v>0</v>
      </c>
      <c r="O75" s="47" t="n">
        <f aca="false">MIN(N75,Sorted!$G$4)</f>
        <v>0</v>
      </c>
      <c r="P75" s="47" t="n">
        <f aca="false">MAX(0,MIN(N75-O75,$C75-(H75+L75)))</f>
        <v>0</v>
      </c>
      <c r="Q75" s="47" t="n">
        <f aca="false">ROUND(N75-O75-P75,2)</f>
        <v>0</v>
      </c>
      <c r="R75" s="47" t="n">
        <f aca="false">ROUND(U74*(1+Sorted!$H$5),2)</f>
        <v>0</v>
      </c>
      <c r="S75" s="47" t="n">
        <f aca="false">MIN(R75,Sorted!$G$5)</f>
        <v>0</v>
      </c>
      <c r="T75" s="47" t="n">
        <f aca="false">MAX(0,MIN(R75-S75,$C75-(H75+L75+P75)))</f>
        <v>0</v>
      </c>
      <c r="U75" s="47" t="n">
        <f aca="false">ROUND(R75-S75-T75,2)</f>
        <v>0</v>
      </c>
      <c r="V75" s="47" t="n">
        <f aca="false">ROUND(Y74*(1+Sorted!$H$6),2)</f>
        <v>0</v>
      </c>
      <c r="W75" s="47" t="n">
        <f aca="false">MIN(V75,Sorted!$G$6)</f>
        <v>0</v>
      </c>
      <c r="X75" s="47" t="n">
        <f aca="false">MAX(0,MIN(V75-W75,$C75-(H75+L75+P75+T75)))</f>
        <v>0</v>
      </c>
      <c r="Y75" s="47" t="n">
        <f aca="false">ROUND(V75-W75-X75,2)</f>
        <v>0</v>
      </c>
      <c r="Z75" s="47" t="n">
        <f aca="false">ROUND(AC74*(1+Sorted!$H$7),2)</f>
        <v>0</v>
      </c>
      <c r="AA75" s="47" t="n">
        <f aca="false">MIN(Z75,Sorted!$G$7)</f>
        <v>0</v>
      </c>
      <c r="AB75" s="47" t="n">
        <f aca="false">MAX(0,MIN(Z75-AA75,$C75-(H75+L75+P75+T75+X75)))</f>
        <v>0</v>
      </c>
      <c r="AC75" s="47" t="n">
        <f aca="false">ROUND(Z75-AA75-AB75,2)</f>
        <v>0</v>
      </c>
      <c r="AD75" s="47" t="n">
        <f aca="false">ROUND(AG74*(1+Sorted!$H$8),2)</f>
        <v>0</v>
      </c>
      <c r="AE75" s="47" t="n">
        <f aca="false">MIN(AD75,Sorted!$G$8)</f>
        <v>0</v>
      </c>
      <c r="AF75" s="47" t="n">
        <f aca="false">MAX(0,MIN(AD75-AE75,$C75-(H75+L75+P75+T75+X75+AB75)))</f>
        <v>0</v>
      </c>
      <c r="AG75" s="47" t="n">
        <f aca="false">ROUND(AD75-AE75-AF75,2)</f>
        <v>0</v>
      </c>
      <c r="AH75" s="47" t="n">
        <f aca="false">ROUND(AK74*(1+Sorted!$H$9),2)</f>
        <v>0</v>
      </c>
      <c r="AI75" s="47" t="n">
        <f aca="false">MIN(AH75,Sorted!$G$9)</f>
        <v>0</v>
      </c>
      <c r="AJ75" s="47" t="n">
        <f aca="false">MAX(0,MIN(AH75-AI75,$C75-(H75+L75+P75+T75+X75+AB75+AF75)))</f>
        <v>0</v>
      </c>
      <c r="AK75" s="47" t="n">
        <f aca="false">ROUND(AH75-AI75-AJ75,2)</f>
        <v>0</v>
      </c>
      <c r="AL75" s="47" t="n">
        <f aca="false">ROUND(AO74*(1+Sorted!$H$10),2)</f>
        <v>0</v>
      </c>
      <c r="AM75" s="47" t="n">
        <f aca="false">MIN(AL75,Sorted!$G$10)</f>
        <v>0</v>
      </c>
      <c r="AN75" s="47" t="n">
        <f aca="false">MAX(0,MIN(AL75-AM75,$C75-(H75+L75+P75+T75+X75+AB75+AF75+AJ75)))</f>
        <v>0</v>
      </c>
      <c r="AO75" s="47" t="n">
        <f aca="false">ROUND(AL75-AM75-AN75,2)</f>
        <v>0</v>
      </c>
      <c r="AP75" s="47" t="n">
        <f aca="false">ROUND(AS74*(1+Sorted!$H$11),2)</f>
        <v>0</v>
      </c>
      <c r="AQ75" s="47" t="n">
        <f aca="false">MIN(AP75,Sorted!$G$11)</f>
        <v>0</v>
      </c>
      <c r="AR75" s="47" t="n">
        <f aca="false">MAX(0,MIN(AP75-AQ75,$C75-(H75+L75+P75+T75+X75+AB75+AF75+AJ75+AN75)))</f>
        <v>0</v>
      </c>
      <c r="AS75" s="47" t="n">
        <f aca="false">ROUND(AP75-AQ75-AR75,2)</f>
        <v>0</v>
      </c>
    </row>
    <row r="76" customFormat="false" ht="15" hidden="false" customHeight="false" outlineLevel="0" collapsed="false">
      <c r="A76" s="45" t="n">
        <v>73</v>
      </c>
      <c r="B76" s="46" t="n">
        <f aca="false">EDATE('My Debts'!$C$7,A76-1)</f>
        <v>48519</v>
      </c>
      <c r="C76" s="47" t="n">
        <f aca="false">MAX(0,'My Debts'!$E$6-(G76+K76+O76+S76+W76+AA76+AE76+AI76+AM76+AQ76))</f>
        <v>730</v>
      </c>
      <c r="D76" s="47" t="n">
        <f aca="false">(F76+J76+N76+R76+V76+Z76+AD76+AH76+AL76+AP76)-(I76+M76+Q76+U76+Y76+AC76+AG76+AK76+AO76+AS76)</f>
        <v>0</v>
      </c>
      <c r="E76" s="48" t="n">
        <f aca="false">I76+M76+Q76+U76+Y76+AC76+AG76+AK76+AO76+AS76</f>
        <v>0</v>
      </c>
      <c r="F76" s="47" t="n">
        <f aca="false">ROUND(I75*(1+Sorted!$H$2),2)</f>
        <v>0</v>
      </c>
      <c r="G76" s="47" t="n">
        <f aca="false">MIN(F76,Sorted!$G$2)</f>
        <v>0</v>
      </c>
      <c r="H76" s="47" t="n">
        <f aca="false">MAX(0,MIN(F76-G76,$C76-(0)))</f>
        <v>0</v>
      </c>
      <c r="I76" s="47" t="n">
        <f aca="false">ROUND(F76-G76-H76,2)</f>
        <v>0</v>
      </c>
      <c r="J76" s="47" t="n">
        <f aca="false">ROUND(M75*(1+Sorted!$H$3),2)</f>
        <v>0</v>
      </c>
      <c r="K76" s="47" t="n">
        <f aca="false">MIN(J76,Sorted!$G$3)</f>
        <v>0</v>
      </c>
      <c r="L76" s="47" t="n">
        <f aca="false">MAX(0,MIN(J76-K76,$C76-(H76)))</f>
        <v>0</v>
      </c>
      <c r="M76" s="47" t="n">
        <f aca="false">ROUND(J76-K76-L76,2)</f>
        <v>0</v>
      </c>
      <c r="N76" s="47" t="n">
        <f aca="false">ROUND(Q75*(1+Sorted!$H$4),2)</f>
        <v>0</v>
      </c>
      <c r="O76" s="47" t="n">
        <f aca="false">MIN(N76,Sorted!$G$4)</f>
        <v>0</v>
      </c>
      <c r="P76" s="47" t="n">
        <f aca="false">MAX(0,MIN(N76-O76,$C76-(H76+L76)))</f>
        <v>0</v>
      </c>
      <c r="Q76" s="47" t="n">
        <f aca="false">ROUND(N76-O76-P76,2)</f>
        <v>0</v>
      </c>
      <c r="R76" s="47" t="n">
        <f aca="false">ROUND(U75*(1+Sorted!$H$5),2)</f>
        <v>0</v>
      </c>
      <c r="S76" s="47" t="n">
        <f aca="false">MIN(R76,Sorted!$G$5)</f>
        <v>0</v>
      </c>
      <c r="T76" s="47" t="n">
        <f aca="false">MAX(0,MIN(R76-S76,$C76-(H76+L76+P76)))</f>
        <v>0</v>
      </c>
      <c r="U76" s="47" t="n">
        <f aca="false">ROUND(R76-S76-T76,2)</f>
        <v>0</v>
      </c>
      <c r="V76" s="47" t="n">
        <f aca="false">ROUND(Y75*(1+Sorted!$H$6),2)</f>
        <v>0</v>
      </c>
      <c r="W76" s="47" t="n">
        <f aca="false">MIN(V76,Sorted!$G$6)</f>
        <v>0</v>
      </c>
      <c r="X76" s="47" t="n">
        <f aca="false">MAX(0,MIN(V76-W76,$C76-(H76+L76+P76+T76)))</f>
        <v>0</v>
      </c>
      <c r="Y76" s="47" t="n">
        <f aca="false">ROUND(V76-W76-X76,2)</f>
        <v>0</v>
      </c>
      <c r="Z76" s="47" t="n">
        <f aca="false">ROUND(AC75*(1+Sorted!$H$7),2)</f>
        <v>0</v>
      </c>
      <c r="AA76" s="47" t="n">
        <f aca="false">MIN(Z76,Sorted!$G$7)</f>
        <v>0</v>
      </c>
      <c r="AB76" s="47" t="n">
        <f aca="false">MAX(0,MIN(Z76-AA76,$C76-(H76+L76+P76+T76+X76)))</f>
        <v>0</v>
      </c>
      <c r="AC76" s="47" t="n">
        <f aca="false">ROUND(Z76-AA76-AB76,2)</f>
        <v>0</v>
      </c>
      <c r="AD76" s="47" t="n">
        <f aca="false">ROUND(AG75*(1+Sorted!$H$8),2)</f>
        <v>0</v>
      </c>
      <c r="AE76" s="47" t="n">
        <f aca="false">MIN(AD76,Sorted!$G$8)</f>
        <v>0</v>
      </c>
      <c r="AF76" s="47" t="n">
        <f aca="false">MAX(0,MIN(AD76-AE76,$C76-(H76+L76+P76+T76+X76+AB76)))</f>
        <v>0</v>
      </c>
      <c r="AG76" s="47" t="n">
        <f aca="false">ROUND(AD76-AE76-AF76,2)</f>
        <v>0</v>
      </c>
      <c r="AH76" s="47" t="n">
        <f aca="false">ROUND(AK75*(1+Sorted!$H$9),2)</f>
        <v>0</v>
      </c>
      <c r="AI76" s="47" t="n">
        <f aca="false">MIN(AH76,Sorted!$G$9)</f>
        <v>0</v>
      </c>
      <c r="AJ76" s="47" t="n">
        <f aca="false">MAX(0,MIN(AH76-AI76,$C76-(H76+L76+P76+T76+X76+AB76+AF76)))</f>
        <v>0</v>
      </c>
      <c r="AK76" s="47" t="n">
        <f aca="false">ROUND(AH76-AI76-AJ76,2)</f>
        <v>0</v>
      </c>
      <c r="AL76" s="47" t="n">
        <f aca="false">ROUND(AO75*(1+Sorted!$H$10),2)</f>
        <v>0</v>
      </c>
      <c r="AM76" s="47" t="n">
        <f aca="false">MIN(AL76,Sorted!$G$10)</f>
        <v>0</v>
      </c>
      <c r="AN76" s="47" t="n">
        <f aca="false">MAX(0,MIN(AL76-AM76,$C76-(H76+L76+P76+T76+X76+AB76+AF76+AJ76)))</f>
        <v>0</v>
      </c>
      <c r="AO76" s="47" t="n">
        <f aca="false">ROUND(AL76-AM76-AN76,2)</f>
        <v>0</v>
      </c>
      <c r="AP76" s="47" t="n">
        <f aca="false">ROUND(AS75*(1+Sorted!$H$11),2)</f>
        <v>0</v>
      </c>
      <c r="AQ76" s="47" t="n">
        <f aca="false">MIN(AP76,Sorted!$G$11)</f>
        <v>0</v>
      </c>
      <c r="AR76" s="47" t="n">
        <f aca="false">MAX(0,MIN(AP76-AQ76,$C76-(H76+L76+P76+T76+X76+AB76+AF76+AJ76+AN76)))</f>
        <v>0</v>
      </c>
      <c r="AS76" s="47" t="n">
        <f aca="false">ROUND(AP76-AQ76-AR76,2)</f>
        <v>0</v>
      </c>
    </row>
    <row r="77" customFormat="false" ht="15" hidden="false" customHeight="false" outlineLevel="0" collapsed="false">
      <c r="A77" s="45" t="n">
        <v>74</v>
      </c>
      <c r="B77" s="46" t="n">
        <f aca="false">EDATE('My Debts'!$C$7,A77-1)</f>
        <v>48549</v>
      </c>
      <c r="C77" s="47" t="n">
        <f aca="false">MAX(0,'My Debts'!$E$6-(G77+K77+O77+S77+W77+AA77+AE77+AI77+AM77+AQ77))</f>
        <v>730</v>
      </c>
      <c r="D77" s="47" t="n">
        <f aca="false">(F77+J77+N77+R77+V77+Z77+AD77+AH77+AL77+AP77)-(I77+M77+Q77+U77+Y77+AC77+AG77+AK77+AO77+AS77)</f>
        <v>0</v>
      </c>
      <c r="E77" s="48" t="n">
        <f aca="false">I77+M77+Q77+U77+Y77+AC77+AG77+AK77+AO77+AS77</f>
        <v>0</v>
      </c>
      <c r="F77" s="47" t="n">
        <f aca="false">ROUND(I76*(1+Sorted!$H$2),2)</f>
        <v>0</v>
      </c>
      <c r="G77" s="47" t="n">
        <f aca="false">MIN(F77,Sorted!$G$2)</f>
        <v>0</v>
      </c>
      <c r="H77" s="47" t="n">
        <f aca="false">MAX(0,MIN(F77-G77,$C77-(0)))</f>
        <v>0</v>
      </c>
      <c r="I77" s="47" t="n">
        <f aca="false">ROUND(F77-G77-H77,2)</f>
        <v>0</v>
      </c>
      <c r="J77" s="47" t="n">
        <f aca="false">ROUND(M76*(1+Sorted!$H$3),2)</f>
        <v>0</v>
      </c>
      <c r="K77" s="47" t="n">
        <f aca="false">MIN(J77,Sorted!$G$3)</f>
        <v>0</v>
      </c>
      <c r="L77" s="47" t="n">
        <f aca="false">MAX(0,MIN(J77-K77,$C77-(H77)))</f>
        <v>0</v>
      </c>
      <c r="M77" s="47" t="n">
        <f aca="false">ROUND(J77-K77-L77,2)</f>
        <v>0</v>
      </c>
      <c r="N77" s="47" t="n">
        <f aca="false">ROUND(Q76*(1+Sorted!$H$4),2)</f>
        <v>0</v>
      </c>
      <c r="O77" s="47" t="n">
        <f aca="false">MIN(N77,Sorted!$G$4)</f>
        <v>0</v>
      </c>
      <c r="P77" s="47" t="n">
        <f aca="false">MAX(0,MIN(N77-O77,$C77-(H77+L77)))</f>
        <v>0</v>
      </c>
      <c r="Q77" s="47" t="n">
        <f aca="false">ROUND(N77-O77-P77,2)</f>
        <v>0</v>
      </c>
      <c r="R77" s="47" t="n">
        <f aca="false">ROUND(U76*(1+Sorted!$H$5),2)</f>
        <v>0</v>
      </c>
      <c r="S77" s="47" t="n">
        <f aca="false">MIN(R77,Sorted!$G$5)</f>
        <v>0</v>
      </c>
      <c r="T77" s="47" t="n">
        <f aca="false">MAX(0,MIN(R77-S77,$C77-(H77+L77+P77)))</f>
        <v>0</v>
      </c>
      <c r="U77" s="47" t="n">
        <f aca="false">ROUND(R77-S77-T77,2)</f>
        <v>0</v>
      </c>
      <c r="V77" s="47" t="n">
        <f aca="false">ROUND(Y76*(1+Sorted!$H$6),2)</f>
        <v>0</v>
      </c>
      <c r="W77" s="47" t="n">
        <f aca="false">MIN(V77,Sorted!$G$6)</f>
        <v>0</v>
      </c>
      <c r="X77" s="47" t="n">
        <f aca="false">MAX(0,MIN(V77-W77,$C77-(H77+L77+P77+T77)))</f>
        <v>0</v>
      </c>
      <c r="Y77" s="47" t="n">
        <f aca="false">ROUND(V77-W77-X77,2)</f>
        <v>0</v>
      </c>
      <c r="Z77" s="47" t="n">
        <f aca="false">ROUND(AC76*(1+Sorted!$H$7),2)</f>
        <v>0</v>
      </c>
      <c r="AA77" s="47" t="n">
        <f aca="false">MIN(Z77,Sorted!$G$7)</f>
        <v>0</v>
      </c>
      <c r="AB77" s="47" t="n">
        <f aca="false">MAX(0,MIN(Z77-AA77,$C77-(H77+L77+P77+T77+X77)))</f>
        <v>0</v>
      </c>
      <c r="AC77" s="47" t="n">
        <f aca="false">ROUND(Z77-AA77-AB77,2)</f>
        <v>0</v>
      </c>
      <c r="AD77" s="47" t="n">
        <f aca="false">ROUND(AG76*(1+Sorted!$H$8),2)</f>
        <v>0</v>
      </c>
      <c r="AE77" s="47" t="n">
        <f aca="false">MIN(AD77,Sorted!$G$8)</f>
        <v>0</v>
      </c>
      <c r="AF77" s="47" t="n">
        <f aca="false">MAX(0,MIN(AD77-AE77,$C77-(H77+L77+P77+T77+X77+AB77)))</f>
        <v>0</v>
      </c>
      <c r="AG77" s="47" t="n">
        <f aca="false">ROUND(AD77-AE77-AF77,2)</f>
        <v>0</v>
      </c>
      <c r="AH77" s="47" t="n">
        <f aca="false">ROUND(AK76*(1+Sorted!$H$9),2)</f>
        <v>0</v>
      </c>
      <c r="AI77" s="47" t="n">
        <f aca="false">MIN(AH77,Sorted!$G$9)</f>
        <v>0</v>
      </c>
      <c r="AJ77" s="47" t="n">
        <f aca="false">MAX(0,MIN(AH77-AI77,$C77-(H77+L77+P77+T77+X77+AB77+AF77)))</f>
        <v>0</v>
      </c>
      <c r="AK77" s="47" t="n">
        <f aca="false">ROUND(AH77-AI77-AJ77,2)</f>
        <v>0</v>
      </c>
      <c r="AL77" s="47" t="n">
        <f aca="false">ROUND(AO76*(1+Sorted!$H$10),2)</f>
        <v>0</v>
      </c>
      <c r="AM77" s="47" t="n">
        <f aca="false">MIN(AL77,Sorted!$G$10)</f>
        <v>0</v>
      </c>
      <c r="AN77" s="47" t="n">
        <f aca="false">MAX(0,MIN(AL77-AM77,$C77-(H77+L77+P77+T77+X77+AB77+AF77+AJ77)))</f>
        <v>0</v>
      </c>
      <c r="AO77" s="47" t="n">
        <f aca="false">ROUND(AL77-AM77-AN77,2)</f>
        <v>0</v>
      </c>
      <c r="AP77" s="47" t="n">
        <f aca="false">ROUND(AS76*(1+Sorted!$H$11),2)</f>
        <v>0</v>
      </c>
      <c r="AQ77" s="47" t="n">
        <f aca="false">MIN(AP77,Sorted!$G$11)</f>
        <v>0</v>
      </c>
      <c r="AR77" s="47" t="n">
        <f aca="false">MAX(0,MIN(AP77-AQ77,$C77-(H77+L77+P77+T77+X77+AB77+AF77+AJ77+AN77)))</f>
        <v>0</v>
      </c>
      <c r="AS77" s="47" t="n">
        <f aca="false">ROUND(AP77-AQ77-AR77,2)</f>
        <v>0</v>
      </c>
    </row>
    <row r="78" customFormat="false" ht="15" hidden="false" customHeight="false" outlineLevel="0" collapsed="false">
      <c r="A78" s="45" t="n">
        <v>75</v>
      </c>
      <c r="B78" s="46" t="n">
        <f aca="false">EDATE('My Debts'!$C$7,A78-1)</f>
        <v>48580</v>
      </c>
      <c r="C78" s="47" t="n">
        <f aca="false">MAX(0,'My Debts'!$E$6-(G78+K78+O78+S78+W78+AA78+AE78+AI78+AM78+AQ78))</f>
        <v>730</v>
      </c>
      <c r="D78" s="47" t="n">
        <f aca="false">(F78+J78+N78+R78+V78+Z78+AD78+AH78+AL78+AP78)-(I78+M78+Q78+U78+Y78+AC78+AG78+AK78+AO78+AS78)</f>
        <v>0</v>
      </c>
      <c r="E78" s="48" t="n">
        <f aca="false">I78+M78+Q78+U78+Y78+AC78+AG78+AK78+AO78+AS78</f>
        <v>0</v>
      </c>
      <c r="F78" s="47" t="n">
        <f aca="false">ROUND(I77*(1+Sorted!$H$2),2)</f>
        <v>0</v>
      </c>
      <c r="G78" s="47" t="n">
        <f aca="false">MIN(F78,Sorted!$G$2)</f>
        <v>0</v>
      </c>
      <c r="H78" s="47" t="n">
        <f aca="false">MAX(0,MIN(F78-G78,$C78-(0)))</f>
        <v>0</v>
      </c>
      <c r="I78" s="47" t="n">
        <f aca="false">ROUND(F78-G78-H78,2)</f>
        <v>0</v>
      </c>
      <c r="J78" s="47" t="n">
        <f aca="false">ROUND(M77*(1+Sorted!$H$3),2)</f>
        <v>0</v>
      </c>
      <c r="K78" s="47" t="n">
        <f aca="false">MIN(J78,Sorted!$G$3)</f>
        <v>0</v>
      </c>
      <c r="L78" s="47" t="n">
        <f aca="false">MAX(0,MIN(J78-K78,$C78-(H78)))</f>
        <v>0</v>
      </c>
      <c r="M78" s="47" t="n">
        <f aca="false">ROUND(J78-K78-L78,2)</f>
        <v>0</v>
      </c>
      <c r="N78" s="47" t="n">
        <f aca="false">ROUND(Q77*(1+Sorted!$H$4),2)</f>
        <v>0</v>
      </c>
      <c r="O78" s="47" t="n">
        <f aca="false">MIN(N78,Sorted!$G$4)</f>
        <v>0</v>
      </c>
      <c r="P78" s="47" t="n">
        <f aca="false">MAX(0,MIN(N78-O78,$C78-(H78+L78)))</f>
        <v>0</v>
      </c>
      <c r="Q78" s="47" t="n">
        <f aca="false">ROUND(N78-O78-P78,2)</f>
        <v>0</v>
      </c>
      <c r="R78" s="47" t="n">
        <f aca="false">ROUND(U77*(1+Sorted!$H$5),2)</f>
        <v>0</v>
      </c>
      <c r="S78" s="47" t="n">
        <f aca="false">MIN(R78,Sorted!$G$5)</f>
        <v>0</v>
      </c>
      <c r="T78" s="47" t="n">
        <f aca="false">MAX(0,MIN(R78-S78,$C78-(H78+L78+P78)))</f>
        <v>0</v>
      </c>
      <c r="U78" s="47" t="n">
        <f aca="false">ROUND(R78-S78-T78,2)</f>
        <v>0</v>
      </c>
      <c r="V78" s="47" t="n">
        <f aca="false">ROUND(Y77*(1+Sorted!$H$6),2)</f>
        <v>0</v>
      </c>
      <c r="W78" s="47" t="n">
        <f aca="false">MIN(V78,Sorted!$G$6)</f>
        <v>0</v>
      </c>
      <c r="X78" s="47" t="n">
        <f aca="false">MAX(0,MIN(V78-W78,$C78-(H78+L78+P78+T78)))</f>
        <v>0</v>
      </c>
      <c r="Y78" s="47" t="n">
        <f aca="false">ROUND(V78-W78-X78,2)</f>
        <v>0</v>
      </c>
      <c r="Z78" s="47" t="n">
        <f aca="false">ROUND(AC77*(1+Sorted!$H$7),2)</f>
        <v>0</v>
      </c>
      <c r="AA78" s="47" t="n">
        <f aca="false">MIN(Z78,Sorted!$G$7)</f>
        <v>0</v>
      </c>
      <c r="AB78" s="47" t="n">
        <f aca="false">MAX(0,MIN(Z78-AA78,$C78-(H78+L78+P78+T78+X78)))</f>
        <v>0</v>
      </c>
      <c r="AC78" s="47" t="n">
        <f aca="false">ROUND(Z78-AA78-AB78,2)</f>
        <v>0</v>
      </c>
      <c r="AD78" s="47" t="n">
        <f aca="false">ROUND(AG77*(1+Sorted!$H$8),2)</f>
        <v>0</v>
      </c>
      <c r="AE78" s="47" t="n">
        <f aca="false">MIN(AD78,Sorted!$G$8)</f>
        <v>0</v>
      </c>
      <c r="AF78" s="47" t="n">
        <f aca="false">MAX(0,MIN(AD78-AE78,$C78-(H78+L78+P78+T78+X78+AB78)))</f>
        <v>0</v>
      </c>
      <c r="AG78" s="47" t="n">
        <f aca="false">ROUND(AD78-AE78-AF78,2)</f>
        <v>0</v>
      </c>
      <c r="AH78" s="47" t="n">
        <f aca="false">ROUND(AK77*(1+Sorted!$H$9),2)</f>
        <v>0</v>
      </c>
      <c r="AI78" s="47" t="n">
        <f aca="false">MIN(AH78,Sorted!$G$9)</f>
        <v>0</v>
      </c>
      <c r="AJ78" s="47" t="n">
        <f aca="false">MAX(0,MIN(AH78-AI78,$C78-(H78+L78+P78+T78+X78+AB78+AF78)))</f>
        <v>0</v>
      </c>
      <c r="AK78" s="47" t="n">
        <f aca="false">ROUND(AH78-AI78-AJ78,2)</f>
        <v>0</v>
      </c>
      <c r="AL78" s="47" t="n">
        <f aca="false">ROUND(AO77*(1+Sorted!$H$10),2)</f>
        <v>0</v>
      </c>
      <c r="AM78" s="47" t="n">
        <f aca="false">MIN(AL78,Sorted!$G$10)</f>
        <v>0</v>
      </c>
      <c r="AN78" s="47" t="n">
        <f aca="false">MAX(0,MIN(AL78-AM78,$C78-(H78+L78+P78+T78+X78+AB78+AF78+AJ78)))</f>
        <v>0</v>
      </c>
      <c r="AO78" s="47" t="n">
        <f aca="false">ROUND(AL78-AM78-AN78,2)</f>
        <v>0</v>
      </c>
      <c r="AP78" s="47" t="n">
        <f aca="false">ROUND(AS77*(1+Sorted!$H$11),2)</f>
        <v>0</v>
      </c>
      <c r="AQ78" s="47" t="n">
        <f aca="false">MIN(AP78,Sorted!$G$11)</f>
        <v>0</v>
      </c>
      <c r="AR78" s="47" t="n">
        <f aca="false">MAX(0,MIN(AP78-AQ78,$C78-(H78+L78+P78+T78+X78+AB78+AF78+AJ78+AN78)))</f>
        <v>0</v>
      </c>
      <c r="AS78" s="47" t="n">
        <f aca="false">ROUND(AP78-AQ78-AR78,2)</f>
        <v>0</v>
      </c>
    </row>
    <row r="79" customFormat="false" ht="15" hidden="false" customHeight="false" outlineLevel="0" collapsed="false">
      <c r="A79" s="45" t="n">
        <v>76</v>
      </c>
      <c r="B79" s="46" t="n">
        <f aca="false">EDATE('My Debts'!$C$7,A79-1)</f>
        <v>48611</v>
      </c>
      <c r="C79" s="47" t="n">
        <f aca="false">MAX(0,'My Debts'!$E$6-(G79+K79+O79+S79+W79+AA79+AE79+AI79+AM79+AQ79))</f>
        <v>730</v>
      </c>
      <c r="D79" s="47" t="n">
        <f aca="false">(F79+J79+N79+R79+V79+Z79+AD79+AH79+AL79+AP79)-(I79+M79+Q79+U79+Y79+AC79+AG79+AK79+AO79+AS79)</f>
        <v>0</v>
      </c>
      <c r="E79" s="48" t="n">
        <f aca="false">I79+M79+Q79+U79+Y79+AC79+AG79+AK79+AO79+AS79</f>
        <v>0</v>
      </c>
      <c r="F79" s="47" t="n">
        <f aca="false">ROUND(I78*(1+Sorted!$H$2),2)</f>
        <v>0</v>
      </c>
      <c r="G79" s="47" t="n">
        <f aca="false">MIN(F79,Sorted!$G$2)</f>
        <v>0</v>
      </c>
      <c r="H79" s="47" t="n">
        <f aca="false">MAX(0,MIN(F79-G79,$C79-(0)))</f>
        <v>0</v>
      </c>
      <c r="I79" s="47" t="n">
        <f aca="false">ROUND(F79-G79-H79,2)</f>
        <v>0</v>
      </c>
      <c r="J79" s="47" t="n">
        <f aca="false">ROUND(M78*(1+Sorted!$H$3),2)</f>
        <v>0</v>
      </c>
      <c r="K79" s="47" t="n">
        <f aca="false">MIN(J79,Sorted!$G$3)</f>
        <v>0</v>
      </c>
      <c r="L79" s="47" t="n">
        <f aca="false">MAX(0,MIN(J79-K79,$C79-(H79)))</f>
        <v>0</v>
      </c>
      <c r="M79" s="47" t="n">
        <f aca="false">ROUND(J79-K79-L79,2)</f>
        <v>0</v>
      </c>
      <c r="N79" s="47" t="n">
        <f aca="false">ROUND(Q78*(1+Sorted!$H$4),2)</f>
        <v>0</v>
      </c>
      <c r="O79" s="47" t="n">
        <f aca="false">MIN(N79,Sorted!$G$4)</f>
        <v>0</v>
      </c>
      <c r="P79" s="47" t="n">
        <f aca="false">MAX(0,MIN(N79-O79,$C79-(H79+L79)))</f>
        <v>0</v>
      </c>
      <c r="Q79" s="47" t="n">
        <f aca="false">ROUND(N79-O79-P79,2)</f>
        <v>0</v>
      </c>
      <c r="R79" s="47" t="n">
        <f aca="false">ROUND(U78*(1+Sorted!$H$5),2)</f>
        <v>0</v>
      </c>
      <c r="S79" s="47" t="n">
        <f aca="false">MIN(R79,Sorted!$G$5)</f>
        <v>0</v>
      </c>
      <c r="T79" s="47" t="n">
        <f aca="false">MAX(0,MIN(R79-S79,$C79-(H79+L79+P79)))</f>
        <v>0</v>
      </c>
      <c r="U79" s="47" t="n">
        <f aca="false">ROUND(R79-S79-T79,2)</f>
        <v>0</v>
      </c>
      <c r="V79" s="47" t="n">
        <f aca="false">ROUND(Y78*(1+Sorted!$H$6),2)</f>
        <v>0</v>
      </c>
      <c r="W79" s="47" t="n">
        <f aca="false">MIN(V79,Sorted!$G$6)</f>
        <v>0</v>
      </c>
      <c r="X79" s="47" t="n">
        <f aca="false">MAX(0,MIN(V79-W79,$C79-(H79+L79+P79+T79)))</f>
        <v>0</v>
      </c>
      <c r="Y79" s="47" t="n">
        <f aca="false">ROUND(V79-W79-X79,2)</f>
        <v>0</v>
      </c>
      <c r="Z79" s="47" t="n">
        <f aca="false">ROUND(AC78*(1+Sorted!$H$7),2)</f>
        <v>0</v>
      </c>
      <c r="AA79" s="47" t="n">
        <f aca="false">MIN(Z79,Sorted!$G$7)</f>
        <v>0</v>
      </c>
      <c r="AB79" s="47" t="n">
        <f aca="false">MAX(0,MIN(Z79-AA79,$C79-(H79+L79+P79+T79+X79)))</f>
        <v>0</v>
      </c>
      <c r="AC79" s="47" t="n">
        <f aca="false">ROUND(Z79-AA79-AB79,2)</f>
        <v>0</v>
      </c>
      <c r="AD79" s="47" t="n">
        <f aca="false">ROUND(AG78*(1+Sorted!$H$8),2)</f>
        <v>0</v>
      </c>
      <c r="AE79" s="47" t="n">
        <f aca="false">MIN(AD79,Sorted!$G$8)</f>
        <v>0</v>
      </c>
      <c r="AF79" s="47" t="n">
        <f aca="false">MAX(0,MIN(AD79-AE79,$C79-(H79+L79+P79+T79+X79+AB79)))</f>
        <v>0</v>
      </c>
      <c r="AG79" s="47" t="n">
        <f aca="false">ROUND(AD79-AE79-AF79,2)</f>
        <v>0</v>
      </c>
      <c r="AH79" s="47" t="n">
        <f aca="false">ROUND(AK78*(1+Sorted!$H$9),2)</f>
        <v>0</v>
      </c>
      <c r="AI79" s="47" t="n">
        <f aca="false">MIN(AH79,Sorted!$G$9)</f>
        <v>0</v>
      </c>
      <c r="AJ79" s="47" t="n">
        <f aca="false">MAX(0,MIN(AH79-AI79,$C79-(H79+L79+P79+T79+X79+AB79+AF79)))</f>
        <v>0</v>
      </c>
      <c r="AK79" s="47" t="n">
        <f aca="false">ROUND(AH79-AI79-AJ79,2)</f>
        <v>0</v>
      </c>
      <c r="AL79" s="47" t="n">
        <f aca="false">ROUND(AO78*(1+Sorted!$H$10),2)</f>
        <v>0</v>
      </c>
      <c r="AM79" s="47" t="n">
        <f aca="false">MIN(AL79,Sorted!$G$10)</f>
        <v>0</v>
      </c>
      <c r="AN79" s="47" t="n">
        <f aca="false">MAX(0,MIN(AL79-AM79,$C79-(H79+L79+P79+T79+X79+AB79+AF79+AJ79)))</f>
        <v>0</v>
      </c>
      <c r="AO79" s="47" t="n">
        <f aca="false">ROUND(AL79-AM79-AN79,2)</f>
        <v>0</v>
      </c>
      <c r="AP79" s="47" t="n">
        <f aca="false">ROUND(AS78*(1+Sorted!$H$11),2)</f>
        <v>0</v>
      </c>
      <c r="AQ79" s="47" t="n">
        <f aca="false">MIN(AP79,Sorted!$G$11)</f>
        <v>0</v>
      </c>
      <c r="AR79" s="47" t="n">
        <f aca="false">MAX(0,MIN(AP79-AQ79,$C79-(H79+L79+P79+T79+X79+AB79+AF79+AJ79+AN79)))</f>
        <v>0</v>
      </c>
      <c r="AS79" s="47" t="n">
        <f aca="false">ROUND(AP79-AQ79-AR79,2)</f>
        <v>0</v>
      </c>
    </row>
    <row r="80" customFormat="false" ht="15" hidden="false" customHeight="false" outlineLevel="0" collapsed="false">
      <c r="A80" s="45" t="n">
        <v>77</v>
      </c>
      <c r="B80" s="46" t="n">
        <f aca="false">EDATE('My Debts'!$C$7,A80-1)</f>
        <v>48639</v>
      </c>
      <c r="C80" s="47" t="n">
        <f aca="false">MAX(0,'My Debts'!$E$6-(G80+K80+O80+S80+W80+AA80+AE80+AI80+AM80+AQ80))</f>
        <v>730</v>
      </c>
      <c r="D80" s="47" t="n">
        <f aca="false">(F80+J80+N80+R80+V80+Z80+AD80+AH80+AL80+AP80)-(I80+M80+Q80+U80+Y80+AC80+AG80+AK80+AO80+AS80)</f>
        <v>0</v>
      </c>
      <c r="E80" s="48" t="n">
        <f aca="false">I80+M80+Q80+U80+Y80+AC80+AG80+AK80+AO80+AS80</f>
        <v>0</v>
      </c>
      <c r="F80" s="47" t="n">
        <f aca="false">ROUND(I79*(1+Sorted!$H$2),2)</f>
        <v>0</v>
      </c>
      <c r="G80" s="47" t="n">
        <f aca="false">MIN(F80,Sorted!$G$2)</f>
        <v>0</v>
      </c>
      <c r="H80" s="47" t="n">
        <f aca="false">MAX(0,MIN(F80-G80,$C80-(0)))</f>
        <v>0</v>
      </c>
      <c r="I80" s="47" t="n">
        <f aca="false">ROUND(F80-G80-H80,2)</f>
        <v>0</v>
      </c>
      <c r="J80" s="47" t="n">
        <f aca="false">ROUND(M79*(1+Sorted!$H$3),2)</f>
        <v>0</v>
      </c>
      <c r="K80" s="47" t="n">
        <f aca="false">MIN(J80,Sorted!$G$3)</f>
        <v>0</v>
      </c>
      <c r="L80" s="47" t="n">
        <f aca="false">MAX(0,MIN(J80-K80,$C80-(H80)))</f>
        <v>0</v>
      </c>
      <c r="M80" s="47" t="n">
        <f aca="false">ROUND(J80-K80-L80,2)</f>
        <v>0</v>
      </c>
      <c r="N80" s="47" t="n">
        <f aca="false">ROUND(Q79*(1+Sorted!$H$4),2)</f>
        <v>0</v>
      </c>
      <c r="O80" s="47" t="n">
        <f aca="false">MIN(N80,Sorted!$G$4)</f>
        <v>0</v>
      </c>
      <c r="P80" s="47" t="n">
        <f aca="false">MAX(0,MIN(N80-O80,$C80-(H80+L80)))</f>
        <v>0</v>
      </c>
      <c r="Q80" s="47" t="n">
        <f aca="false">ROUND(N80-O80-P80,2)</f>
        <v>0</v>
      </c>
      <c r="R80" s="47" t="n">
        <f aca="false">ROUND(U79*(1+Sorted!$H$5),2)</f>
        <v>0</v>
      </c>
      <c r="S80" s="47" t="n">
        <f aca="false">MIN(R80,Sorted!$G$5)</f>
        <v>0</v>
      </c>
      <c r="T80" s="47" t="n">
        <f aca="false">MAX(0,MIN(R80-S80,$C80-(H80+L80+P80)))</f>
        <v>0</v>
      </c>
      <c r="U80" s="47" t="n">
        <f aca="false">ROUND(R80-S80-T80,2)</f>
        <v>0</v>
      </c>
      <c r="V80" s="47" t="n">
        <f aca="false">ROUND(Y79*(1+Sorted!$H$6),2)</f>
        <v>0</v>
      </c>
      <c r="W80" s="47" t="n">
        <f aca="false">MIN(V80,Sorted!$G$6)</f>
        <v>0</v>
      </c>
      <c r="X80" s="47" t="n">
        <f aca="false">MAX(0,MIN(V80-W80,$C80-(H80+L80+P80+T80)))</f>
        <v>0</v>
      </c>
      <c r="Y80" s="47" t="n">
        <f aca="false">ROUND(V80-W80-X80,2)</f>
        <v>0</v>
      </c>
      <c r="Z80" s="47" t="n">
        <f aca="false">ROUND(AC79*(1+Sorted!$H$7),2)</f>
        <v>0</v>
      </c>
      <c r="AA80" s="47" t="n">
        <f aca="false">MIN(Z80,Sorted!$G$7)</f>
        <v>0</v>
      </c>
      <c r="AB80" s="47" t="n">
        <f aca="false">MAX(0,MIN(Z80-AA80,$C80-(H80+L80+P80+T80+X80)))</f>
        <v>0</v>
      </c>
      <c r="AC80" s="47" t="n">
        <f aca="false">ROUND(Z80-AA80-AB80,2)</f>
        <v>0</v>
      </c>
      <c r="AD80" s="47" t="n">
        <f aca="false">ROUND(AG79*(1+Sorted!$H$8),2)</f>
        <v>0</v>
      </c>
      <c r="AE80" s="47" t="n">
        <f aca="false">MIN(AD80,Sorted!$G$8)</f>
        <v>0</v>
      </c>
      <c r="AF80" s="47" t="n">
        <f aca="false">MAX(0,MIN(AD80-AE80,$C80-(H80+L80+P80+T80+X80+AB80)))</f>
        <v>0</v>
      </c>
      <c r="AG80" s="47" t="n">
        <f aca="false">ROUND(AD80-AE80-AF80,2)</f>
        <v>0</v>
      </c>
      <c r="AH80" s="47" t="n">
        <f aca="false">ROUND(AK79*(1+Sorted!$H$9),2)</f>
        <v>0</v>
      </c>
      <c r="AI80" s="47" t="n">
        <f aca="false">MIN(AH80,Sorted!$G$9)</f>
        <v>0</v>
      </c>
      <c r="AJ80" s="47" t="n">
        <f aca="false">MAX(0,MIN(AH80-AI80,$C80-(H80+L80+P80+T80+X80+AB80+AF80)))</f>
        <v>0</v>
      </c>
      <c r="AK80" s="47" t="n">
        <f aca="false">ROUND(AH80-AI80-AJ80,2)</f>
        <v>0</v>
      </c>
      <c r="AL80" s="47" t="n">
        <f aca="false">ROUND(AO79*(1+Sorted!$H$10),2)</f>
        <v>0</v>
      </c>
      <c r="AM80" s="47" t="n">
        <f aca="false">MIN(AL80,Sorted!$G$10)</f>
        <v>0</v>
      </c>
      <c r="AN80" s="47" t="n">
        <f aca="false">MAX(0,MIN(AL80-AM80,$C80-(H80+L80+P80+T80+X80+AB80+AF80+AJ80)))</f>
        <v>0</v>
      </c>
      <c r="AO80" s="47" t="n">
        <f aca="false">ROUND(AL80-AM80-AN80,2)</f>
        <v>0</v>
      </c>
      <c r="AP80" s="47" t="n">
        <f aca="false">ROUND(AS79*(1+Sorted!$H$11),2)</f>
        <v>0</v>
      </c>
      <c r="AQ80" s="47" t="n">
        <f aca="false">MIN(AP80,Sorted!$G$11)</f>
        <v>0</v>
      </c>
      <c r="AR80" s="47" t="n">
        <f aca="false">MAX(0,MIN(AP80-AQ80,$C80-(H80+L80+P80+T80+X80+AB80+AF80+AJ80+AN80)))</f>
        <v>0</v>
      </c>
      <c r="AS80" s="47" t="n">
        <f aca="false">ROUND(AP80-AQ80-AR80,2)</f>
        <v>0</v>
      </c>
    </row>
    <row r="81" customFormat="false" ht="15" hidden="false" customHeight="false" outlineLevel="0" collapsed="false">
      <c r="A81" s="45" t="n">
        <v>78</v>
      </c>
      <c r="B81" s="46" t="n">
        <f aca="false">EDATE('My Debts'!$C$7,A81-1)</f>
        <v>48670</v>
      </c>
      <c r="C81" s="47" t="n">
        <f aca="false">MAX(0,'My Debts'!$E$6-(G81+K81+O81+S81+W81+AA81+AE81+AI81+AM81+AQ81))</f>
        <v>730</v>
      </c>
      <c r="D81" s="47" t="n">
        <f aca="false">(F81+J81+N81+R81+V81+Z81+AD81+AH81+AL81+AP81)-(I81+M81+Q81+U81+Y81+AC81+AG81+AK81+AO81+AS81)</f>
        <v>0</v>
      </c>
      <c r="E81" s="48" t="n">
        <f aca="false">I81+M81+Q81+U81+Y81+AC81+AG81+AK81+AO81+AS81</f>
        <v>0</v>
      </c>
      <c r="F81" s="47" t="n">
        <f aca="false">ROUND(I80*(1+Sorted!$H$2),2)</f>
        <v>0</v>
      </c>
      <c r="G81" s="47" t="n">
        <f aca="false">MIN(F81,Sorted!$G$2)</f>
        <v>0</v>
      </c>
      <c r="H81" s="47" t="n">
        <f aca="false">MAX(0,MIN(F81-G81,$C81-(0)))</f>
        <v>0</v>
      </c>
      <c r="I81" s="47" t="n">
        <f aca="false">ROUND(F81-G81-H81,2)</f>
        <v>0</v>
      </c>
      <c r="J81" s="47" t="n">
        <f aca="false">ROUND(M80*(1+Sorted!$H$3),2)</f>
        <v>0</v>
      </c>
      <c r="K81" s="47" t="n">
        <f aca="false">MIN(J81,Sorted!$G$3)</f>
        <v>0</v>
      </c>
      <c r="L81" s="47" t="n">
        <f aca="false">MAX(0,MIN(J81-K81,$C81-(H81)))</f>
        <v>0</v>
      </c>
      <c r="M81" s="47" t="n">
        <f aca="false">ROUND(J81-K81-L81,2)</f>
        <v>0</v>
      </c>
      <c r="N81" s="47" t="n">
        <f aca="false">ROUND(Q80*(1+Sorted!$H$4),2)</f>
        <v>0</v>
      </c>
      <c r="O81" s="47" t="n">
        <f aca="false">MIN(N81,Sorted!$G$4)</f>
        <v>0</v>
      </c>
      <c r="P81" s="47" t="n">
        <f aca="false">MAX(0,MIN(N81-O81,$C81-(H81+L81)))</f>
        <v>0</v>
      </c>
      <c r="Q81" s="47" t="n">
        <f aca="false">ROUND(N81-O81-P81,2)</f>
        <v>0</v>
      </c>
      <c r="R81" s="47" t="n">
        <f aca="false">ROUND(U80*(1+Sorted!$H$5),2)</f>
        <v>0</v>
      </c>
      <c r="S81" s="47" t="n">
        <f aca="false">MIN(R81,Sorted!$G$5)</f>
        <v>0</v>
      </c>
      <c r="T81" s="47" t="n">
        <f aca="false">MAX(0,MIN(R81-S81,$C81-(H81+L81+P81)))</f>
        <v>0</v>
      </c>
      <c r="U81" s="47" t="n">
        <f aca="false">ROUND(R81-S81-T81,2)</f>
        <v>0</v>
      </c>
      <c r="V81" s="47" t="n">
        <f aca="false">ROUND(Y80*(1+Sorted!$H$6),2)</f>
        <v>0</v>
      </c>
      <c r="W81" s="47" t="n">
        <f aca="false">MIN(V81,Sorted!$G$6)</f>
        <v>0</v>
      </c>
      <c r="X81" s="47" t="n">
        <f aca="false">MAX(0,MIN(V81-W81,$C81-(H81+L81+P81+T81)))</f>
        <v>0</v>
      </c>
      <c r="Y81" s="47" t="n">
        <f aca="false">ROUND(V81-W81-X81,2)</f>
        <v>0</v>
      </c>
      <c r="Z81" s="47" t="n">
        <f aca="false">ROUND(AC80*(1+Sorted!$H$7),2)</f>
        <v>0</v>
      </c>
      <c r="AA81" s="47" t="n">
        <f aca="false">MIN(Z81,Sorted!$G$7)</f>
        <v>0</v>
      </c>
      <c r="AB81" s="47" t="n">
        <f aca="false">MAX(0,MIN(Z81-AA81,$C81-(H81+L81+P81+T81+X81)))</f>
        <v>0</v>
      </c>
      <c r="AC81" s="47" t="n">
        <f aca="false">ROUND(Z81-AA81-AB81,2)</f>
        <v>0</v>
      </c>
      <c r="AD81" s="47" t="n">
        <f aca="false">ROUND(AG80*(1+Sorted!$H$8),2)</f>
        <v>0</v>
      </c>
      <c r="AE81" s="47" t="n">
        <f aca="false">MIN(AD81,Sorted!$G$8)</f>
        <v>0</v>
      </c>
      <c r="AF81" s="47" t="n">
        <f aca="false">MAX(0,MIN(AD81-AE81,$C81-(H81+L81+P81+T81+X81+AB81)))</f>
        <v>0</v>
      </c>
      <c r="AG81" s="47" t="n">
        <f aca="false">ROUND(AD81-AE81-AF81,2)</f>
        <v>0</v>
      </c>
      <c r="AH81" s="47" t="n">
        <f aca="false">ROUND(AK80*(1+Sorted!$H$9),2)</f>
        <v>0</v>
      </c>
      <c r="AI81" s="47" t="n">
        <f aca="false">MIN(AH81,Sorted!$G$9)</f>
        <v>0</v>
      </c>
      <c r="AJ81" s="47" t="n">
        <f aca="false">MAX(0,MIN(AH81-AI81,$C81-(H81+L81+P81+T81+X81+AB81+AF81)))</f>
        <v>0</v>
      </c>
      <c r="AK81" s="47" t="n">
        <f aca="false">ROUND(AH81-AI81-AJ81,2)</f>
        <v>0</v>
      </c>
      <c r="AL81" s="47" t="n">
        <f aca="false">ROUND(AO80*(1+Sorted!$H$10),2)</f>
        <v>0</v>
      </c>
      <c r="AM81" s="47" t="n">
        <f aca="false">MIN(AL81,Sorted!$G$10)</f>
        <v>0</v>
      </c>
      <c r="AN81" s="47" t="n">
        <f aca="false">MAX(0,MIN(AL81-AM81,$C81-(H81+L81+P81+T81+X81+AB81+AF81+AJ81)))</f>
        <v>0</v>
      </c>
      <c r="AO81" s="47" t="n">
        <f aca="false">ROUND(AL81-AM81-AN81,2)</f>
        <v>0</v>
      </c>
      <c r="AP81" s="47" t="n">
        <f aca="false">ROUND(AS80*(1+Sorted!$H$11),2)</f>
        <v>0</v>
      </c>
      <c r="AQ81" s="47" t="n">
        <f aca="false">MIN(AP81,Sorted!$G$11)</f>
        <v>0</v>
      </c>
      <c r="AR81" s="47" t="n">
        <f aca="false">MAX(0,MIN(AP81-AQ81,$C81-(H81+L81+P81+T81+X81+AB81+AF81+AJ81+AN81)))</f>
        <v>0</v>
      </c>
      <c r="AS81" s="47" t="n">
        <f aca="false">ROUND(AP81-AQ81-AR81,2)</f>
        <v>0</v>
      </c>
    </row>
    <row r="82" customFormat="false" ht="15" hidden="false" customHeight="false" outlineLevel="0" collapsed="false">
      <c r="A82" s="45" t="n">
        <v>79</v>
      </c>
      <c r="B82" s="46" t="n">
        <f aca="false">EDATE('My Debts'!$C$7,A82-1)</f>
        <v>48700</v>
      </c>
      <c r="C82" s="47" t="n">
        <f aca="false">MAX(0,'My Debts'!$E$6-(G82+K82+O82+S82+W82+AA82+AE82+AI82+AM82+AQ82))</f>
        <v>730</v>
      </c>
      <c r="D82" s="47" t="n">
        <f aca="false">(F82+J82+N82+R82+V82+Z82+AD82+AH82+AL82+AP82)-(I82+M82+Q82+U82+Y82+AC82+AG82+AK82+AO82+AS82)</f>
        <v>0</v>
      </c>
      <c r="E82" s="48" t="n">
        <f aca="false">I82+M82+Q82+U82+Y82+AC82+AG82+AK82+AO82+AS82</f>
        <v>0</v>
      </c>
      <c r="F82" s="47" t="n">
        <f aca="false">ROUND(I81*(1+Sorted!$H$2),2)</f>
        <v>0</v>
      </c>
      <c r="G82" s="47" t="n">
        <f aca="false">MIN(F82,Sorted!$G$2)</f>
        <v>0</v>
      </c>
      <c r="H82" s="47" t="n">
        <f aca="false">MAX(0,MIN(F82-G82,$C82-(0)))</f>
        <v>0</v>
      </c>
      <c r="I82" s="47" t="n">
        <f aca="false">ROUND(F82-G82-H82,2)</f>
        <v>0</v>
      </c>
      <c r="J82" s="47" t="n">
        <f aca="false">ROUND(M81*(1+Sorted!$H$3),2)</f>
        <v>0</v>
      </c>
      <c r="K82" s="47" t="n">
        <f aca="false">MIN(J82,Sorted!$G$3)</f>
        <v>0</v>
      </c>
      <c r="L82" s="47" t="n">
        <f aca="false">MAX(0,MIN(J82-K82,$C82-(H82)))</f>
        <v>0</v>
      </c>
      <c r="M82" s="47" t="n">
        <f aca="false">ROUND(J82-K82-L82,2)</f>
        <v>0</v>
      </c>
      <c r="N82" s="47" t="n">
        <f aca="false">ROUND(Q81*(1+Sorted!$H$4),2)</f>
        <v>0</v>
      </c>
      <c r="O82" s="47" t="n">
        <f aca="false">MIN(N82,Sorted!$G$4)</f>
        <v>0</v>
      </c>
      <c r="P82" s="47" t="n">
        <f aca="false">MAX(0,MIN(N82-O82,$C82-(H82+L82)))</f>
        <v>0</v>
      </c>
      <c r="Q82" s="47" t="n">
        <f aca="false">ROUND(N82-O82-P82,2)</f>
        <v>0</v>
      </c>
      <c r="R82" s="47" t="n">
        <f aca="false">ROUND(U81*(1+Sorted!$H$5),2)</f>
        <v>0</v>
      </c>
      <c r="S82" s="47" t="n">
        <f aca="false">MIN(R82,Sorted!$G$5)</f>
        <v>0</v>
      </c>
      <c r="T82" s="47" t="n">
        <f aca="false">MAX(0,MIN(R82-S82,$C82-(H82+L82+P82)))</f>
        <v>0</v>
      </c>
      <c r="U82" s="47" t="n">
        <f aca="false">ROUND(R82-S82-T82,2)</f>
        <v>0</v>
      </c>
      <c r="V82" s="47" t="n">
        <f aca="false">ROUND(Y81*(1+Sorted!$H$6),2)</f>
        <v>0</v>
      </c>
      <c r="W82" s="47" t="n">
        <f aca="false">MIN(V82,Sorted!$G$6)</f>
        <v>0</v>
      </c>
      <c r="X82" s="47" t="n">
        <f aca="false">MAX(0,MIN(V82-W82,$C82-(H82+L82+P82+T82)))</f>
        <v>0</v>
      </c>
      <c r="Y82" s="47" t="n">
        <f aca="false">ROUND(V82-W82-X82,2)</f>
        <v>0</v>
      </c>
      <c r="Z82" s="47" t="n">
        <f aca="false">ROUND(AC81*(1+Sorted!$H$7),2)</f>
        <v>0</v>
      </c>
      <c r="AA82" s="47" t="n">
        <f aca="false">MIN(Z82,Sorted!$G$7)</f>
        <v>0</v>
      </c>
      <c r="AB82" s="47" t="n">
        <f aca="false">MAX(0,MIN(Z82-AA82,$C82-(H82+L82+P82+T82+X82)))</f>
        <v>0</v>
      </c>
      <c r="AC82" s="47" t="n">
        <f aca="false">ROUND(Z82-AA82-AB82,2)</f>
        <v>0</v>
      </c>
      <c r="AD82" s="47" t="n">
        <f aca="false">ROUND(AG81*(1+Sorted!$H$8),2)</f>
        <v>0</v>
      </c>
      <c r="AE82" s="47" t="n">
        <f aca="false">MIN(AD82,Sorted!$G$8)</f>
        <v>0</v>
      </c>
      <c r="AF82" s="47" t="n">
        <f aca="false">MAX(0,MIN(AD82-AE82,$C82-(H82+L82+P82+T82+X82+AB82)))</f>
        <v>0</v>
      </c>
      <c r="AG82" s="47" t="n">
        <f aca="false">ROUND(AD82-AE82-AF82,2)</f>
        <v>0</v>
      </c>
      <c r="AH82" s="47" t="n">
        <f aca="false">ROUND(AK81*(1+Sorted!$H$9),2)</f>
        <v>0</v>
      </c>
      <c r="AI82" s="47" t="n">
        <f aca="false">MIN(AH82,Sorted!$G$9)</f>
        <v>0</v>
      </c>
      <c r="AJ82" s="47" t="n">
        <f aca="false">MAX(0,MIN(AH82-AI82,$C82-(H82+L82+P82+T82+X82+AB82+AF82)))</f>
        <v>0</v>
      </c>
      <c r="AK82" s="47" t="n">
        <f aca="false">ROUND(AH82-AI82-AJ82,2)</f>
        <v>0</v>
      </c>
      <c r="AL82" s="47" t="n">
        <f aca="false">ROUND(AO81*(1+Sorted!$H$10),2)</f>
        <v>0</v>
      </c>
      <c r="AM82" s="47" t="n">
        <f aca="false">MIN(AL82,Sorted!$G$10)</f>
        <v>0</v>
      </c>
      <c r="AN82" s="47" t="n">
        <f aca="false">MAX(0,MIN(AL82-AM82,$C82-(H82+L82+P82+T82+X82+AB82+AF82+AJ82)))</f>
        <v>0</v>
      </c>
      <c r="AO82" s="47" t="n">
        <f aca="false">ROUND(AL82-AM82-AN82,2)</f>
        <v>0</v>
      </c>
      <c r="AP82" s="47" t="n">
        <f aca="false">ROUND(AS81*(1+Sorted!$H$11),2)</f>
        <v>0</v>
      </c>
      <c r="AQ82" s="47" t="n">
        <f aca="false">MIN(AP82,Sorted!$G$11)</f>
        <v>0</v>
      </c>
      <c r="AR82" s="47" t="n">
        <f aca="false">MAX(0,MIN(AP82-AQ82,$C82-(H82+L82+P82+T82+X82+AB82+AF82+AJ82+AN82)))</f>
        <v>0</v>
      </c>
      <c r="AS82" s="47" t="n">
        <f aca="false">ROUND(AP82-AQ82-AR82,2)</f>
        <v>0</v>
      </c>
    </row>
    <row r="83" customFormat="false" ht="15" hidden="false" customHeight="false" outlineLevel="0" collapsed="false">
      <c r="A83" s="45" t="n">
        <v>80</v>
      </c>
      <c r="B83" s="46" t="n">
        <f aca="false">EDATE('My Debts'!$C$7,A83-1)</f>
        <v>48731</v>
      </c>
      <c r="C83" s="47" t="n">
        <f aca="false">MAX(0,'My Debts'!$E$6-(G83+K83+O83+S83+W83+AA83+AE83+AI83+AM83+AQ83))</f>
        <v>730</v>
      </c>
      <c r="D83" s="47" t="n">
        <f aca="false">(F83+J83+N83+R83+V83+Z83+AD83+AH83+AL83+AP83)-(I83+M83+Q83+U83+Y83+AC83+AG83+AK83+AO83+AS83)</f>
        <v>0</v>
      </c>
      <c r="E83" s="48" t="n">
        <f aca="false">I83+M83+Q83+U83+Y83+AC83+AG83+AK83+AO83+AS83</f>
        <v>0</v>
      </c>
      <c r="F83" s="47" t="n">
        <f aca="false">ROUND(I82*(1+Sorted!$H$2),2)</f>
        <v>0</v>
      </c>
      <c r="G83" s="47" t="n">
        <f aca="false">MIN(F83,Sorted!$G$2)</f>
        <v>0</v>
      </c>
      <c r="H83" s="47" t="n">
        <f aca="false">MAX(0,MIN(F83-G83,$C83-(0)))</f>
        <v>0</v>
      </c>
      <c r="I83" s="47" t="n">
        <f aca="false">ROUND(F83-G83-H83,2)</f>
        <v>0</v>
      </c>
      <c r="J83" s="47" t="n">
        <f aca="false">ROUND(M82*(1+Sorted!$H$3),2)</f>
        <v>0</v>
      </c>
      <c r="K83" s="47" t="n">
        <f aca="false">MIN(J83,Sorted!$G$3)</f>
        <v>0</v>
      </c>
      <c r="L83" s="47" t="n">
        <f aca="false">MAX(0,MIN(J83-K83,$C83-(H83)))</f>
        <v>0</v>
      </c>
      <c r="M83" s="47" t="n">
        <f aca="false">ROUND(J83-K83-L83,2)</f>
        <v>0</v>
      </c>
      <c r="N83" s="47" t="n">
        <f aca="false">ROUND(Q82*(1+Sorted!$H$4),2)</f>
        <v>0</v>
      </c>
      <c r="O83" s="47" t="n">
        <f aca="false">MIN(N83,Sorted!$G$4)</f>
        <v>0</v>
      </c>
      <c r="P83" s="47" t="n">
        <f aca="false">MAX(0,MIN(N83-O83,$C83-(H83+L83)))</f>
        <v>0</v>
      </c>
      <c r="Q83" s="47" t="n">
        <f aca="false">ROUND(N83-O83-P83,2)</f>
        <v>0</v>
      </c>
      <c r="R83" s="47" t="n">
        <f aca="false">ROUND(U82*(1+Sorted!$H$5),2)</f>
        <v>0</v>
      </c>
      <c r="S83" s="47" t="n">
        <f aca="false">MIN(R83,Sorted!$G$5)</f>
        <v>0</v>
      </c>
      <c r="T83" s="47" t="n">
        <f aca="false">MAX(0,MIN(R83-S83,$C83-(H83+L83+P83)))</f>
        <v>0</v>
      </c>
      <c r="U83" s="47" t="n">
        <f aca="false">ROUND(R83-S83-T83,2)</f>
        <v>0</v>
      </c>
      <c r="V83" s="47" t="n">
        <f aca="false">ROUND(Y82*(1+Sorted!$H$6),2)</f>
        <v>0</v>
      </c>
      <c r="W83" s="47" t="n">
        <f aca="false">MIN(V83,Sorted!$G$6)</f>
        <v>0</v>
      </c>
      <c r="X83" s="47" t="n">
        <f aca="false">MAX(0,MIN(V83-W83,$C83-(H83+L83+P83+T83)))</f>
        <v>0</v>
      </c>
      <c r="Y83" s="47" t="n">
        <f aca="false">ROUND(V83-W83-X83,2)</f>
        <v>0</v>
      </c>
      <c r="Z83" s="47" t="n">
        <f aca="false">ROUND(AC82*(1+Sorted!$H$7),2)</f>
        <v>0</v>
      </c>
      <c r="AA83" s="47" t="n">
        <f aca="false">MIN(Z83,Sorted!$G$7)</f>
        <v>0</v>
      </c>
      <c r="AB83" s="47" t="n">
        <f aca="false">MAX(0,MIN(Z83-AA83,$C83-(H83+L83+P83+T83+X83)))</f>
        <v>0</v>
      </c>
      <c r="AC83" s="47" t="n">
        <f aca="false">ROUND(Z83-AA83-AB83,2)</f>
        <v>0</v>
      </c>
      <c r="AD83" s="47" t="n">
        <f aca="false">ROUND(AG82*(1+Sorted!$H$8),2)</f>
        <v>0</v>
      </c>
      <c r="AE83" s="47" t="n">
        <f aca="false">MIN(AD83,Sorted!$G$8)</f>
        <v>0</v>
      </c>
      <c r="AF83" s="47" t="n">
        <f aca="false">MAX(0,MIN(AD83-AE83,$C83-(H83+L83+P83+T83+X83+AB83)))</f>
        <v>0</v>
      </c>
      <c r="AG83" s="47" t="n">
        <f aca="false">ROUND(AD83-AE83-AF83,2)</f>
        <v>0</v>
      </c>
      <c r="AH83" s="47" t="n">
        <f aca="false">ROUND(AK82*(1+Sorted!$H$9),2)</f>
        <v>0</v>
      </c>
      <c r="AI83" s="47" t="n">
        <f aca="false">MIN(AH83,Sorted!$G$9)</f>
        <v>0</v>
      </c>
      <c r="AJ83" s="47" t="n">
        <f aca="false">MAX(0,MIN(AH83-AI83,$C83-(H83+L83+P83+T83+X83+AB83+AF83)))</f>
        <v>0</v>
      </c>
      <c r="AK83" s="47" t="n">
        <f aca="false">ROUND(AH83-AI83-AJ83,2)</f>
        <v>0</v>
      </c>
      <c r="AL83" s="47" t="n">
        <f aca="false">ROUND(AO82*(1+Sorted!$H$10),2)</f>
        <v>0</v>
      </c>
      <c r="AM83" s="47" t="n">
        <f aca="false">MIN(AL83,Sorted!$G$10)</f>
        <v>0</v>
      </c>
      <c r="AN83" s="47" t="n">
        <f aca="false">MAX(0,MIN(AL83-AM83,$C83-(H83+L83+P83+T83+X83+AB83+AF83+AJ83)))</f>
        <v>0</v>
      </c>
      <c r="AO83" s="47" t="n">
        <f aca="false">ROUND(AL83-AM83-AN83,2)</f>
        <v>0</v>
      </c>
      <c r="AP83" s="47" t="n">
        <f aca="false">ROUND(AS82*(1+Sorted!$H$11),2)</f>
        <v>0</v>
      </c>
      <c r="AQ83" s="47" t="n">
        <f aca="false">MIN(AP83,Sorted!$G$11)</f>
        <v>0</v>
      </c>
      <c r="AR83" s="47" t="n">
        <f aca="false">MAX(0,MIN(AP83-AQ83,$C83-(H83+L83+P83+T83+X83+AB83+AF83+AJ83+AN83)))</f>
        <v>0</v>
      </c>
      <c r="AS83" s="47" t="n">
        <f aca="false">ROUND(AP83-AQ83-AR83,2)</f>
        <v>0</v>
      </c>
    </row>
    <row r="84" customFormat="false" ht="15" hidden="false" customHeight="false" outlineLevel="0" collapsed="false">
      <c r="A84" s="45" t="n">
        <v>81</v>
      </c>
      <c r="B84" s="46" t="n">
        <f aca="false">EDATE('My Debts'!$C$7,A84-1)</f>
        <v>48761</v>
      </c>
      <c r="C84" s="47" t="n">
        <f aca="false">MAX(0,'My Debts'!$E$6-(G84+K84+O84+S84+W84+AA84+AE84+AI84+AM84+AQ84))</f>
        <v>730</v>
      </c>
      <c r="D84" s="47" t="n">
        <f aca="false">(F84+J84+N84+R84+V84+Z84+AD84+AH84+AL84+AP84)-(I84+M84+Q84+U84+Y84+AC84+AG84+AK84+AO84+AS84)</f>
        <v>0</v>
      </c>
      <c r="E84" s="48" t="n">
        <f aca="false">I84+M84+Q84+U84+Y84+AC84+AG84+AK84+AO84+AS84</f>
        <v>0</v>
      </c>
      <c r="F84" s="47" t="n">
        <f aca="false">ROUND(I83*(1+Sorted!$H$2),2)</f>
        <v>0</v>
      </c>
      <c r="G84" s="47" t="n">
        <f aca="false">MIN(F84,Sorted!$G$2)</f>
        <v>0</v>
      </c>
      <c r="H84" s="47" t="n">
        <f aca="false">MAX(0,MIN(F84-G84,$C84-(0)))</f>
        <v>0</v>
      </c>
      <c r="I84" s="47" t="n">
        <f aca="false">ROUND(F84-G84-H84,2)</f>
        <v>0</v>
      </c>
      <c r="J84" s="47" t="n">
        <f aca="false">ROUND(M83*(1+Sorted!$H$3),2)</f>
        <v>0</v>
      </c>
      <c r="K84" s="47" t="n">
        <f aca="false">MIN(J84,Sorted!$G$3)</f>
        <v>0</v>
      </c>
      <c r="L84" s="47" t="n">
        <f aca="false">MAX(0,MIN(J84-K84,$C84-(H84)))</f>
        <v>0</v>
      </c>
      <c r="M84" s="47" t="n">
        <f aca="false">ROUND(J84-K84-L84,2)</f>
        <v>0</v>
      </c>
      <c r="N84" s="47" t="n">
        <f aca="false">ROUND(Q83*(1+Sorted!$H$4),2)</f>
        <v>0</v>
      </c>
      <c r="O84" s="47" t="n">
        <f aca="false">MIN(N84,Sorted!$G$4)</f>
        <v>0</v>
      </c>
      <c r="P84" s="47" t="n">
        <f aca="false">MAX(0,MIN(N84-O84,$C84-(H84+L84)))</f>
        <v>0</v>
      </c>
      <c r="Q84" s="47" t="n">
        <f aca="false">ROUND(N84-O84-P84,2)</f>
        <v>0</v>
      </c>
      <c r="R84" s="47" t="n">
        <f aca="false">ROUND(U83*(1+Sorted!$H$5),2)</f>
        <v>0</v>
      </c>
      <c r="S84" s="47" t="n">
        <f aca="false">MIN(R84,Sorted!$G$5)</f>
        <v>0</v>
      </c>
      <c r="T84" s="47" t="n">
        <f aca="false">MAX(0,MIN(R84-S84,$C84-(H84+L84+P84)))</f>
        <v>0</v>
      </c>
      <c r="U84" s="47" t="n">
        <f aca="false">ROUND(R84-S84-T84,2)</f>
        <v>0</v>
      </c>
      <c r="V84" s="47" t="n">
        <f aca="false">ROUND(Y83*(1+Sorted!$H$6),2)</f>
        <v>0</v>
      </c>
      <c r="W84" s="47" t="n">
        <f aca="false">MIN(V84,Sorted!$G$6)</f>
        <v>0</v>
      </c>
      <c r="X84" s="47" t="n">
        <f aca="false">MAX(0,MIN(V84-W84,$C84-(H84+L84+P84+T84)))</f>
        <v>0</v>
      </c>
      <c r="Y84" s="47" t="n">
        <f aca="false">ROUND(V84-W84-X84,2)</f>
        <v>0</v>
      </c>
      <c r="Z84" s="47" t="n">
        <f aca="false">ROUND(AC83*(1+Sorted!$H$7),2)</f>
        <v>0</v>
      </c>
      <c r="AA84" s="47" t="n">
        <f aca="false">MIN(Z84,Sorted!$G$7)</f>
        <v>0</v>
      </c>
      <c r="AB84" s="47" t="n">
        <f aca="false">MAX(0,MIN(Z84-AA84,$C84-(H84+L84+P84+T84+X84)))</f>
        <v>0</v>
      </c>
      <c r="AC84" s="47" t="n">
        <f aca="false">ROUND(Z84-AA84-AB84,2)</f>
        <v>0</v>
      </c>
      <c r="AD84" s="47" t="n">
        <f aca="false">ROUND(AG83*(1+Sorted!$H$8),2)</f>
        <v>0</v>
      </c>
      <c r="AE84" s="47" t="n">
        <f aca="false">MIN(AD84,Sorted!$G$8)</f>
        <v>0</v>
      </c>
      <c r="AF84" s="47" t="n">
        <f aca="false">MAX(0,MIN(AD84-AE84,$C84-(H84+L84+P84+T84+X84+AB84)))</f>
        <v>0</v>
      </c>
      <c r="AG84" s="47" t="n">
        <f aca="false">ROUND(AD84-AE84-AF84,2)</f>
        <v>0</v>
      </c>
      <c r="AH84" s="47" t="n">
        <f aca="false">ROUND(AK83*(1+Sorted!$H$9),2)</f>
        <v>0</v>
      </c>
      <c r="AI84" s="47" t="n">
        <f aca="false">MIN(AH84,Sorted!$G$9)</f>
        <v>0</v>
      </c>
      <c r="AJ84" s="47" t="n">
        <f aca="false">MAX(0,MIN(AH84-AI84,$C84-(H84+L84+P84+T84+X84+AB84+AF84)))</f>
        <v>0</v>
      </c>
      <c r="AK84" s="47" t="n">
        <f aca="false">ROUND(AH84-AI84-AJ84,2)</f>
        <v>0</v>
      </c>
      <c r="AL84" s="47" t="n">
        <f aca="false">ROUND(AO83*(1+Sorted!$H$10),2)</f>
        <v>0</v>
      </c>
      <c r="AM84" s="47" t="n">
        <f aca="false">MIN(AL84,Sorted!$G$10)</f>
        <v>0</v>
      </c>
      <c r="AN84" s="47" t="n">
        <f aca="false">MAX(0,MIN(AL84-AM84,$C84-(H84+L84+P84+T84+X84+AB84+AF84+AJ84)))</f>
        <v>0</v>
      </c>
      <c r="AO84" s="47" t="n">
        <f aca="false">ROUND(AL84-AM84-AN84,2)</f>
        <v>0</v>
      </c>
      <c r="AP84" s="47" t="n">
        <f aca="false">ROUND(AS83*(1+Sorted!$H$11),2)</f>
        <v>0</v>
      </c>
      <c r="AQ84" s="47" t="n">
        <f aca="false">MIN(AP84,Sorted!$G$11)</f>
        <v>0</v>
      </c>
      <c r="AR84" s="47" t="n">
        <f aca="false">MAX(0,MIN(AP84-AQ84,$C84-(H84+L84+P84+T84+X84+AB84+AF84+AJ84+AN84)))</f>
        <v>0</v>
      </c>
      <c r="AS84" s="47" t="n">
        <f aca="false">ROUND(AP84-AQ84-AR84,2)</f>
        <v>0</v>
      </c>
    </row>
    <row r="85" customFormat="false" ht="15" hidden="false" customHeight="false" outlineLevel="0" collapsed="false">
      <c r="A85" s="45" t="n">
        <v>82</v>
      </c>
      <c r="B85" s="46" t="n">
        <f aca="false">EDATE('My Debts'!$C$7,A85-1)</f>
        <v>48792</v>
      </c>
      <c r="C85" s="47" t="n">
        <f aca="false">MAX(0,'My Debts'!$E$6-(G85+K85+O85+S85+W85+AA85+AE85+AI85+AM85+AQ85))</f>
        <v>730</v>
      </c>
      <c r="D85" s="47" t="n">
        <f aca="false">(F85+J85+N85+R85+V85+Z85+AD85+AH85+AL85+AP85)-(I85+M85+Q85+U85+Y85+AC85+AG85+AK85+AO85+AS85)</f>
        <v>0</v>
      </c>
      <c r="E85" s="48" t="n">
        <f aca="false">I85+M85+Q85+U85+Y85+AC85+AG85+AK85+AO85+AS85</f>
        <v>0</v>
      </c>
      <c r="F85" s="47" t="n">
        <f aca="false">ROUND(I84*(1+Sorted!$H$2),2)</f>
        <v>0</v>
      </c>
      <c r="G85" s="47" t="n">
        <f aca="false">MIN(F85,Sorted!$G$2)</f>
        <v>0</v>
      </c>
      <c r="H85" s="47" t="n">
        <f aca="false">MAX(0,MIN(F85-G85,$C85-(0)))</f>
        <v>0</v>
      </c>
      <c r="I85" s="47" t="n">
        <f aca="false">ROUND(F85-G85-H85,2)</f>
        <v>0</v>
      </c>
      <c r="J85" s="47" t="n">
        <f aca="false">ROUND(M84*(1+Sorted!$H$3),2)</f>
        <v>0</v>
      </c>
      <c r="K85" s="47" t="n">
        <f aca="false">MIN(J85,Sorted!$G$3)</f>
        <v>0</v>
      </c>
      <c r="L85" s="47" t="n">
        <f aca="false">MAX(0,MIN(J85-K85,$C85-(H85)))</f>
        <v>0</v>
      </c>
      <c r="M85" s="47" t="n">
        <f aca="false">ROUND(J85-K85-L85,2)</f>
        <v>0</v>
      </c>
      <c r="N85" s="47" t="n">
        <f aca="false">ROUND(Q84*(1+Sorted!$H$4),2)</f>
        <v>0</v>
      </c>
      <c r="O85" s="47" t="n">
        <f aca="false">MIN(N85,Sorted!$G$4)</f>
        <v>0</v>
      </c>
      <c r="P85" s="47" t="n">
        <f aca="false">MAX(0,MIN(N85-O85,$C85-(H85+L85)))</f>
        <v>0</v>
      </c>
      <c r="Q85" s="47" t="n">
        <f aca="false">ROUND(N85-O85-P85,2)</f>
        <v>0</v>
      </c>
      <c r="R85" s="47" t="n">
        <f aca="false">ROUND(U84*(1+Sorted!$H$5),2)</f>
        <v>0</v>
      </c>
      <c r="S85" s="47" t="n">
        <f aca="false">MIN(R85,Sorted!$G$5)</f>
        <v>0</v>
      </c>
      <c r="T85" s="47" t="n">
        <f aca="false">MAX(0,MIN(R85-S85,$C85-(H85+L85+P85)))</f>
        <v>0</v>
      </c>
      <c r="U85" s="47" t="n">
        <f aca="false">ROUND(R85-S85-T85,2)</f>
        <v>0</v>
      </c>
      <c r="V85" s="47" t="n">
        <f aca="false">ROUND(Y84*(1+Sorted!$H$6),2)</f>
        <v>0</v>
      </c>
      <c r="W85" s="47" t="n">
        <f aca="false">MIN(V85,Sorted!$G$6)</f>
        <v>0</v>
      </c>
      <c r="X85" s="47" t="n">
        <f aca="false">MAX(0,MIN(V85-W85,$C85-(H85+L85+P85+T85)))</f>
        <v>0</v>
      </c>
      <c r="Y85" s="47" t="n">
        <f aca="false">ROUND(V85-W85-X85,2)</f>
        <v>0</v>
      </c>
      <c r="Z85" s="47" t="n">
        <f aca="false">ROUND(AC84*(1+Sorted!$H$7),2)</f>
        <v>0</v>
      </c>
      <c r="AA85" s="47" t="n">
        <f aca="false">MIN(Z85,Sorted!$G$7)</f>
        <v>0</v>
      </c>
      <c r="AB85" s="47" t="n">
        <f aca="false">MAX(0,MIN(Z85-AA85,$C85-(H85+L85+P85+T85+X85)))</f>
        <v>0</v>
      </c>
      <c r="AC85" s="47" t="n">
        <f aca="false">ROUND(Z85-AA85-AB85,2)</f>
        <v>0</v>
      </c>
      <c r="AD85" s="47" t="n">
        <f aca="false">ROUND(AG84*(1+Sorted!$H$8),2)</f>
        <v>0</v>
      </c>
      <c r="AE85" s="47" t="n">
        <f aca="false">MIN(AD85,Sorted!$G$8)</f>
        <v>0</v>
      </c>
      <c r="AF85" s="47" t="n">
        <f aca="false">MAX(0,MIN(AD85-AE85,$C85-(H85+L85+P85+T85+X85+AB85)))</f>
        <v>0</v>
      </c>
      <c r="AG85" s="47" t="n">
        <f aca="false">ROUND(AD85-AE85-AF85,2)</f>
        <v>0</v>
      </c>
      <c r="AH85" s="47" t="n">
        <f aca="false">ROUND(AK84*(1+Sorted!$H$9),2)</f>
        <v>0</v>
      </c>
      <c r="AI85" s="47" t="n">
        <f aca="false">MIN(AH85,Sorted!$G$9)</f>
        <v>0</v>
      </c>
      <c r="AJ85" s="47" t="n">
        <f aca="false">MAX(0,MIN(AH85-AI85,$C85-(H85+L85+P85+T85+X85+AB85+AF85)))</f>
        <v>0</v>
      </c>
      <c r="AK85" s="47" t="n">
        <f aca="false">ROUND(AH85-AI85-AJ85,2)</f>
        <v>0</v>
      </c>
      <c r="AL85" s="47" t="n">
        <f aca="false">ROUND(AO84*(1+Sorted!$H$10),2)</f>
        <v>0</v>
      </c>
      <c r="AM85" s="47" t="n">
        <f aca="false">MIN(AL85,Sorted!$G$10)</f>
        <v>0</v>
      </c>
      <c r="AN85" s="47" t="n">
        <f aca="false">MAX(0,MIN(AL85-AM85,$C85-(H85+L85+P85+T85+X85+AB85+AF85+AJ85)))</f>
        <v>0</v>
      </c>
      <c r="AO85" s="47" t="n">
        <f aca="false">ROUND(AL85-AM85-AN85,2)</f>
        <v>0</v>
      </c>
      <c r="AP85" s="47" t="n">
        <f aca="false">ROUND(AS84*(1+Sorted!$H$11),2)</f>
        <v>0</v>
      </c>
      <c r="AQ85" s="47" t="n">
        <f aca="false">MIN(AP85,Sorted!$G$11)</f>
        <v>0</v>
      </c>
      <c r="AR85" s="47" t="n">
        <f aca="false">MAX(0,MIN(AP85-AQ85,$C85-(H85+L85+P85+T85+X85+AB85+AF85+AJ85+AN85)))</f>
        <v>0</v>
      </c>
      <c r="AS85" s="47" t="n">
        <f aca="false">ROUND(AP85-AQ85-AR85,2)</f>
        <v>0</v>
      </c>
    </row>
    <row r="86" customFormat="false" ht="15" hidden="false" customHeight="false" outlineLevel="0" collapsed="false">
      <c r="A86" s="45" t="n">
        <v>83</v>
      </c>
      <c r="B86" s="46" t="n">
        <f aca="false">EDATE('My Debts'!$C$7,A86-1)</f>
        <v>48823</v>
      </c>
      <c r="C86" s="47" t="n">
        <f aca="false">MAX(0,'My Debts'!$E$6-(G86+K86+O86+S86+W86+AA86+AE86+AI86+AM86+AQ86))</f>
        <v>730</v>
      </c>
      <c r="D86" s="47" t="n">
        <f aca="false">(F86+J86+N86+R86+V86+Z86+AD86+AH86+AL86+AP86)-(I86+M86+Q86+U86+Y86+AC86+AG86+AK86+AO86+AS86)</f>
        <v>0</v>
      </c>
      <c r="E86" s="48" t="n">
        <f aca="false">I86+M86+Q86+U86+Y86+AC86+AG86+AK86+AO86+AS86</f>
        <v>0</v>
      </c>
      <c r="F86" s="47" t="n">
        <f aca="false">ROUND(I85*(1+Sorted!$H$2),2)</f>
        <v>0</v>
      </c>
      <c r="G86" s="47" t="n">
        <f aca="false">MIN(F86,Sorted!$G$2)</f>
        <v>0</v>
      </c>
      <c r="H86" s="47" t="n">
        <f aca="false">MAX(0,MIN(F86-G86,$C86-(0)))</f>
        <v>0</v>
      </c>
      <c r="I86" s="47" t="n">
        <f aca="false">ROUND(F86-G86-H86,2)</f>
        <v>0</v>
      </c>
      <c r="J86" s="47" t="n">
        <f aca="false">ROUND(M85*(1+Sorted!$H$3),2)</f>
        <v>0</v>
      </c>
      <c r="K86" s="47" t="n">
        <f aca="false">MIN(J86,Sorted!$G$3)</f>
        <v>0</v>
      </c>
      <c r="L86" s="47" t="n">
        <f aca="false">MAX(0,MIN(J86-K86,$C86-(H86)))</f>
        <v>0</v>
      </c>
      <c r="M86" s="47" t="n">
        <f aca="false">ROUND(J86-K86-L86,2)</f>
        <v>0</v>
      </c>
      <c r="N86" s="47" t="n">
        <f aca="false">ROUND(Q85*(1+Sorted!$H$4),2)</f>
        <v>0</v>
      </c>
      <c r="O86" s="47" t="n">
        <f aca="false">MIN(N86,Sorted!$G$4)</f>
        <v>0</v>
      </c>
      <c r="P86" s="47" t="n">
        <f aca="false">MAX(0,MIN(N86-O86,$C86-(H86+L86)))</f>
        <v>0</v>
      </c>
      <c r="Q86" s="47" t="n">
        <f aca="false">ROUND(N86-O86-P86,2)</f>
        <v>0</v>
      </c>
      <c r="R86" s="47" t="n">
        <f aca="false">ROUND(U85*(1+Sorted!$H$5),2)</f>
        <v>0</v>
      </c>
      <c r="S86" s="47" t="n">
        <f aca="false">MIN(R86,Sorted!$G$5)</f>
        <v>0</v>
      </c>
      <c r="T86" s="47" t="n">
        <f aca="false">MAX(0,MIN(R86-S86,$C86-(H86+L86+P86)))</f>
        <v>0</v>
      </c>
      <c r="U86" s="47" t="n">
        <f aca="false">ROUND(R86-S86-T86,2)</f>
        <v>0</v>
      </c>
      <c r="V86" s="47" t="n">
        <f aca="false">ROUND(Y85*(1+Sorted!$H$6),2)</f>
        <v>0</v>
      </c>
      <c r="W86" s="47" t="n">
        <f aca="false">MIN(V86,Sorted!$G$6)</f>
        <v>0</v>
      </c>
      <c r="X86" s="47" t="n">
        <f aca="false">MAX(0,MIN(V86-W86,$C86-(H86+L86+P86+T86)))</f>
        <v>0</v>
      </c>
      <c r="Y86" s="47" t="n">
        <f aca="false">ROUND(V86-W86-X86,2)</f>
        <v>0</v>
      </c>
      <c r="Z86" s="47" t="n">
        <f aca="false">ROUND(AC85*(1+Sorted!$H$7),2)</f>
        <v>0</v>
      </c>
      <c r="AA86" s="47" t="n">
        <f aca="false">MIN(Z86,Sorted!$G$7)</f>
        <v>0</v>
      </c>
      <c r="AB86" s="47" t="n">
        <f aca="false">MAX(0,MIN(Z86-AA86,$C86-(H86+L86+P86+T86+X86)))</f>
        <v>0</v>
      </c>
      <c r="AC86" s="47" t="n">
        <f aca="false">ROUND(Z86-AA86-AB86,2)</f>
        <v>0</v>
      </c>
      <c r="AD86" s="47" t="n">
        <f aca="false">ROUND(AG85*(1+Sorted!$H$8),2)</f>
        <v>0</v>
      </c>
      <c r="AE86" s="47" t="n">
        <f aca="false">MIN(AD86,Sorted!$G$8)</f>
        <v>0</v>
      </c>
      <c r="AF86" s="47" t="n">
        <f aca="false">MAX(0,MIN(AD86-AE86,$C86-(H86+L86+P86+T86+X86+AB86)))</f>
        <v>0</v>
      </c>
      <c r="AG86" s="47" t="n">
        <f aca="false">ROUND(AD86-AE86-AF86,2)</f>
        <v>0</v>
      </c>
      <c r="AH86" s="47" t="n">
        <f aca="false">ROUND(AK85*(1+Sorted!$H$9),2)</f>
        <v>0</v>
      </c>
      <c r="AI86" s="47" t="n">
        <f aca="false">MIN(AH86,Sorted!$G$9)</f>
        <v>0</v>
      </c>
      <c r="AJ86" s="47" t="n">
        <f aca="false">MAX(0,MIN(AH86-AI86,$C86-(H86+L86+P86+T86+X86+AB86+AF86)))</f>
        <v>0</v>
      </c>
      <c r="AK86" s="47" t="n">
        <f aca="false">ROUND(AH86-AI86-AJ86,2)</f>
        <v>0</v>
      </c>
      <c r="AL86" s="47" t="n">
        <f aca="false">ROUND(AO85*(1+Sorted!$H$10),2)</f>
        <v>0</v>
      </c>
      <c r="AM86" s="47" t="n">
        <f aca="false">MIN(AL86,Sorted!$G$10)</f>
        <v>0</v>
      </c>
      <c r="AN86" s="47" t="n">
        <f aca="false">MAX(0,MIN(AL86-AM86,$C86-(H86+L86+P86+T86+X86+AB86+AF86+AJ86)))</f>
        <v>0</v>
      </c>
      <c r="AO86" s="47" t="n">
        <f aca="false">ROUND(AL86-AM86-AN86,2)</f>
        <v>0</v>
      </c>
      <c r="AP86" s="47" t="n">
        <f aca="false">ROUND(AS85*(1+Sorted!$H$11),2)</f>
        <v>0</v>
      </c>
      <c r="AQ86" s="47" t="n">
        <f aca="false">MIN(AP86,Sorted!$G$11)</f>
        <v>0</v>
      </c>
      <c r="AR86" s="47" t="n">
        <f aca="false">MAX(0,MIN(AP86-AQ86,$C86-(H86+L86+P86+T86+X86+AB86+AF86+AJ86+AN86)))</f>
        <v>0</v>
      </c>
      <c r="AS86" s="47" t="n">
        <f aca="false">ROUND(AP86-AQ86-AR86,2)</f>
        <v>0</v>
      </c>
    </row>
    <row r="87" customFormat="false" ht="15" hidden="false" customHeight="false" outlineLevel="0" collapsed="false">
      <c r="A87" s="45" t="n">
        <v>84</v>
      </c>
      <c r="B87" s="46" t="n">
        <f aca="false">EDATE('My Debts'!$C$7,A87-1)</f>
        <v>48853</v>
      </c>
      <c r="C87" s="47" t="n">
        <f aca="false">MAX(0,'My Debts'!$E$6-(G87+K87+O87+S87+W87+AA87+AE87+AI87+AM87+AQ87))</f>
        <v>730</v>
      </c>
      <c r="D87" s="47" t="n">
        <f aca="false">(F87+J87+N87+R87+V87+Z87+AD87+AH87+AL87+AP87)-(I87+M87+Q87+U87+Y87+AC87+AG87+AK87+AO87+AS87)</f>
        <v>0</v>
      </c>
      <c r="E87" s="48" t="n">
        <f aca="false">I87+M87+Q87+U87+Y87+AC87+AG87+AK87+AO87+AS87</f>
        <v>0</v>
      </c>
      <c r="F87" s="47" t="n">
        <f aca="false">ROUND(I86*(1+Sorted!$H$2),2)</f>
        <v>0</v>
      </c>
      <c r="G87" s="47" t="n">
        <f aca="false">MIN(F87,Sorted!$G$2)</f>
        <v>0</v>
      </c>
      <c r="H87" s="47" t="n">
        <f aca="false">MAX(0,MIN(F87-G87,$C87-(0)))</f>
        <v>0</v>
      </c>
      <c r="I87" s="47" t="n">
        <f aca="false">ROUND(F87-G87-H87,2)</f>
        <v>0</v>
      </c>
      <c r="J87" s="47" t="n">
        <f aca="false">ROUND(M86*(1+Sorted!$H$3),2)</f>
        <v>0</v>
      </c>
      <c r="K87" s="47" t="n">
        <f aca="false">MIN(J87,Sorted!$G$3)</f>
        <v>0</v>
      </c>
      <c r="L87" s="47" t="n">
        <f aca="false">MAX(0,MIN(J87-K87,$C87-(H87)))</f>
        <v>0</v>
      </c>
      <c r="M87" s="47" t="n">
        <f aca="false">ROUND(J87-K87-L87,2)</f>
        <v>0</v>
      </c>
      <c r="N87" s="47" t="n">
        <f aca="false">ROUND(Q86*(1+Sorted!$H$4),2)</f>
        <v>0</v>
      </c>
      <c r="O87" s="47" t="n">
        <f aca="false">MIN(N87,Sorted!$G$4)</f>
        <v>0</v>
      </c>
      <c r="P87" s="47" t="n">
        <f aca="false">MAX(0,MIN(N87-O87,$C87-(H87+L87)))</f>
        <v>0</v>
      </c>
      <c r="Q87" s="47" t="n">
        <f aca="false">ROUND(N87-O87-P87,2)</f>
        <v>0</v>
      </c>
      <c r="R87" s="47" t="n">
        <f aca="false">ROUND(U86*(1+Sorted!$H$5),2)</f>
        <v>0</v>
      </c>
      <c r="S87" s="47" t="n">
        <f aca="false">MIN(R87,Sorted!$G$5)</f>
        <v>0</v>
      </c>
      <c r="T87" s="47" t="n">
        <f aca="false">MAX(0,MIN(R87-S87,$C87-(H87+L87+P87)))</f>
        <v>0</v>
      </c>
      <c r="U87" s="47" t="n">
        <f aca="false">ROUND(R87-S87-T87,2)</f>
        <v>0</v>
      </c>
      <c r="V87" s="47" t="n">
        <f aca="false">ROUND(Y86*(1+Sorted!$H$6),2)</f>
        <v>0</v>
      </c>
      <c r="W87" s="47" t="n">
        <f aca="false">MIN(V87,Sorted!$G$6)</f>
        <v>0</v>
      </c>
      <c r="X87" s="47" t="n">
        <f aca="false">MAX(0,MIN(V87-W87,$C87-(H87+L87+P87+T87)))</f>
        <v>0</v>
      </c>
      <c r="Y87" s="47" t="n">
        <f aca="false">ROUND(V87-W87-X87,2)</f>
        <v>0</v>
      </c>
      <c r="Z87" s="47" t="n">
        <f aca="false">ROUND(AC86*(1+Sorted!$H$7),2)</f>
        <v>0</v>
      </c>
      <c r="AA87" s="47" t="n">
        <f aca="false">MIN(Z87,Sorted!$G$7)</f>
        <v>0</v>
      </c>
      <c r="AB87" s="47" t="n">
        <f aca="false">MAX(0,MIN(Z87-AA87,$C87-(H87+L87+P87+T87+X87)))</f>
        <v>0</v>
      </c>
      <c r="AC87" s="47" t="n">
        <f aca="false">ROUND(Z87-AA87-AB87,2)</f>
        <v>0</v>
      </c>
      <c r="AD87" s="47" t="n">
        <f aca="false">ROUND(AG86*(1+Sorted!$H$8),2)</f>
        <v>0</v>
      </c>
      <c r="AE87" s="47" t="n">
        <f aca="false">MIN(AD87,Sorted!$G$8)</f>
        <v>0</v>
      </c>
      <c r="AF87" s="47" t="n">
        <f aca="false">MAX(0,MIN(AD87-AE87,$C87-(H87+L87+P87+T87+X87+AB87)))</f>
        <v>0</v>
      </c>
      <c r="AG87" s="47" t="n">
        <f aca="false">ROUND(AD87-AE87-AF87,2)</f>
        <v>0</v>
      </c>
      <c r="AH87" s="47" t="n">
        <f aca="false">ROUND(AK86*(1+Sorted!$H$9),2)</f>
        <v>0</v>
      </c>
      <c r="AI87" s="47" t="n">
        <f aca="false">MIN(AH87,Sorted!$G$9)</f>
        <v>0</v>
      </c>
      <c r="AJ87" s="47" t="n">
        <f aca="false">MAX(0,MIN(AH87-AI87,$C87-(H87+L87+P87+T87+X87+AB87+AF87)))</f>
        <v>0</v>
      </c>
      <c r="AK87" s="47" t="n">
        <f aca="false">ROUND(AH87-AI87-AJ87,2)</f>
        <v>0</v>
      </c>
      <c r="AL87" s="47" t="n">
        <f aca="false">ROUND(AO86*(1+Sorted!$H$10),2)</f>
        <v>0</v>
      </c>
      <c r="AM87" s="47" t="n">
        <f aca="false">MIN(AL87,Sorted!$G$10)</f>
        <v>0</v>
      </c>
      <c r="AN87" s="47" t="n">
        <f aca="false">MAX(0,MIN(AL87-AM87,$C87-(H87+L87+P87+T87+X87+AB87+AF87+AJ87)))</f>
        <v>0</v>
      </c>
      <c r="AO87" s="47" t="n">
        <f aca="false">ROUND(AL87-AM87-AN87,2)</f>
        <v>0</v>
      </c>
      <c r="AP87" s="47" t="n">
        <f aca="false">ROUND(AS86*(1+Sorted!$H$11),2)</f>
        <v>0</v>
      </c>
      <c r="AQ87" s="47" t="n">
        <f aca="false">MIN(AP87,Sorted!$G$11)</f>
        <v>0</v>
      </c>
      <c r="AR87" s="47" t="n">
        <f aca="false">MAX(0,MIN(AP87-AQ87,$C87-(H87+L87+P87+T87+X87+AB87+AF87+AJ87+AN87)))</f>
        <v>0</v>
      </c>
      <c r="AS87" s="47" t="n">
        <f aca="false">ROUND(AP87-AQ87-AR87,2)</f>
        <v>0</v>
      </c>
    </row>
    <row r="88" customFormat="false" ht="15" hidden="false" customHeight="false" outlineLevel="0" collapsed="false">
      <c r="A88" s="45" t="n">
        <v>85</v>
      </c>
      <c r="B88" s="46" t="n">
        <f aca="false">EDATE('My Debts'!$C$7,A88-1)</f>
        <v>48884</v>
      </c>
      <c r="C88" s="47" t="n">
        <f aca="false">MAX(0,'My Debts'!$E$6-(G88+K88+O88+S88+W88+AA88+AE88+AI88+AM88+AQ88))</f>
        <v>730</v>
      </c>
      <c r="D88" s="47" t="n">
        <f aca="false">(F88+J88+N88+R88+V88+Z88+AD88+AH88+AL88+AP88)-(I88+M88+Q88+U88+Y88+AC88+AG88+AK88+AO88+AS88)</f>
        <v>0</v>
      </c>
      <c r="E88" s="48" t="n">
        <f aca="false">I88+M88+Q88+U88+Y88+AC88+AG88+AK88+AO88+AS88</f>
        <v>0</v>
      </c>
      <c r="F88" s="47" t="n">
        <f aca="false">ROUND(I87*(1+Sorted!$H$2),2)</f>
        <v>0</v>
      </c>
      <c r="G88" s="47" t="n">
        <f aca="false">MIN(F88,Sorted!$G$2)</f>
        <v>0</v>
      </c>
      <c r="H88" s="47" t="n">
        <f aca="false">MAX(0,MIN(F88-G88,$C88-(0)))</f>
        <v>0</v>
      </c>
      <c r="I88" s="47" t="n">
        <f aca="false">ROUND(F88-G88-H88,2)</f>
        <v>0</v>
      </c>
      <c r="J88" s="47" t="n">
        <f aca="false">ROUND(M87*(1+Sorted!$H$3),2)</f>
        <v>0</v>
      </c>
      <c r="K88" s="47" t="n">
        <f aca="false">MIN(J88,Sorted!$G$3)</f>
        <v>0</v>
      </c>
      <c r="L88" s="47" t="n">
        <f aca="false">MAX(0,MIN(J88-K88,$C88-(H88)))</f>
        <v>0</v>
      </c>
      <c r="M88" s="47" t="n">
        <f aca="false">ROUND(J88-K88-L88,2)</f>
        <v>0</v>
      </c>
      <c r="N88" s="47" t="n">
        <f aca="false">ROUND(Q87*(1+Sorted!$H$4),2)</f>
        <v>0</v>
      </c>
      <c r="O88" s="47" t="n">
        <f aca="false">MIN(N88,Sorted!$G$4)</f>
        <v>0</v>
      </c>
      <c r="P88" s="47" t="n">
        <f aca="false">MAX(0,MIN(N88-O88,$C88-(H88+L88)))</f>
        <v>0</v>
      </c>
      <c r="Q88" s="47" t="n">
        <f aca="false">ROUND(N88-O88-P88,2)</f>
        <v>0</v>
      </c>
      <c r="R88" s="47" t="n">
        <f aca="false">ROUND(U87*(1+Sorted!$H$5),2)</f>
        <v>0</v>
      </c>
      <c r="S88" s="47" t="n">
        <f aca="false">MIN(R88,Sorted!$G$5)</f>
        <v>0</v>
      </c>
      <c r="T88" s="47" t="n">
        <f aca="false">MAX(0,MIN(R88-S88,$C88-(H88+L88+P88)))</f>
        <v>0</v>
      </c>
      <c r="U88" s="47" t="n">
        <f aca="false">ROUND(R88-S88-T88,2)</f>
        <v>0</v>
      </c>
      <c r="V88" s="47" t="n">
        <f aca="false">ROUND(Y87*(1+Sorted!$H$6),2)</f>
        <v>0</v>
      </c>
      <c r="W88" s="47" t="n">
        <f aca="false">MIN(V88,Sorted!$G$6)</f>
        <v>0</v>
      </c>
      <c r="X88" s="47" t="n">
        <f aca="false">MAX(0,MIN(V88-W88,$C88-(H88+L88+P88+T88)))</f>
        <v>0</v>
      </c>
      <c r="Y88" s="47" t="n">
        <f aca="false">ROUND(V88-W88-X88,2)</f>
        <v>0</v>
      </c>
      <c r="Z88" s="47" t="n">
        <f aca="false">ROUND(AC87*(1+Sorted!$H$7),2)</f>
        <v>0</v>
      </c>
      <c r="AA88" s="47" t="n">
        <f aca="false">MIN(Z88,Sorted!$G$7)</f>
        <v>0</v>
      </c>
      <c r="AB88" s="47" t="n">
        <f aca="false">MAX(0,MIN(Z88-AA88,$C88-(H88+L88+P88+T88+X88)))</f>
        <v>0</v>
      </c>
      <c r="AC88" s="47" t="n">
        <f aca="false">ROUND(Z88-AA88-AB88,2)</f>
        <v>0</v>
      </c>
      <c r="AD88" s="47" t="n">
        <f aca="false">ROUND(AG87*(1+Sorted!$H$8),2)</f>
        <v>0</v>
      </c>
      <c r="AE88" s="47" t="n">
        <f aca="false">MIN(AD88,Sorted!$G$8)</f>
        <v>0</v>
      </c>
      <c r="AF88" s="47" t="n">
        <f aca="false">MAX(0,MIN(AD88-AE88,$C88-(H88+L88+P88+T88+X88+AB88)))</f>
        <v>0</v>
      </c>
      <c r="AG88" s="47" t="n">
        <f aca="false">ROUND(AD88-AE88-AF88,2)</f>
        <v>0</v>
      </c>
      <c r="AH88" s="47" t="n">
        <f aca="false">ROUND(AK87*(1+Sorted!$H$9),2)</f>
        <v>0</v>
      </c>
      <c r="AI88" s="47" t="n">
        <f aca="false">MIN(AH88,Sorted!$G$9)</f>
        <v>0</v>
      </c>
      <c r="AJ88" s="47" t="n">
        <f aca="false">MAX(0,MIN(AH88-AI88,$C88-(H88+L88+P88+T88+X88+AB88+AF88)))</f>
        <v>0</v>
      </c>
      <c r="AK88" s="47" t="n">
        <f aca="false">ROUND(AH88-AI88-AJ88,2)</f>
        <v>0</v>
      </c>
      <c r="AL88" s="47" t="n">
        <f aca="false">ROUND(AO87*(1+Sorted!$H$10),2)</f>
        <v>0</v>
      </c>
      <c r="AM88" s="47" t="n">
        <f aca="false">MIN(AL88,Sorted!$G$10)</f>
        <v>0</v>
      </c>
      <c r="AN88" s="47" t="n">
        <f aca="false">MAX(0,MIN(AL88-AM88,$C88-(H88+L88+P88+T88+X88+AB88+AF88+AJ88)))</f>
        <v>0</v>
      </c>
      <c r="AO88" s="47" t="n">
        <f aca="false">ROUND(AL88-AM88-AN88,2)</f>
        <v>0</v>
      </c>
      <c r="AP88" s="47" t="n">
        <f aca="false">ROUND(AS87*(1+Sorted!$H$11),2)</f>
        <v>0</v>
      </c>
      <c r="AQ88" s="47" t="n">
        <f aca="false">MIN(AP88,Sorted!$G$11)</f>
        <v>0</v>
      </c>
      <c r="AR88" s="47" t="n">
        <f aca="false">MAX(0,MIN(AP88-AQ88,$C88-(H88+L88+P88+T88+X88+AB88+AF88+AJ88+AN88)))</f>
        <v>0</v>
      </c>
      <c r="AS88" s="47" t="n">
        <f aca="false">ROUND(AP88-AQ88-AR88,2)</f>
        <v>0</v>
      </c>
    </row>
    <row r="89" customFormat="false" ht="15" hidden="false" customHeight="false" outlineLevel="0" collapsed="false">
      <c r="A89" s="45" t="n">
        <v>86</v>
      </c>
      <c r="B89" s="46" t="n">
        <f aca="false">EDATE('My Debts'!$C$7,A89-1)</f>
        <v>48914</v>
      </c>
      <c r="C89" s="47" t="n">
        <f aca="false">MAX(0,'My Debts'!$E$6-(G89+K89+O89+S89+W89+AA89+AE89+AI89+AM89+AQ89))</f>
        <v>730</v>
      </c>
      <c r="D89" s="47" t="n">
        <f aca="false">(F89+J89+N89+R89+V89+Z89+AD89+AH89+AL89+AP89)-(I89+M89+Q89+U89+Y89+AC89+AG89+AK89+AO89+AS89)</f>
        <v>0</v>
      </c>
      <c r="E89" s="48" t="n">
        <f aca="false">I89+M89+Q89+U89+Y89+AC89+AG89+AK89+AO89+AS89</f>
        <v>0</v>
      </c>
      <c r="F89" s="47" t="n">
        <f aca="false">ROUND(I88*(1+Sorted!$H$2),2)</f>
        <v>0</v>
      </c>
      <c r="G89" s="47" t="n">
        <f aca="false">MIN(F89,Sorted!$G$2)</f>
        <v>0</v>
      </c>
      <c r="H89" s="47" t="n">
        <f aca="false">MAX(0,MIN(F89-G89,$C89-(0)))</f>
        <v>0</v>
      </c>
      <c r="I89" s="47" t="n">
        <f aca="false">ROUND(F89-G89-H89,2)</f>
        <v>0</v>
      </c>
      <c r="J89" s="47" t="n">
        <f aca="false">ROUND(M88*(1+Sorted!$H$3),2)</f>
        <v>0</v>
      </c>
      <c r="K89" s="47" t="n">
        <f aca="false">MIN(J89,Sorted!$G$3)</f>
        <v>0</v>
      </c>
      <c r="L89" s="47" t="n">
        <f aca="false">MAX(0,MIN(J89-K89,$C89-(H89)))</f>
        <v>0</v>
      </c>
      <c r="M89" s="47" t="n">
        <f aca="false">ROUND(J89-K89-L89,2)</f>
        <v>0</v>
      </c>
      <c r="N89" s="47" t="n">
        <f aca="false">ROUND(Q88*(1+Sorted!$H$4),2)</f>
        <v>0</v>
      </c>
      <c r="O89" s="47" t="n">
        <f aca="false">MIN(N89,Sorted!$G$4)</f>
        <v>0</v>
      </c>
      <c r="P89" s="47" t="n">
        <f aca="false">MAX(0,MIN(N89-O89,$C89-(H89+L89)))</f>
        <v>0</v>
      </c>
      <c r="Q89" s="47" t="n">
        <f aca="false">ROUND(N89-O89-P89,2)</f>
        <v>0</v>
      </c>
      <c r="R89" s="47" t="n">
        <f aca="false">ROUND(U88*(1+Sorted!$H$5),2)</f>
        <v>0</v>
      </c>
      <c r="S89" s="47" t="n">
        <f aca="false">MIN(R89,Sorted!$G$5)</f>
        <v>0</v>
      </c>
      <c r="T89" s="47" t="n">
        <f aca="false">MAX(0,MIN(R89-S89,$C89-(H89+L89+P89)))</f>
        <v>0</v>
      </c>
      <c r="U89" s="47" t="n">
        <f aca="false">ROUND(R89-S89-T89,2)</f>
        <v>0</v>
      </c>
      <c r="V89" s="47" t="n">
        <f aca="false">ROUND(Y88*(1+Sorted!$H$6),2)</f>
        <v>0</v>
      </c>
      <c r="W89" s="47" t="n">
        <f aca="false">MIN(V89,Sorted!$G$6)</f>
        <v>0</v>
      </c>
      <c r="X89" s="47" t="n">
        <f aca="false">MAX(0,MIN(V89-W89,$C89-(H89+L89+P89+T89)))</f>
        <v>0</v>
      </c>
      <c r="Y89" s="47" t="n">
        <f aca="false">ROUND(V89-W89-X89,2)</f>
        <v>0</v>
      </c>
      <c r="Z89" s="47" t="n">
        <f aca="false">ROUND(AC88*(1+Sorted!$H$7),2)</f>
        <v>0</v>
      </c>
      <c r="AA89" s="47" t="n">
        <f aca="false">MIN(Z89,Sorted!$G$7)</f>
        <v>0</v>
      </c>
      <c r="AB89" s="47" t="n">
        <f aca="false">MAX(0,MIN(Z89-AA89,$C89-(H89+L89+P89+T89+X89)))</f>
        <v>0</v>
      </c>
      <c r="AC89" s="47" t="n">
        <f aca="false">ROUND(Z89-AA89-AB89,2)</f>
        <v>0</v>
      </c>
      <c r="AD89" s="47" t="n">
        <f aca="false">ROUND(AG88*(1+Sorted!$H$8),2)</f>
        <v>0</v>
      </c>
      <c r="AE89" s="47" t="n">
        <f aca="false">MIN(AD89,Sorted!$G$8)</f>
        <v>0</v>
      </c>
      <c r="AF89" s="47" t="n">
        <f aca="false">MAX(0,MIN(AD89-AE89,$C89-(H89+L89+P89+T89+X89+AB89)))</f>
        <v>0</v>
      </c>
      <c r="AG89" s="47" t="n">
        <f aca="false">ROUND(AD89-AE89-AF89,2)</f>
        <v>0</v>
      </c>
      <c r="AH89" s="47" t="n">
        <f aca="false">ROUND(AK88*(1+Sorted!$H$9),2)</f>
        <v>0</v>
      </c>
      <c r="AI89" s="47" t="n">
        <f aca="false">MIN(AH89,Sorted!$G$9)</f>
        <v>0</v>
      </c>
      <c r="AJ89" s="47" t="n">
        <f aca="false">MAX(0,MIN(AH89-AI89,$C89-(H89+L89+P89+T89+X89+AB89+AF89)))</f>
        <v>0</v>
      </c>
      <c r="AK89" s="47" t="n">
        <f aca="false">ROUND(AH89-AI89-AJ89,2)</f>
        <v>0</v>
      </c>
      <c r="AL89" s="47" t="n">
        <f aca="false">ROUND(AO88*(1+Sorted!$H$10),2)</f>
        <v>0</v>
      </c>
      <c r="AM89" s="47" t="n">
        <f aca="false">MIN(AL89,Sorted!$G$10)</f>
        <v>0</v>
      </c>
      <c r="AN89" s="47" t="n">
        <f aca="false">MAX(0,MIN(AL89-AM89,$C89-(H89+L89+P89+T89+X89+AB89+AF89+AJ89)))</f>
        <v>0</v>
      </c>
      <c r="AO89" s="47" t="n">
        <f aca="false">ROUND(AL89-AM89-AN89,2)</f>
        <v>0</v>
      </c>
      <c r="AP89" s="47" t="n">
        <f aca="false">ROUND(AS88*(1+Sorted!$H$11),2)</f>
        <v>0</v>
      </c>
      <c r="AQ89" s="47" t="n">
        <f aca="false">MIN(AP89,Sorted!$G$11)</f>
        <v>0</v>
      </c>
      <c r="AR89" s="47" t="n">
        <f aca="false">MAX(0,MIN(AP89-AQ89,$C89-(H89+L89+P89+T89+X89+AB89+AF89+AJ89+AN89)))</f>
        <v>0</v>
      </c>
      <c r="AS89" s="47" t="n">
        <f aca="false">ROUND(AP89-AQ89-AR89,2)</f>
        <v>0</v>
      </c>
    </row>
    <row r="90" customFormat="false" ht="15" hidden="false" customHeight="false" outlineLevel="0" collapsed="false">
      <c r="A90" s="45" t="n">
        <v>87</v>
      </c>
      <c r="B90" s="46" t="n">
        <f aca="false">EDATE('My Debts'!$C$7,A90-1)</f>
        <v>48945</v>
      </c>
      <c r="C90" s="47" t="n">
        <f aca="false">MAX(0,'My Debts'!$E$6-(G90+K90+O90+S90+W90+AA90+AE90+AI90+AM90+AQ90))</f>
        <v>730</v>
      </c>
      <c r="D90" s="47" t="n">
        <f aca="false">(F90+J90+N90+R90+V90+Z90+AD90+AH90+AL90+AP90)-(I90+M90+Q90+U90+Y90+AC90+AG90+AK90+AO90+AS90)</f>
        <v>0</v>
      </c>
      <c r="E90" s="48" t="n">
        <f aca="false">I90+M90+Q90+U90+Y90+AC90+AG90+AK90+AO90+AS90</f>
        <v>0</v>
      </c>
      <c r="F90" s="47" t="n">
        <f aca="false">ROUND(I89*(1+Sorted!$H$2),2)</f>
        <v>0</v>
      </c>
      <c r="G90" s="47" t="n">
        <f aca="false">MIN(F90,Sorted!$G$2)</f>
        <v>0</v>
      </c>
      <c r="H90" s="47" t="n">
        <f aca="false">MAX(0,MIN(F90-G90,$C90-(0)))</f>
        <v>0</v>
      </c>
      <c r="I90" s="47" t="n">
        <f aca="false">ROUND(F90-G90-H90,2)</f>
        <v>0</v>
      </c>
      <c r="J90" s="47" t="n">
        <f aca="false">ROUND(M89*(1+Sorted!$H$3),2)</f>
        <v>0</v>
      </c>
      <c r="K90" s="47" t="n">
        <f aca="false">MIN(J90,Sorted!$G$3)</f>
        <v>0</v>
      </c>
      <c r="L90" s="47" t="n">
        <f aca="false">MAX(0,MIN(J90-K90,$C90-(H90)))</f>
        <v>0</v>
      </c>
      <c r="M90" s="47" t="n">
        <f aca="false">ROUND(J90-K90-L90,2)</f>
        <v>0</v>
      </c>
      <c r="N90" s="47" t="n">
        <f aca="false">ROUND(Q89*(1+Sorted!$H$4),2)</f>
        <v>0</v>
      </c>
      <c r="O90" s="47" t="n">
        <f aca="false">MIN(N90,Sorted!$G$4)</f>
        <v>0</v>
      </c>
      <c r="P90" s="47" t="n">
        <f aca="false">MAX(0,MIN(N90-O90,$C90-(H90+L90)))</f>
        <v>0</v>
      </c>
      <c r="Q90" s="47" t="n">
        <f aca="false">ROUND(N90-O90-P90,2)</f>
        <v>0</v>
      </c>
      <c r="R90" s="47" t="n">
        <f aca="false">ROUND(U89*(1+Sorted!$H$5),2)</f>
        <v>0</v>
      </c>
      <c r="S90" s="47" t="n">
        <f aca="false">MIN(R90,Sorted!$G$5)</f>
        <v>0</v>
      </c>
      <c r="T90" s="47" t="n">
        <f aca="false">MAX(0,MIN(R90-S90,$C90-(H90+L90+P90)))</f>
        <v>0</v>
      </c>
      <c r="U90" s="47" t="n">
        <f aca="false">ROUND(R90-S90-T90,2)</f>
        <v>0</v>
      </c>
      <c r="V90" s="47" t="n">
        <f aca="false">ROUND(Y89*(1+Sorted!$H$6),2)</f>
        <v>0</v>
      </c>
      <c r="W90" s="47" t="n">
        <f aca="false">MIN(V90,Sorted!$G$6)</f>
        <v>0</v>
      </c>
      <c r="X90" s="47" t="n">
        <f aca="false">MAX(0,MIN(V90-W90,$C90-(H90+L90+P90+T90)))</f>
        <v>0</v>
      </c>
      <c r="Y90" s="47" t="n">
        <f aca="false">ROUND(V90-W90-X90,2)</f>
        <v>0</v>
      </c>
      <c r="Z90" s="47" t="n">
        <f aca="false">ROUND(AC89*(1+Sorted!$H$7),2)</f>
        <v>0</v>
      </c>
      <c r="AA90" s="47" t="n">
        <f aca="false">MIN(Z90,Sorted!$G$7)</f>
        <v>0</v>
      </c>
      <c r="AB90" s="47" t="n">
        <f aca="false">MAX(0,MIN(Z90-AA90,$C90-(H90+L90+P90+T90+X90)))</f>
        <v>0</v>
      </c>
      <c r="AC90" s="47" t="n">
        <f aca="false">ROUND(Z90-AA90-AB90,2)</f>
        <v>0</v>
      </c>
      <c r="AD90" s="47" t="n">
        <f aca="false">ROUND(AG89*(1+Sorted!$H$8),2)</f>
        <v>0</v>
      </c>
      <c r="AE90" s="47" t="n">
        <f aca="false">MIN(AD90,Sorted!$G$8)</f>
        <v>0</v>
      </c>
      <c r="AF90" s="47" t="n">
        <f aca="false">MAX(0,MIN(AD90-AE90,$C90-(H90+L90+P90+T90+X90+AB90)))</f>
        <v>0</v>
      </c>
      <c r="AG90" s="47" t="n">
        <f aca="false">ROUND(AD90-AE90-AF90,2)</f>
        <v>0</v>
      </c>
      <c r="AH90" s="47" t="n">
        <f aca="false">ROUND(AK89*(1+Sorted!$H$9),2)</f>
        <v>0</v>
      </c>
      <c r="AI90" s="47" t="n">
        <f aca="false">MIN(AH90,Sorted!$G$9)</f>
        <v>0</v>
      </c>
      <c r="AJ90" s="47" t="n">
        <f aca="false">MAX(0,MIN(AH90-AI90,$C90-(H90+L90+P90+T90+X90+AB90+AF90)))</f>
        <v>0</v>
      </c>
      <c r="AK90" s="47" t="n">
        <f aca="false">ROUND(AH90-AI90-AJ90,2)</f>
        <v>0</v>
      </c>
      <c r="AL90" s="47" t="n">
        <f aca="false">ROUND(AO89*(1+Sorted!$H$10),2)</f>
        <v>0</v>
      </c>
      <c r="AM90" s="47" t="n">
        <f aca="false">MIN(AL90,Sorted!$G$10)</f>
        <v>0</v>
      </c>
      <c r="AN90" s="47" t="n">
        <f aca="false">MAX(0,MIN(AL90-AM90,$C90-(H90+L90+P90+T90+X90+AB90+AF90+AJ90)))</f>
        <v>0</v>
      </c>
      <c r="AO90" s="47" t="n">
        <f aca="false">ROUND(AL90-AM90-AN90,2)</f>
        <v>0</v>
      </c>
      <c r="AP90" s="47" t="n">
        <f aca="false">ROUND(AS89*(1+Sorted!$H$11),2)</f>
        <v>0</v>
      </c>
      <c r="AQ90" s="47" t="n">
        <f aca="false">MIN(AP90,Sorted!$G$11)</f>
        <v>0</v>
      </c>
      <c r="AR90" s="47" t="n">
        <f aca="false">MAX(0,MIN(AP90-AQ90,$C90-(H90+L90+P90+T90+X90+AB90+AF90+AJ90+AN90)))</f>
        <v>0</v>
      </c>
      <c r="AS90" s="47" t="n">
        <f aca="false">ROUND(AP90-AQ90-AR90,2)</f>
        <v>0</v>
      </c>
    </row>
    <row r="91" customFormat="false" ht="15" hidden="false" customHeight="false" outlineLevel="0" collapsed="false">
      <c r="A91" s="45" t="n">
        <v>88</v>
      </c>
      <c r="B91" s="46" t="n">
        <f aca="false">EDATE('My Debts'!$C$7,A91-1)</f>
        <v>48976</v>
      </c>
      <c r="C91" s="47" t="n">
        <f aca="false">MAX(0,'My Debts'!$E$6-(G91+K91+O91+S91+W91+AA91+AE91+AI91+AM91+AQ91))</f>
        <v>730</v>
      </c>
      <c r="D91" s="47" t="n">
        <f aca="false">(F91+J91+N91+R91+V91+Z91+AD91+AH91+AL91+AP91)-(I91+M91+Q91+U91+Y91+AC91+AG91+AK91+AO91+AS91)</f>
        <v>0</v>
      </c>
      <c r="E91" s="48" t="n">
        <f aca="false">I91+M91+Q91+U91+Y91+AC91+AG91+AK91+AO91+AS91</f>
        <v>0</v>
      </c>
      <c r="F91" s="47" t="n">
        <f aca="false">ROUND(I90*(1+Sorted!$H$2),2)</f>
        <v>0</v>
      </c>
      <c r="G91" s="47" t="n">
        <f aca="false">MIN(F91,Sorted!$G$2)</f>
        <v>0</v>
      </c>
      <c r="H91" s="47" t="n">
        <f aca="false">MAX(0,MIN(F91-G91,$C91-(0)))</f>
        <v>0</v>
      </c>
      <c r="I91" s="47" t="n">
        <f aca="false">ROUND(F91-G91-H91,2)</f>
        <v>0</v>
      </c>
      <c r="J91" s="47" t="n">
        <f aca="false">ROUND(M90*(1+Sorted!$H$3),2)</f>
        <v>0</v>
      </c>
      <c r="K91" s="47" t="n">
        <f aca="false">MIN(J91,Sorted!$G$3)</f>
        <v>0</v>
      </c>
      <c r="L91" s="47" t="n">
        <f aca="false">MAX(0,MIN(J91-K91,$C91-(H91)))</f>
        <v>0</v>
      </c>
      <c r="M91" s="47" t="n">
        <f aca="false">ROUND(J91-K91-L91,2)</f>
        <v>0</v>
      </c>
      <c r="N91" s="47" t="n">
        <f aca="false">ROUND(Q90*(1+Sorted!$H$4),2)</f>
        <v>0</v>
      </c>
      <c r="O91" s="47" t="n">
        <f aca="false">MIN(N91,Sorted!$G$4)</f>
        <v>0</v>
      </c>
      <c r="P91" s="47" t="n">
        <f aca="false">MAX(0,MIN(N91-O91,$C91-(H91+L91)))</f>
        <v>0</v>
      </c>
      <c r="Q91" s="47" t="n">
        <f aca="false">ROUND(N91-O91-P91,2)</f>
        <v>0</v>
      </c>
      <c r="R91" s="47" t="n">
        <f aca="false">ROUND(U90*(1+Sorted!$H$5),2)</f>
        <v>0</v>
      </c>
      <c r="S91" s="47" t="n">
        <f aca="false">MIN(R91,Sorted!$G$5)</f>
        <v>0</v>
      </c>
      <c r="T91" s="47" t="n">
        <f aca="false">MAX(0,MIN(R91-S91,$C91-(H91+L91+P91)))</f>
        <v>0</v>
      </c>
      <c r="U91" s="47" t="n">
        <f aca="false">ROUND(R91-S91-T91,2)</f>
        <v>0</v>
      </c>
      <c r="V91" s="47" t="n">
        <f aca="false">ROUND(Y90*(1+Sorted!$H$6),2)</f>
        <v>0</v>
      </c>
      <c r="W91" s="47" t="n">
        <f aca="false">MIN(V91,Sorted!$G$6)</f>
        <v>0</v>
      </c>
      <c r="X91" s="47" t="n">
        <f aca="false">MAX(0,MIN(V91-W91,$C91-(H91+L91+P91+T91)))</f>
        <v>0</v>
      </c>
      <c r="Y91" s="47" t="n">
        <f aca="false">ROUND(V91-W91-X91,2)</f>
        <v>0</v>
      </c>
      <c r="Z91" s="47" t="n">
        <f aca="false">ROUND(AC90*(1+Sorted!$H$7),2)</f>
        <v>0</v>
      </c>
      <c r="AA91" s="47" t="n">
        <f aca="false">MIN(Z91,Sorted!$G$7)</f>
        <v>0</v>
      </c>
      <c r="AB91" s="47" t="n">
        <f aca="false">MAX(0,MIN(Z91-AA91,$C91-(H91+L91+P91+T91+X91)))</f>
        <v>0</v>
      </c>
      <c r="AC91" s="47" t="n">
        <f aca="false">ROUND(Z91-AA91-AB91,2)</f>
        <v>0</v>
      </c>
      <c r="AD91" s="47" t="n">
        <f aca="false">ROUND(AG90*(1+Sorted!$H$8),2)</f>
        <v>0</v>
      </c>
      <c r="AE91" s="47" t="n">
        <f aca="false">MIN(AD91,Sorted!$G$8)</f>
        <v>0</v>
      </c>
      <c r="AF91" s="47" t="n">
        <f aca="false">MAX(0,MIN(AD91-AE91,$C91-(H91+L91+P91+T91+X91+AB91)))</f>
        <v>0</v>
      </c>
      <c r="AG91" s="47" t="n">
        <f aca="false">ROUND(AD91-AE91-AF91,2)</f>
        <v>0</v>
      </c>
      <c r="AH91" s="47" t="n">
        <f aca="false">ROUND(AK90*(1+Sorted!$H$9),2)</f>
        <v>0</v>
      </c>
      <c r="AI91" s="47" t="n">
        <f aca="false">MIN(AH91,Sorted!$G$9)</f>
        <v>0</v>
      </c>
      <c r="AJ91" s="47" t="n">
        <f aca="false">MAX(0,MIN(AH91-AI91,$C91-(H91+L91+P91+T91+X91+AB91+AF91)))</f>
        <v>0</v>
      </c>
      <c r="AK91" s="47" t="n">
        <f aca="false">ROUND(AH91-AI91-AJ91,2)</f>
        <v>0</v>
      </c>
      <c r="AL91" s="47" t="n">
        <f aca="false">ROUND(AO90*(1+Sorted!$H$10),2)</f>
        <v>0</v>
      </c>
      <c r="AM91" s="47" t="n">
        <f aca="false">MIN(AL91,Sorted!$G$10)</f>
        <v>0</v>
      </c>
      <c r="AN91" s="47" t="n">
        <f aca="false">MAX(0,MIN(AL91-AM91,$C91-(H91+L91+P91+T91+X91+AB91+AF91+AJ91)))</f>
        <v>0</v>
      </c>
      <c r="AO91" s="47" t="n">
        <f aca="false">ROUND(AL91-AM91-AN91,2)</f>
        <v>0</v>
      </c>
      <c r="AP91" s="47" t="n">
        <f aca="false">ROUND(AS90*(1+Sorted!$H$11),2)</f>
        <v>0</v>
      </c>
      <c r="AQ91" s="47" t="n">
        <f aca="false">MIN(AP91,Sorted!$G$11)</f>
        <v>0</v>
      </c>
      <c r="AR91" s="47" t="n">
        <f aca="false">MAX(0,MIN(AP91-AQ91,$C91-(H91+L91+P91+T91+X91+AB91+AF91+AJ91+AN91)))</f>
        <v>0</v>
      </c>
      <c r="AS91" s="47" t="n">
        <f aca="false">ROUND(AP91-AQ91-AR91,2)</f>
        <v>0</v>
      </c>
    </row>
    <row r="92" customFormat="false" ht="15" hidden="false" customHeight="false" outlineLevel="0" collapsed="false">
      <c r="A92" s="45" t="n">
        <v>89</v>
      </c>
      <c r="B92" s="46" t="n">
        <f aca="false">EDATE('My Debts'!$C$7,A92-1)</f>
        <v>49004</v>
      </c>
      <c r="C92" s="47" t="n">
        <f aca="false">MAX(0,'My Debts'!$E$6-(G92+K92+O92+S92+W92+AA92+AE92+AI92+AM92+AQ92))</f>
        <v>730</v>
      </c>
      <c r="D92" s="47" t="n">
        <f aca="false">(F92+J92+N92+R92+V92+Z92+AD92+AH92+AL92+AP92)-(I92+M92+Q92+U92+Y92+AC92+AG92+AK92+AO92+AS92)</f>
        <v>0</v>
      </c>
      <c r="E92" s="48" t="n">
        <f aca="false">I92+M92+Q92+U92+Y92+AC92+AG92+AK92+AO92+AS92</f>
        <v>0</v>
      </c>
      <c r="F92" s="47" t="n">
        <f aca="false">ROUND(I91*(1+Sorted!$H$2),2)</f>
        <v>0</v>
      </c>
      <c r="G92" s="47" t="n">
        <f aca="false">MIN(F92,Sorted!$G$2)</f>
        <v>0</v>
      </c>
      <c r="H92" s="47" t="n">
        <f aca="false">MAX(0,MIN(F92-G92,$C92-(0)))</f>
        <v>0</v>
      </c>
      <c r="I92" s="47" t="n">
        <f aca="false">ROUND(F92-G92-H92,2)</f>
        <v>0</v>
      </c>
      <c r="J92" s="47" t="n">
        <f aca="false">ROUND(M91*(1+Sorted!$H$3),2)</f>
        <v>0</v>
      </c>
      <c r="K92" s="47" t="n">
        <f aca="false">MIN(J92,Sorted!$G$3)</f>
        <v>0</v>
      </c>
      <c r="L92" s="47" t="n">
        <f aca="false">MAX(0,MIN(J92-K92,$C92-(H92)))</f>
        <v>0</v>
      </c>
      <c r="M92" s="47" t="n">
        <f aca="false">ROUND(J92-K92-L92,2)</f>
        <v>0</v>
      </c>
      <c r="N92" s="47" t="n">
        <f aca="false">ROUND(Q91*(1+Sorted!$H$4),2)</f>
        <v>0</v>
      </c>
      <c r="O92" s="47" t="n">
        <f aca="false">MIN(N92,Sorted!$G$4)</f>
        <v>0</v>
      </c>
      <c r="P92" s="47" t="n">
        <f aca="false">MAX(0,MIN(N92-O92,$C92-(H92+L92)))</f>
        <v>0</v>
      </c>
      <c r="Q92" s="47" t="n">
        <f aca="false">ROUND(N92-O92-P92,2)</f>
        <v>0</v>
      </c>
      <c r="R92" s="47" t="n">
        <f aca="false">ROUND(U91*(1+Sorted!$H$5),2)</f>
        <v>0</v>
      </c>
      <c r="S92" s="47" t="n">
        <f aca="false">MIN(R92,Sorted!$G$5)</f>
        <v>0</v>
      </c>
      <c r="T92" s="47" t="n">
        <f aca="false">MAX(0,MIN(R92-S92,$C92-(H92+L92+P92)))</f>
        <v>0</v>
      </c>
      <c r="U92" s="47" t="n">
        <f aca="false">ROUND(R92-S92-T92,2)</f>
        <v>0</v>
      </c>
      <c r="V92" s="47" t="n">
        <f aca="false">ROUND(Y91*(1+Sorted!$H$6),2)</f>
        <v>0</v>
      </c>
      <c r="W92" s="47" t="n">
        <f aca="false">MIN(V92,Sorted!$G$6)</f>
        <v>0</v>
      </c>
      <c r="X92" s="47" t="n">
        <f aca="false">MAX(0,MIN(V92-W92,$C92-(H92+L92+P92+T92)))</f>
        <v>0</v>
      </c>
      <c r="Y92" s="47" t="n">
        <f aca="false">ROUND(V92-W92-X92,2)</f>
        <v>0</v>
      </c>
      <c r="Z92" s="47" t="n">
        <f aca="false">ROUND(AC91*(1+Sorted!$H$7),2)</f>
        <v>0</v>
      </c>
      <c r="AA92" s="47" t="n">
        <f aca="false">MIN(Z92,Sorted!$G$7)</f>
        <v>0</v>
      </c>
      <c r="AB92" s="47" t="n">
        <f aca="false">MAX(0,MIN(Z92-AA92,$C92-(H92+L92+P92+T92+X92)))</f>
        <v>0</v>
      </c>
      <c r="AC92" s="47" t="n">
        <f aca="false">ROUND(Z92-AA92-AB92,2)</f>
        <v>0</v>
      </c>
      <c r="AD92" s="47" t="n">
        <f aca="false">ROUND(AG91*(1+Sorted!$H$8),2)</f>
        <v>0</v>
      </c>
      <c r="AE92" s="47" t="n">
        <f aca="false">MIN(AD92,Sorted!$G$8)</f>
        <v>0</v>
      </c>
      <c r="AF92" s="47" t="n">
        <f aca="false">MAX(0,MIN(AD92-AE92,$C92-(H92+L92+P92+T92+X92+AB92)))</f>
        <v>0</v>
      </c>
      <c r="AG92" s="47" t="n">
        <f aca="false">ROUND(AD92-AE92-AF92,2)</f>
        <v>0</v>
      </c>
      <c r="AH92" s="47" t="n">
        <f aca="false">ROUND(AK91*(1+Sorted!$H$9),2)</f>
        <v>0</v>
      </c>
      <c r="AI92" s="47" t="n">
        <f aca="false">MIN(AH92,Sorted!$G$9)</f>
        <v>0</v>
      </c>
      <c r="AJ92" s="47" t="n">
        <f aca="false">MAX(0,MIN(AH92-AI92,$C92-(H92+L92+P92+T92+X92+AB92+AF92)))</f>
        <v>0</v>
      </c>
      <c r="AK92" s="47" t="n">
        <f aca="false">ROUND(AH92-AI92-AJ92,2)</f>
        <v>0</v>
      </c>
      <c r="AL92" s="47" t="n">
        <f aca="false">ROUND(AO91*(1+Sorted!$H$10),2)</f>
        <v>0</v>
      </c>
      <c r="AM92" s="47" t="n">
        <f aca="false">MIN(AL92,Sorted!$G$10)</f>
        <v>0</v>
      </c>
      <c r="AN92" s="47" t="n">
        <f aca="false">MAX(0,MIN(AL92-AM92,$C92-(H92+L92+P92+T92+X92+AB92+AF92+AJ92)))</f>
        <v>0</v>
      </c>
      <c r="AO92" s="47" t="n">
        <f aca="false">ROUND(AL92-AM92-AN92,2)</f>
        <v>0</v>
      </c>
      <c r="AP92" s="47" t="n">
        <f aca="false">ROUND(AS91*(1+Sorted!$H$11),2)</f>
        <v>0</v>
      </c>
      <c r="AQ92" s="47" t="n">
        <f aca="false">MIN(AP92,Sorted!$G$11)</f>
        <v>0</v>
      </c>
      <c r="AR92" s="47" t="n">
        <f aca="false">MAX(0,MIN(AP92-AQ92,$C92-(H92+L92+P92+T92+X92+AB92+AF92+AJ92+AN92)))</f>
        <v>0</v>
      </c>
      <c r="AS92" s="47" t="n">
        <f aca="false">ROUND(AP92-AQ92-AR92,2)</f>
        <v>0</v>
      </c>
    </row>
    <row r="93" customFormat="false" ht="15" hidden="false" customHeight="false" outlineLevel="0" collapsed="false">
      <c r="A93" s="45" t="n">
        <v>90</v>
      </c>
      <c r="B93" s="46" t="n">
        <f aca="false">EDATE('My Debts'!$C$7,A93-1)</f>
        <v>49035</v>
      </c>
      <c r="C93" s="47" t="n">
        <f aca="false">MAX(0,'My Debts'!$E$6-(G93+K93+O93+S93+W93+AA93+AE93+AI93+AM93+AQ93))</f>
        <v>730</v>
      </c>
      <c r="D93" s="47" t="n">
        <f aca="false">(F93+J93+N93+R93+V93+Z93+AD93+AH93+AL93+AP93)-(I93+M93+Q93+U93+Y93+AC93+AG93+AK93+AO93+AS93)</f>
        <v>0</v>
      </c>
      <c r="E93" s="48" t="n">
        <f aca="false">I93+M93+Q93+U93+Y93+AC93+AG93+AK93+AO93+AS93</f>
        <v>0</v>
      </c>
      <c r="F93" s="47" t="n">
        <f aca="false">ROUND(I92*(1+Sorted!$H$2),2)</f>
        <v>0</v>
      </c>
      <c r="G93" s="47" t="n">
        <f aca="false">MIN(F93,Sorted!$G$2)</f>
        <v>0</v>
      </c>
      <c r="H93" s="47" t="n">
        <f aca="false">MAX(0,MIN(F93-G93,$C93-(0)))</f>
        <v>0</v>
      </c>
      <c r="I93" s="47" t="n">
        <f aca="false">ROUND(F93-G93-H93,2)</f>
        <v>0</v>
      </c>
      <c r="J93" s="47" t="n">
        <f aca="false">ROUND(M92*(1+Sorted!$H$3),2)</f>
        <v>0</v>
      </c>
      <c r="K93" s="47" t="n">
        <f aca="false">MIN(J93,Sorted!$G$3)</f>
        <v>0</v>
      </c>
      <c r="L93" s="47" t="n">
        <f aca="false">MAX(0,MIN(J93-K93,$C93-(H93)))</f>
        <v>0</v>
      </c>
      <c r="M93" s="47" t="n">
        <f aca="false">ROUND(J93-K93-L93,2)</f>
        <v>0</v>
      </c>
      <c r="N93" s="47" t="n">
        <f aca="false">ROUND(Q92*(1+Sorted!$H$4),2)</f>
        <v>0</v>
      </c>
      <c r="O93" s="47" t="n">
        <f aca="false">MIN(N93,Sorted!$G$4)</f>
        <v>0</v>
      </c>
      <c r="P93" s="47" t="n">
        <f aca="false">MAX(0,MIN(N93-O93,$C93-(H93+L93)))</f>
        <v>0</v>
      </c>
      <c r="Q93" s="47" t="n">
        <f aca="false">ROUND(N93-O93-P93,2)</f>
        <v>0</v>
      </c>
      <c r="R93" s="47" t="n">
        <f aca="false">ROUND(U92*(1+Sorted!$H$5),2)</f>
        <v>0</v>
      </c>
      <c r="S93" s="47" t="n">
        <f aca="false">MIN(R93,Sorted!$G$5)</f>
        <v>0</v>
      </c>
      <c r="T93" s="47" t="n">
        <f aca="false">MAX(0,MIN(R93-S93,$C93-(H93+L93+P93)))</f>
        <v>0</v>
      </c>
      <c r="U93" s="47" t="n">
        <f aca="false">ROUND(R93-S93-T93,2)</f>
        <v>0</v>
      </c>
      <c r="V93" s="47" t="n">
        <f aca="false">ROUND(Y92*(1+Sorted!$H$6),2)</f>
        <v>0</v>
      </c>
      <c r="W93" s="47" t="n">
        <f aca="false">MIN(V93,Sorted!$G$6)</f>
        <v>0</v>
      </c>
      <c r="X93" s="47" t="n">
        <f aca="false">MAX(0,MIN(V93-W93,$C93-(H93+L93+P93+T93)))</f>
        <v>0</v>
      </c>
      <c r="Y93" s="47" t="n">
        <f aca="false">ROUND(V93-W93-X93,2)</f>
        <v>0</v>
      </c>
      <c r="Z93" s="47" t="n">
        <f aca="false">ROUND(AC92*(1+Sorted!$H$7),2)</f>
        <v>0</v>
      </c>
      <c r="AA93" s="47" t="n">
        <f aca="false">MIN(Z93,Sorted!$G$7)</f>
        <v>0</v>
      </c>
      <c r="AB93" s="47" t="n">
        <f aca="false">MAX(0,MIN(Z93-AA93,$C93-(H93+L93+P93+T93+X93)))</f>
        <v>0</v>
      </c>
      <c r="AC93" s="47" t="n">
        <f aca="false">ROUND(Z93-AA93-AB93,2)</f>
        <v>0</v>
      </c>
      <c r="AD93" s="47" t="n">
        <f aca="false">ROUND(AG92*(1+Sorted!$H$8),2)</f>
        <v>0</v>
      </c>
      <c r="AE93" s="47" t="n">
        <f aca="false">MIN(AD93,Sorted!$G$8)</f>
        <v>0</v>
      </c>
      <c r="AF93" s="47" t="n">
        <f aca="false">MAX(0,MIN(AD93-AE93,$C93-(H93+L93+P93+T93+X93+AB93)))</f>
        <v>0</v>
      </c>
      <c r="AG93" s="47" t="n">
        <f aca="false">ROUND(AD93-AE93-AF93,2)</f>
        <v>0</v>
      </c>
      <c r="AH93" s="47" t="n">
        <f aca="false">ROUND(AK92*(1+Sorted!$H$9),2)</f>
        <v>0</v>
      </c>
      <c r="AI93" s="47" t="n">
        <f aca="false">MIN(AH93,Sorted!$G$9)</f>
        <v>0</v>
      </c>
      <c r="AJ93" s="47" t="n">
        <f aca="false">MAX(0,MIN(AH93-AI93,$C93-(H93+L93+P93+T93+X93+AB93+AF93)))</f>
        <v>0</v>
      </c>
      <c r="AK93" s="47" t="n">
        <f aca="false">ROUND(AH93-AI93-AJ93,2)</f>
        <v>0</v>
      </c>
      <c r="AL93" s="47" t="n">
        <f aca="false">ROUND(AO92*(1+Sorted!$H$10),2)</f>
        <v>0</v>
      </c>
      <c r="AM93" s="47" t="n">
        <f aca="false">MIN(AL93,Sorted!$G$10)</f>
        <v>0</v>
      </c>
      <c r="AN93" s="47" t="n">
        <f aca="false">MAX(0,MIN(AL93-AM93,$C93-(H93+L93+P93+T93+X93+AB93+AF93+AJ93)))</f>
        <v>0</v>
      </c>
      <c r="AO93" s="47" t="n">
        <f aca="false">ROUND(AL93-AM93-AN93,2)</f>
        <v>0</v>
      </c>
      <c r="AP93" s="47" t="n">
        <f aca="false">ROUND(AS92*(1+Sorted!$H$11),2)</f>
        <v>0</v>
      </c>
      <c r="AQ93" s="47" t="n">
        <f aca="false">MIN(AP93,Sorted!$G$11)</f>
        <v>0</v>
      </c>
      <c r="AR93" s="47" t="n">
        <f aca="false">MAX(0,MIN(AP93-AQ93,$C93-(H93+L93+P93+T93+X93+AB93+AF93+AJ93+AN93)))</f>
        <v>0</v>
      </c>
      <c r="AS93" s="47" t="n">
        <f aca="false">ROUND(AP93-AQ93-AR93,2)</f>
        <v>0</v>
      </c>
    </row>
    <row r="94" customFormat="false" ht="15" hidden="false" customHeight="false" outlineLevel="0" collapsed="false">
      <c r="A94" s="45" t="n">
        <v>91</v>
      </c>
      <c r="B94" s="46" t="n">
        <f aca="false">EDATE('My Debts'!$C$7,A94-1)</f>
        <v>49065</v>
      </c>
      <c r="C94" s="47" t="n">
        <f aca="false">MAX(0,'My Debts'!$E$6-(G94+K94+O94+S94+W94+AA94+AE94+AI94+AM94+AQ94))</f>
        <v>730</v>
      </c>
      <c r="D94" s="47" t="n">
        <f aca="false">(F94+J94+N94+R94+V94+Z94+AD94+AH94+AL94+AP94)-(I94+M94+Q94+U94+Y94+AC94+AG94+AK94+AO94+AS94)</f>
        <v>0</v>
      </c>
      <c r="E94" s="48" t="n">
        <f aca="false">I94+M94+Q94+U94+Y94+AC94+AG94+AK94+AO94+AS94</f>
        <v>0</v>
      </c>
      <c r="F94" s="47" t="n">
        <f aca="false">ROUND(I93*(1+Sorted!$H$2),2)</f>
        <v>0</v>
      </c>
      <c r="G94" s="47" t="n">
        <f aca="false">MIN(F94,Sorted!$G$2)</f>
        <v>0</v>
      </c>
      <c r="H94" s="47" t="n">
        <f aca="false">MAX(0,MIN(F94-G94,$C94-(0)))</f>
        <v>0</v>
      </c>
      <c r="I94" s="47" t="n">
        <f aca="false">ROUND(F94-G94-H94,2)</f>
        <v>0</v>
      </c>
      <c r="J94" s="47" t="n">
        <f aca="false">ROUND(M93*(1+Sorted!$H$3),2)</f>
        <v>0</v>
      </c>
      <c r="K94" s="47" t="n">
        <f aca="false">MIN(J94,Sorted!$G$3)</f>
        <v>0</v>
      </c>
      <c r="L94" s="47" t="n">
        <f aca="false">MAX(0,MIN(J94-K94,$C94-(H94)))</f>
        <v>0</v>
      </c>
      <c r="M94" s="47" t="n">
        <f aca="false">ROUND(J94-K94-L94,2)</f>
        <v>0</v>
      </c>
      <c r="N94" s="47" t="n">
        <f aca="false">ROUND(Q93*(1+Sorted!$H$4),2)</f>
        <v>0</v>
      </c>
      <c r="O94" s="47" t="n">
        <f aca="false">MIN(N94,Sorted!$G$4)</f>
        <v>0</v>
      </c>
      <c r="P94" s="47" t="n">
        <f aca="false">MAX(0,MIN(N94-O94,$C94-(H94+L94)))</f>
        <v>0</v>
      </c>
      <c r="Q94" s="47" t="n">
        <f aca="false">ROUND(N94-O94-P94,2)</f>
        <v>0</v>
      </c>
      <c r="R94" s="47" t="n">
        <f aca="false">ROUND(U93*(1+Sorted!$H$5),2)</f>
        <v>0</v>
      </c>
      <c r="S94" s="47" t="n">
        <f aca="false">MIN(R94,Sorted!$G$5)</f>
        <v>0</v>
      </c>
      <c r="T94" s="47" t="n">
        <f aca="false">MAX(0,MIN(R94-S94,$C94-(H94+L94+P94)))</f>
        <v>0</v>
      </c>
      <c r="U94" s="47" t="n">
        <f aca="false">ROUND(R94-S94-T94,2)</f>
        <v>0</v>
      </c>
      <c r="V94" s="47" t="n">
        <f aca="false">ROUND(Y93*(1+Sorted!$H$6),2)</f>
        <v>0</v>
      </c>
      <c r="W94" s="47" t="n">
        <f aca="false">MIN(V94,Sorted!$G$6)</f>
        <v>0</v>
      </c>
      <c r="X94" s="47" t="n">
        <f aca="false">MAX(0,MIN(V94-W94,$C94-(H94+L94+P94+T94)))</f>
        <v>0</v>
      </c>
      <c r="Y94" s="47" t="n">
        <f aca="false">ROUND(V94-W94-X94,2)</f>
        <v>0</v>
      </c>
      <c r="Z94" s="47" t="n">
        <f aca="false">ROUND(AC93*(1+Sorted!$H$7),2)</f>
        <v>0</v>
      </c>
      <c r="AA94" s="47" t="n">
        <f aca="false">MIN(Z94,Sorted!$G$7)</f>
        <v>0</v>
      </c>
      <c r="AB94" s="47" t="n">
        <f aca="false">MAX(0,MIN(Z94-AA94,$C94-(H94+L94+P94+T94+X94)))</f>
        <v>0</v>
      </c>
      <c r="AC94" s="47" t="n">
        <f aca="false">ROUND(Z94-AA94-AB94,2)</f>
        <v>0</v>
      </c>
      <c r="AD94" s="47" t="n">
        <f aca="false">ROUND(AG93*(1+Sorted!$H$8),2)</f>
        <v>0</v>
      </c>
      <c r="AE94" s="47" t="n">
        <f aca="false">MIN(AD94,Sorted!$G$8)</f>
        <v>0</v>
      </c>
      <c r="AF94" s="47" t="n">
        <f aca="false">MAX(0,MIN(AD94-AE94,$C94-(H94+L94+P94+T94+X94+AB94)))</f>
        <v>0</v>
      </c>
      <c r="AG94" s="47" t="n">
        <f aca="false">ROUND(AD94-AE94-AF94,2)</f>
        <v>0</v>
      </c>
      <c r="AH94" s="47" t="n">
        <f aca="false">ROUND(AK93*(1+Sorted!$H$9),2)</f>
        <v>0</v>
      </c>
      <c r="AI94" s="47" t="n">
        <f aca="false">MIN(AH94,Sorted!$G$9)</f>
        <v>0</v>
      </c>
      <c r="AJ94" s="47" t="n">
        <f aca="false">MAX(0,MIN(AH94-AI94,$C94-(H94+L94+P94+T94+X94+AB94+AF94)))</f>
        <v>0</v>
      </c>
      <c r="AK94" s="47" t="n">
        <f aca="false">ROUND(AH94-AI94-AJ94,2)</f>
        <v>0</v>
      </c>
      <c r="AL94" s="47" t="n">
        <f aca="false">ROUND(AO93*(1+Sorted!$H$10),2)</f>
        <v>0</v>
      </c>
      <c r="AM94" s="47" t="n">
        <f aca="false">MIN(AL94,Sorted!$G$10)</f>
        <v>0</v>
      </c>
      <c r="AN94" s="47" t="n">
        <f aca="false">MAX(0,MIN(AL94-AM94,$C94-(H94+L94+P94+T94+X94+AB94+AF94+AJ94)))</f>
        <v>0</v>
      </c>
      <c r="AO94" s="47" t="n">
        <f aca="false">ROUND(AL94-AM94-AN94,2)</f>
        <v>0</v>
      </c>
      <c r="AP94" s="47" t="n">
        <f aca="false">ROUND(AS93*(1+Sorted!$H$11),2)</f>
        <v>0</v>
      </c>
      <c r="AQ94" s="47" t="n">
        <f aca="false">MIN(AP94,Sorted!$G$11)</f>
        <v>0</v>
      </c>
      <c r="AR94" s="47" t="n">
        <f aca="false">MAX(0,MIN(AP94-AQ94,$C94-(H94+L94+P94+T94+X94+AB94+AF94+AJ94+AN94)))</f>
        <v>0</v>
      </c>
      <c r="AS94" s="47" t="n">
        <f aca="false">ROUND(AP94-AQ94-AR94,2)</f>
        <v>0</v>
      </c>
    </row>
    <row r="95" customFormat="false" ht="15" hidden="false" customHeight="false" outlineLevel="0" collapsed="false">
      <c r="A95" s="45" t="n">
        <v>92</v>
      </c>
      <c r="B95" s="46" t="n">
        <f aca="false">EDATE('My Debts'!$C$7,A95-1)</f>
        <v>49096</v>
      </c>
      <c r="C95" s="47" t="n">
        <f aca="false">MAX(0,'My Debts'!$E$6-(G95+K95+O95+S95+W95+AA95+AE95+AI95+AM95+AQ95))</f>
        <v>730</v>
      </c>
      <c r="D95" s="47" t="n">
        <f aca="false">(F95+J95+N95+R95+V95+Z95+AD95+AH95+AL95+AP95)-(I95+M95+Q95+U95+Y95+AC95+AG95+AK95+AO95+AS95)</f>
        <v>0</v>
      </c>
      <c r="E95" s="48" t="n">
        <f aca="false">I95+M95+Q95+U95+Y95+AC95+AG95+AK95+AO95+AS95</f>
        <v>0</v>
      </c>
      <c r="F95" s="47" t="n">
        <f aca="false">ROUND(I94*(1+Sorted!$H$2),2)</f>
        <v>0</v>
      </c>
      <c r="G95" s="47" t="n">
        <f aca="false">MIN(F95,Sorted!$G$2)</f>
        <v>0</v>
      </c>
      <c r="H95" s="47" t="n">
        <f aca="false">MAX(0,MIN(F95-G95,$C95-(0)))</f>
        <v>0</v>
      </c>
      <c r="I95" s="47" t="n">
        <f aca="false">ROUND(F95-G95-H95,2)</f>
        <v>0</v>
      </c>
      <c r="J95" s="47" t="n">
        <f aca="false">ROUND(M94*(1+Sorted!$H$3),2)</f>
        <v>0</v>
      </c>
      <c r="K95" s="47" t="n">
        <f aca="false">MIN(J95,Sorted!$G$3)</f>
        <v>0</v>
      </c>
      <c r="L95" s="47" t="n">
        <f aca="false">MAX(0,MIN(J95-K95,$C95-(H95)))</f>
        <v>0</v>
      </c>
      <c r="M95" s="47" t="n">
        <f aca="false">ROUND(J95-K95-L95,2)</f>
        <v>0</v>
      </c>
      <c r="N95" s="47" t="n">
        <f aca="false">ROUND(Q94*(1+Sorted!$H$4),2)</f>
        <v>0</v>
      </c>
      <c r="O95" s="47" t="n">
        <f aca="false">MIN(N95,Sorted!$G$4)</f>
        <v>0</v>
      </c>
      <c r="P95" s="47" t="n">
        <f aca="false">MAX(0,MIN(N95-O95,$C95-(H95+L95)))</f>
        <v>0</v>
      </c>
      <c r="Q95" s="47" t="n">
        <f aca="false">ROUND(N95-O95-P95,2)</f>
        <v>0</v>
      </c>
      <c r="R95" s="47" t="n">
        <f aca="false">ROUND(U94*(1+Sorted!$H$5),2)</f>
        <v>0</v>
      </c>
      <c r="S95" s="47" t="n">
        <f aca="false">MIN(R95,Sorted!$G$5)</f>
        <v>0</v>
      </c>
      <c r="T95" s="47" t="n">
        <f aca="false">MAX(0,MIN(R95-S95,$C95-(H95+L95+P95)))</f>
        <v>0</v>
      </c>
      <c r="U95" s="47" t="n">
        <f aca="false">ROUND(R95-S95-T95,2)</f>
        <v>0</v>
      </c>
      <c r="V95" s="47" t="n">
        <f aca="false">ROUND(Y94*(1+Sorted!$H$6),2)</f>
        <v>0</v>
      </c>
      <c r="W95" s="47" t="n">
        <f aca="false">MIN(V95,Sorted!$G$6)</f>
        <v>0</v>
      </c>
      <c r="X95" s="47" t="n">
        <f aca="false">MAX(0,MIN(V95-W95,$C95-(H95+L95+P95+T95)))</f>
        <v>0</v>
      </c>
      <c r="Y95" s="47" t="n">
        <f aca="false">ROUND(V95-W95-X95,2)</f>
        <v>0</v>
      </c>
      <c r="Z95" s="47" t="n">
        <f aca="false">ROUND(AC94*(1+Sorted!$H$7),2)</f>
        <v>0</v>
      </c>
      <c r="AA95" s="47" t="n">
        <f aca="false">MIN(Z95,Sorted!$G$7)</f>
        <v>0</v>
      </c>
      <c r="AB95" s="47" t="n">
        <f aca="false">MAX(0,MIN(Z95-AA95,$C95-(H95+L95+P95+T95+X95)))</f>
        <v>0</v>
      </c>
      <c r="AC95" s="47" t="n">
        <f aca="false">ROUND(Z95-AA95-AB95,2)</f>
        <v>0</v>
      </c>
      <c r="AD95" s="47" t="n">
        <f aca="false">ROUND(AG94*(1+Sorted!$H$8),2)</f>
        <v>0</v>
      </c>
      <c r="AE95" s="47" t="n">
        <f aca="false">MIN(AD95,Sorted!$G$8)</f>
        <v>0</v>
      </c>
      <c r="AF95" s="47" t="n">
        <f aca="false">MAX(0,MIN(AD95-AE95,$C95-(H95+L95+P95+T95+X95+AB95)))</f>
        <v>0</v>
      </c>
      <c r="AG95" s="47" t="n">
        <f aca="false">ROUND(AD95-AE95-AF95,2)</f>
        <v>0</v>
      </c>
      <c r="AH95" s="47" t="n">
        <f aca="false">ROUND(AK94*(1+Sorted!$H$9),2)</f>
        <v>0</v>
      </c>
      <c r="AI95" s="47" t="n">
        <f aca="false">MIN(AH95,Sorted!$G$9)</f>
        <v>0</v>
      </c>
      <c r="AJ95" s="47" t="n">
        <f aca="false">MAX(0,MIN(AH95-AI95,$C95-(H95+L95+P95+T95+X95+AB95+AF95)))</f>
        <v>0</v>
      </c>
      <c r="AK95" s="47" t="n">
        <f aca="false">ROUND(AH95-AI95-AJ95,2)</f>
        <v>0</v>
      </c>
      <c r="AL95" s="47" t="n">
        <f aca="false">ROUND(AO94*(1+Sorted!$H$10),2)</f>
        <v>0</v>
      </c>
      <c r="AM95" s="47" t="n">
        <f aca="false">MIN(AL95,Sorted!$G$10)</f>
        <v>0</v>
      </c>
      <c r="AN95" s="47" t="n">
        <f aca="false">MAX(0,MIN(AL95-AM95,$C95-(H95+L95+P95+T95+X95+AB95+AF95+AJ95)))</f>
        <v>0</v>
      </c>
      <c r="AO95" s="47" t="n">
        <f aca="false">ROUND(AL95-AM95-AN95,2)</f>
        <v>0</v>
      </c>
      <c r="AP95" s="47" t="n">
        <f aca="false">ROUND(AS94*(1+Sorted!$H$11),2)</f>
        <v>0</v>
      </c>
      <c r="AQ95" s="47" t="n">
        <f aca="false">MIN(AP95,Sorted!$G$11)</f>
        <v>0</v>
      </c>
      <c r="AR95" s="47" t="n">
        <f aca="false">MAX(0,MIN(AP95-AQ95,$C95-(H95+L95+P95+T95+X95+AB95+AF95+AJ95+AN95)))</f>
        <v>0</v>
      </c>
      <c r="AS95" s="47" t="n">
        <f aca="false">ROUND(AP95-AQ95-AR95,2)</f>
        <v>0</v>
      </c>
    </row>
    <row r="96" customFormat="false" ht="15" hidden="false" customHeight="false" outlineLevel="0" collapsed="false">
      <c r="A96" s="45" t="n">
        <v>93</v>
      </c>
      <c r="B96" s="46" t="n">
        <f aca="false">EDATE('My Debts'!$C$7,A96-1)</f>
        <v>49126</v>
      </c>
      <c r="C96" s="47" t="n">
        <f aca="false">MAX(0,'My Debts'!$E$6-(G96+K96+O96+S96+W96+AA96+AE96+AI96+AM96+AQ96))</f>
        <v>730</v>
      </c>
      <c r="D96" s="47" t="n">
        <f aca="false">(F96+J96+N96+R96+V96+Z96+AD96+AH96+AL96+AP96)-(I96+M96+Q96+U96+Y96+AC96+AG96+AK96+AO96+AS96)</f>
        <v>0</v>
      </c>
      <c r="E96" s="48" t="n">
        <f aca="false">I96+M96+Q96+U96+Y96+AC96+AG96+AK96+AO96+AS96</f>
        <v>0</v>
      </c>
      <c r="F96" s="47" t="n">
        <f aca="false">ROUND(I95*(1+Sorted!$H$2),2)</f>
        <v>0</v>
      </c>
      <c r="G96" s="47" t="n">
        <f aca="false">MIN(F96,Sorted!$G$2)</f>
        <v>0</v>
      </c>
      <c r="H96" s="47" t="n">
        <f aca="false">MAX(0,MIN(F96-G96,$C96-(0)))</f>
        <v>0</v>
      </c>
      <c r="I96" s="47" t="n">
        <f aca="false">ROUND(F96-G96-H96,2)</f>
        <v>0</v>
      </c>
      <c r="J96" s="47" t="n">
        <f aca="false">ROUND(M95*(1+Sorted!$H$3),2)</f>
        <v>0</v>
      </c>
      <c r="K96" s="47" t="n">
        <f aca="false">MIN(J96,Sorted!$G$3)</f>
        <v>0</v>
      </c>
      <c r="L96" s="47" t="n">
        <f aca="false">MAX(0,MIN(J96-K96,$C96-(H96)))</f>
        <v>0</v>
      </c>
      <c r="M96" s="47" t="n">
        <f aca="false">ROUND(J96-K96-L96,2)</f>
        <v>0</v>
      </c>
      <c r="N96" s="47" t="n">
        <f aca="false">ROUND(Q95*(1+Sorted!$H$4),2)</f>
        <v>0</v>
      </c>
      <c r="O96" s="47" t="n">
        <f aca="false">MIN(N96,Sorted!$G$4)</f>
        <v>0</v>
      </c>
      <c r="P96" s="47" t="n">
        <f aca="false">MAX(0,MIN(N96-O96,$C96-(H96+L96)))</f>
        <v>0</v>
      </c>
      <c r="Q96" s="47" t="n">
        <f aca="false">ROUND(N96-O96-P96,2)</f>
        <v>0</v>
      </c>
      <c r="R96" s="47" t="n">
        <f aca="false">ROUND(U95*(1+Sorted!$H$5),2)</f>
        <v>0</v>
      </c>
      <c r="S96" s="47" t="n">
        <f aca="false">MIN(R96,Sorted!$G$5)</f>
        <v>0</v>
      </c>
      <c r="T96" s="47" t="n">
        <f aca="false">MAX(0,MIN(R96-S96,$C96-(H96+L96+P96)))</f>
        <v>0</v>
      </c>
      <c r="U96" s="47" t="n">
        <f aca="false">ROUND(R96-S96-T96,2)</f>
        <v>0</v>
      </c>
      <c r="V96" s="47" t="n">
        <f aca="false">ROUND(Y95*(1+Sorted!$H$6),2)</f>
        <v>0</v>
      </c>
      <c r="W96" s="47" t="n">
        <f aca="false">MIN(V96,Sorted!$G$6)</f>
        <v>0</v>
      </c>
      <c r="X96" s="47" t="n">
        <f aca="false">MAX(0,MIN(V96-W96,$C96-(H96+L96+P96+T96)))</f>
        <v>0</v>
      </c>
      <c r="Y96" s="47" t="n">
        <f aca="false">ROUND(V96-W96-X96,2)</f>
        <v>0</v>
      </c>
      <c r="Z96" s="47" t="n">
        <f aca="false">ROUND(AC95*(1+Sorted!$H$7),2)</f>
        <v>0</v>
      </c>
      <c r="AA96" s="47" t="n">
        <f aca="false">MIN(Z96,Sorted!$G$7)</f>
        <v>0</v>
      </c>
      <c r="AB96" s="47" t="n">
        <f aca="false">MAX(0,MIN(Z96-AA96,$C96-(H96+L96+P96+T96+X96)))</f>
        <v>0</v>
      </c>
      <c r="AC96" s="47" t="n">
        <f aca="false">ROUND(Z96-AA96-AB96,2)</f>
        <v>0</v>
      </c>
      <c r="AD96" s="47" t="n">
        <f aca="false">ROUND(AG95*(1+Sorted!$H$8),2)</f>
        <v>0</v>
      </c>
      <c r="AE96" s="47" t="n">
        <f aca="false">MIN(AD96,Sorted!$G$8)</f>
        <v>0</v>
      </c>
      <c r="AF96" s="47" t="n">
        <f aca="false">MAX(0,MIN(AD96-AE96,$C96-(H96+L96+P96+T96+X96+AB96)))</f>
        <v>0</v>
      </c>
      <c r="AG96" s="47" t="n">
        <f aca="false">ROUND(AD96-AE96-AF96,2)</f>
        <v>0</v>
      </c>
      <c r="AH96" s="47" t="n">
        <f aca="false">ROUND(AK95*(1+Sorted!$H$9),2)</f>
        <v>0</v>
      </c>
      <c r="AI96" s="47" t="n">
        <f aca="false">MIN(AH96,Sorted!$G$9)</f>
        <v>0</v>
      </c>
      <c r="AJ96" s="47" t="n">
        <f aca="false">MAX(0,MIN(AH96-AI96,$C96-(H96+L96+P96+T96+X96+AB96+AF96)))</f>
        <v>0</v>
      </c>
      <c r="AK96" s="47" t="n">
        <f aca="false">ROUND(AH96-AI96-AJ96,2)</f>
        <v>0</v>
      </c>
      <c r="AL96" s="47" t="n">
        <f aca="false">ROUND(AO95*(1+Sorted!$H$10),2)</f>
        <v>0</v>
      </c>
      <c r="AM96" s="47" t="n">
        <f aca="false">MIN(AL96,Sorted!$G$10)</f>
        <v>0</v>
      </c>
      <c r="AN96" s="47" t="n">
        <f aca="false">MAX(0,MIN(AL96-AM96,$C96-(H96+L96+P96+T96+X96+AB96+AF96+AJ96)))</f>
        <v>0</v>
      </c>
      <c r="AO96" s="47" t="n">
        <f aca="false">ROUND(AL96-AM96-AN96,2)</f>
        <v>0</v>
      </c>
      <c r="AP96" s="47" t="n">
        <f aca="false">ROUND(AS95*(1+Sorted!$H$11),2)</f>
        <v>0</v>
      </c>
      <c r="AQ96" s="47" t="n">
        <f aca="false">MIN(AP96,Sorted!$G$11)</f>
        <v>0</v>
      </c>
      <c r="AR96" s="47" t="n">
        <f aca="false">MAX(0,MIN(AP96-AQ96,$C96-(H96+L96+P96+T96+X96+AB96+AF96+AJ96+AN96)))</f>
        <v>0</v>
      </c>
      <c r="AS96" s="47" t="n">
        <f aca="false">ROUND(AP96-AQ96-AR96,2)</f>
        <v>0</v>
      </c>
    </row>
    <row r="97" customFormat="false" ht="15" hidden="false" customHeight="false" outlineLevel="0" collapsed="false">
      <c r="A97" s="45" t="n">
        <v>94</v>
      </c>
      <c r="B97" s="46" t="n">
        <f aca="false">EDATE('My Debts'!$C$7,A97-1)</f>
        <v>49157</v>
      </c>
      <c r="C97" s="47" t="n">
        <f aca="false">MAX(0,'My Debts'!$E$6-(G97+K97+O97+S97+W97+AA97+AE97+AI97+AM97+AQ97))</f>
        <v>730</v>
      </c>
      <c r="D97" s="47" t="n">
        <f aca="false">(F97+J97+N97+R97+V97+Z97+AD97+AH97+AL97+AP97)-(I97+M97+Q97+U97+Y97+AC97+AG97+AK97+AO97+AS97)</f>
        <v>0</v>
      </c>
      <c r="E97" s="48" t="n">
        <f aca="false">I97+M97+Q97+U97+Y97+AC97+AG97+AK97+AO97+AS97</f>
        <v>0</v>
      </c>
      <c r="F97" s="47" t="n">
        <f aca="false">ROUND(I96*(1+Sorted!$H$2),2)</f>
        <v>0</v>
      </c>
      <c r="G97" s="47" t="n">
        <f aca="false">MIN(F97,Sorted!$G$2)</f>
        <v>0</v>
      </c>
      <c r="H97" s="47" t="n">
        <f aca="false">MAX(0,MIN(F97-G97,$C97-(0)))</f>
        <v>0</v>
      </c>
      <c r="I97" s="47" t="n">
        <f aca="false">ROUND(F97-G97-H97,2)</f>
        <v>0</v>
      </c>
      <c r="J97" s="47" t="n">
        <f aca="false">ROUND(M96*(1+Sorted!$H$3),2)</f>
        <v>0</v>
      </c>
      <c r="K97" s="47" t="n">
        <f aca="false">MIN(J97,Sorted!$G$3)</f>
        <v>0</v>
      </c>
      <c r="L97" s="47" t="n">
        <f aca="false">MAX(0,MIN(J97-K97,$C97-(H97)))</f>
        <v>0</v>
      </c>
      <c r="M97" s="47" t="n">
        <f aca="false">ROUND(J97-K97-L97,2)</f>
        <v>0</v>
      </c>
      <c r="N97" s="47" t="n">
        <f aca="false">ROUND(Q96*(1+Sorted!$H$4),2)</f>
        <v>0</v>
      </c>
      <c r="O97" s="47" t="n">
        <f aca="false">MIN(N97,Sorted!$G$4)</f>
        <v>0</v>
      </c>
      <c r="P97" s="47" t="n">
        <f aca="false">MAX(0,MIN(N97-O97,$C97-(H97+L97)))</f>
        <v>0</v>
      </c>
      <c r="Q97" s="47" t="n">
        <f aca="false">ROUND(N97-O97-P97,2)</f>
        <v>0</v>
      </c>
      <c r="R97" s="47" t="n">
        <f aca="false">ROUND(U96*(1+Sorted!$H$5),2)</f>
        <v>0</v>
      </c>
      <c r="S97" s="47" t="n">
        <f aca="false">MIN(R97,Sorted!$G$5)</f>
        <v>0</v>
      </c>
      <c r="T97" s="47" t="n">
        <f aca="false">MAX(0,MIN(R97-S97,$C97-(H97+L97+P97)))</f>
        <v>0</v>
      </c>
      <c r="U97" s="47" t="n">
        <f aca="false">ROUND(R97-S97-T97,2)</f>
        <v>0</v>
      </c>
      <c r="V97" s="47" t="n">
        <f aca="false">ROUND(Y96*(1+Sorted!$H$6),2)</f>
        <v>0</v>
      </c>
      <c r="W97" s="47" t="n">
        <f aca="false">MIN(V97,Sorted!$G$6)</f>
        <v>0</v>
      </c>
      <c r="X97" s="47" t="n">
        <f aca="false">MAX(0,MIN(V97-W97,$C97-(H97+L97+P97+T97)))</f>
        <v>0</v>
      </c>
      <c r="Y97" s="47" t="n">
        <f aca="false">ROUND(V97-W97-X97,2)</f>
        <v>0</v>
      </c>
      <c r="Z97" s="47" t="n">
        <f aca="false">ROUND(AC96*(1+Sorted!$H$7),2)</f>
        <v>0</v>
      </c>
      <c r="AA97" s="47" t="n">
        <f aca="false">MIN(Z97,Sorted!$G$7)</f>
        <v>0</v>
      </c>
      <c r="AB97" s="47" t="n">
        <f aca="false">MAX(0,MIN(Z97-AA97,$C97-(H97+L97+P97+T97+X97)))</f>
        <v>0</v>
      </c>
      <c r="AC97" s="47" t="n">
        <f aca="false">ROUND(Z97-AA97-AB97,2)</f>
        <v>0</v>
      </c>
      <c r="AD97" s="47" t="n">
        <f aca="false">ROUND(AG96*(1+Sorted!$H$8),2)</f>
        <v>0</v>
      </c>
      <c r="AE97" s="47" t="n">
        <f aca="false">MIN(AD97,Sorted!$G$8)</f>
        <v>0</v>
      </c>
      <c r="AF97" s="47" t="n">
        <f aca="false">MAX(0,MIN(AD97-AE97,$C97-(H97+L97+P97+T97+X97+AB97)))</f>
        <v>0</v>
      </c>
      <c r="AG97" s="47" t="n">
        <f aca="false">ROUND(AD97-AE97-AF97,2)</f>
        <v>0</v>
      </c>
      <c r="AH97" s="47" t="n">
        <f aca="false">ROUND(AK96*(1+Sorted!$H$9),2)</f>
        <v>0</v>
      </c>
      <c r="AI97" s="47" t="n">
        <f aca="false">MIN(AH97,Sorted!$G$9)</f>
        <v>0</v>
      </c>
      <c r="AJ97" s="47" t="n">
        <f aca="false">MAX(0,MIN(AH97-AI97,$C97-(H97+L97+P97+T97+X97+AB97+AF97)))</f>
        <v>0</v>
      </c>
      <c r="AK97" s="47" t="n">
        <f aca="false">ROUND(AH97-AI97-AJ97,2)</f>
        <v>0</v>
      </c>
      <c r="AL97" s="47" t="n">
        <f aca="false">ROUND(AO96*(1+Sorted!$H$10),2)</f>
        <v>0</v>
      </c>
      <c r="AM97" s="47" t="n">
        <f aca="false">MIN(AL97,Sorted!$G$10)</f>
        <v>0</v>
      </c>
      <c r="AN97" s="47" t="n">
        <f aca="false">MAX(0,MIN(AL97-AM97,$C97-(H97+L97+P97+T97+X97+AB97+AF97+AJ97)))</f>
        <v>0</v>
      </c>
      <c r="AO97" s="47" t="n">
        <f aca="false">ROUND(AL97-AM97-AN97,2)</f>
        <v>0</v>
      </c>
      <c r="AP97" s="47" t="n">
        <f aca="false">ROUND(AS96*(1+Sorted!$H$11),2)</f>
        <v>0</v>
      </c>
      <c r="AQ97" s="47" t="n">
        <f aca="false">MIN(AP97,Sorted!$G$11)</f>
        <v>0</v>
      </c>
      <c r="AR97" s="47" t="n">
        <f aca="false">MAX(0,MIN(AP97-AQ97,$C97-(H97+L97+P97+T97+X97+AB97+AF97+AJ97+AN97)))</f>
        <v>0</v>
      </c>
      <c r="AS97" s="47" t="n">
        <f aca="false">ROUND(AP97-AQ97-AR97,2)</f>
        <v>0</v>
      </c>
    </row>
    <row r="98" customFormat="false" ht="15" hidden="false" customHeight="false" outlineLevel="0" collapsed="false">
      <c r="A98" s="45" t="n">
        <v>95</v>
      </c>
      <c r="B98" s="46" t="n">
        <f aca="false">EDATE('My Debts'!$C$7,A98-1)</f>
        <v>49188</v>
      </c>
      <c r="C98" s="47" t="n">
        <f aca="false">MAX(0,'My Debts'!$E$6-(G98+K98+O98+S98+W98+AA98+AE98+AI98+AM98+AQ98))</f>
        <v>730</v>
      </c>
      <c r="D98" s="47" t="n">
        <f aca="false">(F98+J98+N98+R98+V98+Z98+AD98+AH98+AL98+AP98)-(I98+M98+Q98+U98+Y98+AC98+AG98+AK98+AO98+AS98)</f>
        <v>0</v>
      </c>
      <c r="E98" s="48" t="n">
        <f aca="false">I98+M98+Q98+U98+Y98+AC98+AG98+AK98+AO98+AS98</f>
        <v>0</v>
      </c>
      <c r="F98" s="47" t="n">
        <f aca="false">ROUND(I97*(1+Sorted!$H$2),2)</f>
        <v>0</v>
      </c>
      <c r="G98" s="47" t="n">
        <f aca="false">MIN(F98,Sorted!$G$2)</f>
        <v>0</v>
      </c>
      <c r="H98" s="47" t="n">
        <f aca="false">MAX(0,MIN(F98-G98,$C98-(0)))</f>
        <v>0</v>
      </c>
      <c r="I98" s="47" t="n">
        <f aca="false">ROUND(F98-G98-H98,2)</f>
        <v>0</v>
      </c>
      <c r="J98" s="47" t="n">
        <f aca="false">ROUND(M97*(1+Sorted!$H$3),2)</f>
        <v>0</v>
      </c>
      <c r="K98" s="47" t="n">
        <f aca="false">MIN(J98,Sorted!$G$3)</f>
        <v>0</v>
      </c>
      <c r="L98" s="47" t="n">
        <f aca="false">MAX(0,MIN(J98-K98,$C98-(H98)))</f>
        <v>0</v>
      </c>
      <c r="M98" s="47" t="n">
        <f aca="false">ROUND(J98-K98-L98,2)</f>
        <v>0</v>
      </c>
      <c r="N98" s="47" t="n">
        <f aca="false">ROUND(Q97*(1+Sorted!$H$4),2)</f>
        <v>0</v>
      </c>
      <c r="O98" s="47" t="n">
        <f aca="false">MIN(N98,Sorted!$G$4)</f>
        <v>0</v>
      </c>
      <c r="P98" s="47" t="n">
        <f aca="false">MAX(0,MIN(N98-O98,$C98-(H98+L98)))</f>
        <v>0</v>
      </c>
      <c r="Q98" s="47" t="n">
        <f aca="false">ROUND(N98-O98-P98,2)</f>
        <v>0</v>
      </c>
      <c r="R98" s="47" t="n">
        <f aca="false">ROUND(U97*(1+Sorted!$H$5),2)</f>
        <v>0</v>
      </c>
      <c r="S98" s="47" t="n">
        <f aca="false">MIN(R98,Sorted!$G$5)</f>
        <v>0</v>
      </c>
      <c r="T98" s="47" t="n">
        <f aca="false">MAX(0,MIN(R98-S98,$C98-(H98+L98+P98)))</f>
        <v>0</v>
      </c>
      <c r="U98" s="47" t="n">
        <f aca="false">ROUND(R98-S98-T98,2)</f>
        <v>0</v>
      </c>
      <c r="V98" s="47" t="n">
        <f aca="false">ROUND(Y97*(1+Sorted!$H$6),2)</f>
        <v>0</v>
      </c>
      <c r="W98" s="47" t="n">
        <f aca="false">MIN(V98,Sorted!$G$6)</f>
        <v>0</v>
      </c>
      <c r="X98" s="47" t="n">
        <f aca="false">MAX(0,MIN(V98-W98,$C98-(H98+L98+P98+T98)))</f>
        <v>0</v>
      </c>
      <c r="Y98" s="47" t="n">
        <f aca="false">ROUND(V98-W98-X98,2)</f>
        <v>0</v>
      </c>
      <c r="Z98" s="47" t="n">
        <f aca="false">ROUND(AC97*(1+Sorted!$H$7),2)</f>
        <v>0</v>
      </c>
      <c r="AA98" s="47" t="n">
        <f aca="false">MIN(Z98,Sorted!$G$7)</f>
        <v>0</v>
      </c>
      <c r="AB98" s="47" t="n">
        <f aca="false">MAX(0,MIN(Z98-AA98,$C98-(H98+L98+P98+T98+X98)))</f>
        <v>0</v>
      </c>
      <c r="AC98" s="47" t="n">
        <f aca="false">ROUND(Z98-AA98-AB98,2)</f>
        <v>0</v>
      </c>
      <c r="AD98" s="47" t="n">
        <f aca="false">ROUND(AG97*(1+Sorted!$H$8),2)</f>
        <v>0</v>
      </c>
      <c r="AE98" s="47" t="n">
        <f aca="false">MIN(AD98,Sorted!$G$8)</f>
        <v>0</v>
      </c>
      <c r="AF98" s="47" t="n">
        <f aca="false">MAX(0,MIN(AD98-AE98,$C98-(H98+L98+P98+T98+X98+AB98)))</f>
        <v>0</v>
      </c>
      <c r="AG98" s="47" t="n">
        <f aca="false">ROUND(AD98-AE98-AF98,2)</f>
        <v>0</v>
      </c>
      <c r="AH98" s="47" t="n">
        <f aca="false">ROUND(AK97*(1+Sorted!$H$9),2)</f>
        <v>0</v>
      </c>
      <c r="AI98" s="47" t="n">
        <f aca="false">MIN(AH98,Sorted!$G$9)</f>
        <v>0</v>
      </c>
      <c r="AJ98" s="47" t="n">
        <f aca="false">MAX(0,MIN(AH98-AI98,$C98-(H98+L98+P98+T98+X98+AB98+AF98)))</f>
        <v>0</v>
      </c>
      <c r="AK98" s="47" t="n">
        <f aca="false">ROUND(AH98-AI98-AJ98,2)</f>
        <v>0</v>
      </c>
      <c r="AL98" s="47" t="n">
        <f aca="false">ROUND(AO97*(1+Sorted!$H$10),2)</f>
        <v>0</v>
      </c>
      <c r="AM98" s="47" t="n">
        <f aca="false">MIN(AL98,Sorted!$G$10)</f>
        <v>0</v>
      </c>
      <c r="AN98" s="47" t="n">
        <f aca="false">MAX(0,MIN(AL98-AM98,$C98-(H98+L98+P98+T98+X98+AB98+AF98+AJ98)))</f>
        <v>0</v>
      </c>
      <c r="AO98" s="47" t="n">
        <f aca="false">ROUND(AL98-AM98-AN98,2)</f>
        <v>0</v>
      </c>
      <c r="AP98" s="47" t="n">
        <f aca="false">ROUND(AS97*(1+Sorted!$H$11),2)</f>
        <v>0</v>
      </c>
      <c r="AQ98" s="47" t="n">
        <f aca="false">MIN(AP98,Sorted!$G$11)</f>
        <v>0</v>
      </c>
      <c r="AR98" s="47" t="n">
        <f aca="false">MAX(0,MIN(AP98-AQ98,$C98-(H98+L98+P98+T98+X98+AB98+AF98+AJ98+AN98)))</f>
        <v>0</v>
      </c>
      <c r="AS98" s="47" t="n">
        <f aca="false">ROUND(AP98-AQ98-AR98,2)</f>
        <v>0</v>
      </c>
    </row>
    <row r="99" customFormat="false" ht="15" hidden="false" customHeight="false" outlineLevel="0" collapsed="false">
      <c r="A99" s="45" t="n">
        <v>96</v>
      </c>
      <c r="B99" s="46" t="n">
        <f aca="false">EDATE('My Debts'!$C$7,A99-1)</f>
        <v>49218</v>
      </c>
      <c r="C99" s="47" t="n">
        <f aca="false">MAX(0,'My Debts'!$E$6-(G99+K99+O99+S99+W99+AA99+AE99+AI99+AM99+AQ99))</f>
        <v>730</v>
      </c>
      <c r="D99" s="47" t="n">
        <f aca="false">(F99+J99+N99+R99+V99+Z99+AD99+AH99+AL99+AP99)-(I99+M99+Q99+U99+Y99+AC99+AG99+AK99+AO99+AS99)</f>
        <v>0</v>
      </c>
      <c r="E99" s="48" t="n">
        <f aca="false">I99+M99+Q99+U99+Y99+AC99+AG99+AK99+AO99+AS99</f>
        <v>0</v>
      </c>
      <c r="F99" s="47" t="n">
        <f aca="false">ROUND(I98*(1+Sorted!$H$2),2)</f>
        <v>0</v>
      </c>
      <c r="G99" s="47" t="n">
        <f aca="false">MIN(F99,Sorted!$G$2)</f>
        <v>0</v>
      </c>
      <c r="H99" s="47" t="n">
        <f aca="false">MAX(0,MIN(F99-G99,$C99-(0)))</f>
        <v>0</v>
      </c>
      <c r="I99" s="47" t="n">
        <f aca="false">ROUND(F99-G99-H99,2)</f>
        <v>0</v>
      </c>
      <c r="J99" s="47" t="n">
        <f aca="false">ROUND(M98*(1+Sorted!$H$3),2)</f>
        <v>0</v>
      </c>
      <c r="K99" s="47" t="n">
        <f aca="false">MIN(J99,Sorted!$G$3)</f>
        <v>0</v>
      </c>
      <c r="L99" s="47" t="n">
        <f aca="false">MAX(0,MIN(J99-K99,$C99-(H99)))</f>
        <v>0</v>
      </c>
      <c r="M99" s="47" t="n">
        <f aca="false">ROUND(J99-K99-L99,2)</f>
        <v>0</v>
      </c>
      <c r="N99" s="47" t="n">
        <f aca="false">ROUND(Q98*(1+Sorted!$H$4),2)</f>
        <v>0</v>
      </c>
      <c r="O99" s="47" t="n">
        <f aca="false">MIN(N99,Sorted!$G$4)</f>
        <v>0</v>
      </c>
      <c r="P99" s="47" t="n">
        <f aca="false">MAX(0,MIN(N99-O99,$C99-(H99+L99)))</f>
        <v>0</v>
      </c>
      <c r="Q99" s="47" t="n">
        <f aca="false">ROUND(N99-O99-P99,2)</f>
        <v>0</v>
      </c>
      <c r="R99" s="47" t="n">
        <f aca="false">ROUND(U98*(1+Sorted!$H$5),2)</f>
        <v>0</v>
      </c>
      <c r="S99" s="47" t="n">
        <f aca="false">MIN(R99,Sorted!$G$5)</f>
        <v>0</v>
      </c>
      <c r="T99" s="47" t="n">
        <f aca="false">MAX(0,MIN(R99-S99,$C99-(H99+L99+P99)))</f>
        <v>0</v>
      </c>
      <c r="U99" s="47" t="n">
        <f aca="false">ROUND(R99-S99-T99,2)</f>
        <v>0</v>
      </c>
      <c r="V99" s="47" t="n">
        <f aca="false">ROUND(Y98*(1+Sorted!$H$6),2)</f>
        <v>0</v>
      </c>
      <c r="W99" s="47" t="n">
        <f aca="false">MIN(V99,Sorted!$G$6)</f>
        <v>0</v>
      </c>
      <c r="X99" s="47" t="n">
        <f aca="false">MAX(0,MIN(V99-W99,$C99-(H99+L99+P99+T99)))</f>
        <v>0</v>
      </c>
      <c r="Y99" s="47" t="n">
        <f aca="false">ROUND(V99-W99-X99,2)</f>
        <v>0</v>
      </c>
      <c r="Z99" s="47" t="n">
        <f aca="false">ROUND(AC98*(1+Sorted!$H$7),2)</f>
        <v>0</v>
      </c>
      <c r="AA99" s="47" t="n">
        <f aca="false">MIN(Z99,Sorted!$G$7)</f>
        <v>0</v>
      </c>
      <c r="AB99" s="47" t="n">
        <f aca="false">MAX(0,MIN(Z99-AA99,$C99-(H99+L99+P99+T99+X99)))</f>
        <v>0</v>
      </c>
      <c r="AC99" s="47" t="n">
        <f aca="false">ROUND(Z99-AA99-AB99,2)</f>
        <v>0</v>
      </c>
      <c r="AD99" s="47" t="n">
        <f aca="false">ROUND(AG98*(1+Sorted!$H$8),2)</f>
        <v>0</v>
      </c>
      <c r="AE99" s="47" t="n">
        <f aca="false">MIN(AD99,Sorted!$G$8)</f>
        <v>0</v>
      </c>
      <c r="AF99" s="47" t="n">
        <f aca="false">MAX(0,MIN(AD99-AE99,$C99-(H99+L99+P99+T99+X99+AB99)))</f>
        <v>0</v>
      </c>
      <c r="AG99" s="47" t="n">
        <f aca="false">ROUND(AD99-AE99-AF99,2)</f>
        <v>0</v>
      </c>
      <c r="AH99" s="47" t="n">
        <f aca="false">ROUND(AK98*(1+Sorted!$H$9),2)</f>
        <v>0</v>
      </c>
      <c r="AI99" s="47" t="n">
        <f aca="false">MIN(AH99,Sorted!$G$9)</f>
        <v>0</v>
      </c>
      <c r="AJ99" s="47" t="n">
        <f aca="false">MAX(0,MIN(AH99-AI99,$C99-(H99+L99+P99+T99+X99+AB99+AF99)))</f>
        <v>0</v>
      </c>
      <c r="AK99" s="47" t="n">
        <f aca="false">ROUND(AH99-AI99-AJ99,2)</f>
        <v>0</v>
      </c>
      <c r="AL99" s="47" t="n">
        <f aca="false">ROUND(AO98*(1+Sorted!$H$10),2)</f>
        <v>0</v>
      </c>
      <c r="AM99" s="47" t="n">
        <f aca="false">MIN(AL99,Sorted!$G$10)</f>
        <v>0</v>
      </c>
      <c r="AN99" s="47" t="n">
        <f aca="false">MAX(0,MIN(AL99-AM99,$C99-(H99+L99+P99+T99+X99+AB99+AF99+AJ99)))</f>
        <v>0</v>
      </c>
      <c r="AO99" s="47" t="n">
        <f aca="false">ROUND(AL99-AM99-AN99,2)</f>
        <v>0</v>
      </c>
      <c r="AP99" s="47" t="n">
        <f aca="false">ROUND(AS98*(1+Sorted!$H$11),2)</f>
        <v>0</v>
      </c>
      <c r="AQ99" s="47" t="n">
        <f aca="false">MIN(AP99,Sorted!$G$11)</f>
        <v>0</v>
      </c>
      <c r="AR99" s="47" t="n">
        <f aca="false">MAX(0,MIN(AP99-AQ99,$C99-(H99+L99+P99+T99+X99+AB99+AF99+AJ99+AN99)))</f>
        <v>0</v>
      </c>
      <c r="AS99" s="47" t="n">
        <f aca="false">ROUND(AP99-AQ99-AR99,2)</f>
        <v>0</v>
      </c>
    </row>
    <row r="100" customFormat="false" ht="15" hidden="false" customHeight="false" outlineLevel="0" collapsed="false">
      <c r="A100" s="45" t="n">
        <v>97</v>
      </c>
      <c r="B100" s="46" t="n">
        <f aca="false">EDATE('My Debts'!$C$7,A100-1)</f>
        <v>49249</v>
      </c>
      <c r="C100" s="47" t="n">
        <f aca="false">MAX(0,'My Debts'!$E$6-(G100+K100+O100+S100+W100+AA100+AE100+AI100+AM100+AQ100))</f>
        <v>730</v>
      </c>
      <c r="D100" s="47" t="n">
        <f aca="false">(F100+J100+N100+R100+V100+Z100+AD100+AH100+AL100+AP100)-(I100+M100+Q100+U100+Y100+AC100+AG100+AK100+AO100+AS100)</f>
        <v>0</v>
      </c>
      <c r="E100" s="48" t="n">
        <f aca="false">I100+M100+Q100+U100+Y100+AC100+AG100+AK100+AO100+AS100</f>
        <v>0</v>
      </c>
      <c r="F100" s="47" t="n">
        <f aca="false">ROUND(I99*(1+Sorted!$H$2),2)</f>
        <v>0</v>
      </c>
      <c r="G100" s="47" t="n">
        <f aca="false">MIN(F100,Sorted!$G$2)</f>
        <v>0</v>
      </c>
      <c r="H100" s="47" t="n">
        <f aca="false">MAX(0,MIN(F100-G100,$C100-(0)))</f>
        <v>0</v>
      </c>
      <c r="I100" s="47" t="n">
        <f aca="false">ROUND(F100-G100-H100,2)</f>
        <v>0</v>
      </c>
      <c r="J100" s="47" t="n">
        <f aca="false">ROUND(M99*(1+Sorted!$H$3),2)</f>
        <v>0</v>
      </c>
      <c r="K100" s="47" t="n">
        <f aca="false">MIN(J100,Sorted!$G$3)</f>
        <v>0</v>
      </c>
      <c r="L100" s="47" t="n">
        <f aca="false">MAX(0,MIN(J100-K100,$C100-(H100)))</f>
        <v>0</v>
      </c>
      <c r="M100" s="47" t="n">
        <f aca="false">ROUND(J100-K100-L100,2)</f>
        <v>0</v>
      </c>
      <c r="N100" s="47" t="n">
        <f aca="false">ROUND(Q99*(1+Sorted!$H$4),2)</f>
        <v>0</v>
      </c>
      <c r="O100" s="47" t="n">
        <f aca="false">MIN(N100,Sorted!$G$4)</f>
        <v>0</v>
      </c>
      <c r="P100" s="47" t="n">
        <f aca="false">MAX(0,MIN(N100-O100,$C100-(H100+L100)))</f>
        <v>0</v>
      </c>
      <c r="Q100" s="47" t="n">
        <f aca="false">ROUND(N100-O100-P100,2)</f>
        <v>0</v>
      </c>
      <c r="R100" s="47" t="n">
        <f aca="false">ROUND(U99*(1+Sorted!$H$5),2)</f>
        <v>0</v>
      </c>
      <c r="S100" s="47" t="n">
        <f aca="false">MIN(R100,Sorted!$G$5)</f>
        <v>0</v>
      </c>
      <c r="T100" s="47" t="n">
        <f aca="false">MAX(0,MIN(R100-S100,$C100-(H100+L100+P100)))</f>
        <v>0</v>
      </c>
      <c r="U100" s="47" t="n">
        <f aca="false">ROUND(R100-S100-T100,2)</f>
        <v>0</v>
      </c>
      <c r="V100" s="47" t="n">
        <f aca="false">ROUND(Y99*(1+Sorted!$H$6),2)</f>
        <v>0</v>
      </c>
      <c r="W100" s="47" t="n">
        <f aca="false">MIN(V100,Sorted!$G$6)</f>
        <v>0</v>
      </c>
      <c r="X100" s="47" t="n">
        <f aca="false">MAX(0,MIN(V100-W100,$C100-(H100+L100+P100+T100)))</f>
        <v>0</v>
      </c>
      <c r="Y100" s="47" t="n">
        <f aca="false">ROUND(V100-W100-X100,2)</f>
        <v>0</v>
      </c>
      <c r="Z100" s="47" t="n">
        <f aca="false">ROUND(AC99*(1+Sorted!$H$7),2)</f>
        <v>0</v>
      </c>
      <c r="AA100" s="47" t="n">
        <f aca="false">MIN(Z100,Sorted!$G$7)</f>
        <v>0</v>
      </c>
      <c r="AB100" s="47" t="n">
        <f aca="false">MAX(0,MIN(Z100-AA100,$C100-(H100+L100+P100+T100+X100)))</f>
        <v>0</v>
      </c>
      <c r="AC100" s="47" t="n">
        <f aca="false">ROUND(Z100-AA100-AB100,2)</f>
        <v>0</v>
      </c>
      <c r="AD100" s="47" t="n">
        <f aca="false">ROUND(AG99*(1+Sorted!$H$8),2)</f>
        <v>0</v>
      </c>
      <c r="AE100" s="47" t="n">
        <f aca="false">MIN(AD100,Sorted!$G$8)</f>
        <v>0</v>
      </c>
      <c r="AF100" s="47" t="n">
        <f aca="false">MAX(0,MIN(AD100-AE100,$C100-(H100+L100+P100+T100+X100+AB100)))</f>
        <v>0</v>
      </c>
      <c r="AG100" s="47" t="n">
        <f aca="false">ROUND(AD100-AE100-AF100,2)</f>
        <v>0</v>
      </c>
      <c r="AH100" s="47" t="n">
        <f aca="false">ROUND(AK99*(1+Sorted!$H$9),2)</f>
        <v>0</v>
      </c>
      <c r="AI100" s="47" t="n">
        <f aca="false">MIN(AH100,Sorted!$G$9)</f>
        <v>0</v>
      </c>
      <c r="AJ100" s="47" t="n">
        <f aca="false">MAX(0,MIN(AH100-AI100,$C100-(H100+L100+P100+T100+X100+AB100+AF100)))</f>
        <v>0</v>
      </c>
      <c r="AK100" s="47" t="n">
        <f aca="false">ROUND(AH100-AI100-AJ100,2)</f>
        <v>0</v>
      </c>
      <c r="AL100" s="47" t="n">
        <f aca="false">ROUND(AO99*(1+Sorted!$H$10),2)</f>
        <v>0</v>
      </c>
      <c r="AM100" s="47" t="n">
        <f aca="false">MIN(AL100,Sorted!$G$10)</f>
        <v>0</v>
      </c>
      <c r="AN100" s="47" t="n">
        <f aca="false">MAX(0,MIN(AL100-AM100,$C100-(H100+L100+P100+T100+X100+AB100+AF100+AJ100)))</f>
        <v>0</v>
      </c>
      <c r="AO100" s="47" t="n">
        <f aca="false">ROUND(AL100-AM100-AN100,2)</f>
        <v>0</v>
      </c>
      <c r="AP100" s="47" t="n">
        <f aca="false">ROUND(AS99*(1+Sorted!$H$11),2)</f>
        <v>0</v>
      </c>
      <c r="AQ100" s="47" t="n">
        <f aca="false">MIN(AP100,Sorted!$G$11)</f>
        <v>0</v>
      </c>
      <c r="AR100" s="47" t="n">
        <f aca="false">MAX(0,MIN(AP100-AQ100,$C100-(H100+L100+P100+T100+X100+AB100+AF100+AJ100+AN100)))</f>
        <v>0</v>
      </c>
      <c r="AS100" s="47" t="n">
        <f aca="false">ROUND(AP100-AQ100-AR100,2)</f>
        <v>0</v>
      </c>
    </row>
    <row r="101" customFormat="false" ht="15" hidden="false" customHeight="false" outlineLevel="0" collapsed="false">
      <c r="A101" s="45" t="n">
        <v>98</v>
      </c>
      <c r="B101" s="46" t="n">
        <f aca="false">EDATE('My Debts'!$C$7,A101-1)</f>
        <v>49279</v>
      </c>
      <c r="C101" s="47" t="n">
        <f aca="false">MAX(0,'My Debts'!$E$6-(G101+K101+O101+S101+W101+AA101+AE101+AI101+AM101+AQ101))</f>
        <v>730</v>
      </c>
      <c r="D101" s="47" t="n">
        <f aca="false">(F101+J101+N101+R101+V101+Z101+AD101+AH101+AL101+AP101)-(I101+M101+Q101+U101+Y101+AC101+AG101+AK101+AO101+AS101)</f>
        <v>0</v>
      </c>
      <c r="E101" s="48" t="n">
        <f aca="false">I101+M101+Q101+U101+Y101+AC101+AG101+AK101+AO101+AS101</f>
        <v>0</v>
      </c>
      <c r="F101" s="47" t="n">
        <f aca="false">ROUND(I100*(1+Sorted!$H$2),2)</f>
        <v>0</v>
      </c>
      <c r="G101" s="47" t="n">
        <f aca="false">MIN(F101,Sorted!$G$2)</f>
        <v>0</v>
      </c>
      <c r="H101" s="47" t="n">
        <f aca="false">MAX(0,MIN(F101-G101,$C101-(0)))</f>
        <v>0</v>
      </c>
      <c r="I101" s="47" t="n">
        <f aca="false">ROUND(F101-G101-H101,2)</f>
        <v>0</v>
      </c>
      <c r="J101" s="47" t="n">
        <f aca="false">ROUND(M100*(1+Sorted!$H$3),2)</f>
        <v>0</v>
      </c>
      <c r="K101" s="47" t="n">
        <f aca="false">MIN(J101,Sorted!$G$3)</f>
        <v>0</v>
      </c>
      <c r="L101" s="47" t="n">
        <f aca="false">MAX(0,MIN(J101-K101,$C101-(H101)))</f>
        <v>0</v>
      </c>
      <c r="M101" s="47" t="n">
        <f aca="false">ROUND(J101-K101-L101,2)</f>
        <v>0</v>
      </c>
      <c r="N101" s="47" t="n">
        <f aca="false">ROUND(Q100*(1+Sorted!$H$4),2)</f>
        <v>0</v>
      </c>
      <c r="O101" s="47" t="n">
        <f aca="false">MIN(N101,Sorted!$G$4)</f>
        <v>0</v>
      </c>
      <c r="P101" s="47" t="n">
        <f aca="false">MAX(0,MIN(N101-O101,$C101-(H101+L101)))</f>
        <v>0</v>
      </c>
      <c r="Q101" s="47" t="n">
        <f aca="false">ROUND(N101-O101-P101,2)</f>
        <v>0</v>
      </c>
      <c r="R101" s="47" t="n">
        <f aca="false">ROUND(U100*(1+Sorted!$H$5),2)</f>
        <v>0</v>
      </c>
      <c r="S101" s="47" t="n">
        <f aca="false">MIN(R101,Sorted!$G$5)</f>
        <v>0</v>
      </c>
      <c r="T101" s="47" t="n">
        <f aca="false">MAX(0,MIN(R101-S101,$C101-(H101+L101+P101)))</f>
        <v>0</v>
      </c>
      <c r="U101" s="47" t="n">
        <f aca="false">ROUND(R101-S101-T101,2)</f>
        <v>0</v>
      </c>
      <c r="V101" s="47" t="n">
        <f aca="false">ROUND(Y100*(1+Sorted!$H$6),2)</f>
        <v>0</v>
      </c>
      <c r="W101" s="47" t="n">
        <f aca="false">MIN(V101,Sorted!$G$6)</f>
        <v>0</v>
      </c>
      <c r="X101" s="47" t="n">
        <f aca="false">MAX(0,MIN(V101-W101,$C101-(H101+L101+P101+T101)))</f>
        <v>0</v>
      </c>
      <c r="Y101" s="47" t="n">
        <f aca="false">ROUND(V101-W101-X101,2)</f>
        <v>0</v>
      </c>
      <c r="Z101" s="47" t="n">
        <f aca="false">ROUND(AC100*(1+Sorted!$H$7),2)</f>
        <v>0</v>
      </c>
      <c r="AA101" s="47" t="n">
        <f aca="false">MIN(Z101,Sorted!$G$7)</f>
        <v>0</v>
      </c>
      <c r="AB101" s="47" t="n">
        <f aca="false">MAX(0,MIN(Z101-AA101,$C101-(H101+L101+P101+T101+X101)))</f>
        <v>0</v>
      </c>
      <c r="AC101" s="47" t="n">
        <f aca="false">ROUND(Z101-AA101-AB101,2)</f>
        <v>0</v>
      </c>
      <c r="AD101" s="47" t="n">
        <f aca="false">ROUND(AG100*(1+Sorted!$H$8),2)</f>
        <v>0</v>
      </c>
      <c r="AE101" s="47" t="n">
        <f aca="false">MIN(AD101,Sorted!$G$8)</f>
        <v>0</v>
      </c>
      <c r="AF101" s="47" t="n">
        <f aca="false">MAX(0,MIN(AD101-AE101,$C101-(H101+L101+P101+T101+X101+AB101)))</f>
        <v>0</v>
      </c>
      <c r="AG101" s="47" t="n">
        <f aca="false">ROUND(AD101-AE101-AF101,2)</f>
        <v>0</v>
      </c>
      <c r="AH101" s="47" t="n">
        <f aca="false">ROUND(AK100*(1+Sorted!$H$9),2)</f>
        <v>0</v>
      </c>
      <c r="AI101" s="47" t="n">
        <f aca="false">MIN(AH101,Sorted!$G$9)</f>
        <v>0</v>
      </c>
      <c r="AJ101" s="47" t="n">
        <f aca="false">MAX(0,MIN(AH101-AI101,$C101-(H101+L101+P101+T101+X101+AB101+AF101)))</f>
        <v>0</v>
      </c>
      <c r="AK101" s="47" t="n">
        <f aca="false">ROUND(AH101-AI101-AJ101,2)</f>
        <v>0</v>
      </c>
      <c r="AL101" s="47" t="n">
        <f aca="false">ROUND(AO100*(1+Sorted!$H$10),2)</f>
        <v>0</v>
      </c>
      <c r="AM101" s="47" t="n">
        <f aca="false">MIN(AL101,Sorted!$G$10)</f>
        <v>0</v>
      </c>
      <c r="AN101" s="47" t="n">
        <f aca="false">MAX(0,MIN(AL101-AM101,$C101-(H101+L101+P101+T101+X101+AB101+AF101+AJ101)))</f>
        <v>0</v>
      </c>
      <c r="AO101" s="47" t="n">
        <f aca="false">ROUND(AL101-AM101-AN101,2)</f>
        <v>0</v>
      </c>
      <c r="AP101" s="47" t="n">
        <f aca="false">ROUND(AS100*(1+Sorted!$H$11),2)</f>
        <v>0</v>
      </c>
      <c r="AQ101" s="47" t="n">
        <f aca="false">MIN(AP101,Sorted!$G$11)</f>
        <v>0</v>
      </c>
      <c r="AR101" s="47" t="n">
        <f aca="false">MAX(0,MIN(AP101-AQ101,$C101-(H101+L101+P101+T101+X101+AB101+AF101+AJ101+AN101)))</f>
        <v>0</v>
      </c>
      <c r="AS101" s="47" t="n">
        <f aca="false">ROUND(AP101-AQ101-AR101,2)</f>
        <v>0</v>
      </c>
    </row>
    <row r="102" customFormat="false" ht="15" hidden="false" customHeight="false" outlineLevel="0" collapsed="false">
      <c r="A102" s="45" t="n">
        <v>99</v>
      </c>
      <c r="B102" s="46" t="n">
        <f aca="false">EDATE('My Debts'!$C$7,A102-1)</f>
        <v>49310</v>
      </c>
      <c r="C102" s="47" t="n">
        <f aca="false">MAX(0,'My Debts'!$E$6-(G102+K102+O102+S102+W102+AA102+AE102+AI102+AM102+AQ102))</f>
        <v>730</v>
      </c>
      <c r="D102" s="47" t="n">
        <f aca="false">(F102+J102+N102+R102+V102+Z102+AD102+AH102+AL102+AP102)-(I102+M102+Q102+U102+Y102+AC102+AG102+AK102+AO102+AS102)</f>
        <v>0</v>
      </c>
      <c r="E102" s="48" t="n">
        <f aca="false">I102+M102+Q102+U102+Y102+AC102+AG102+AK102+AO102+AS102</f>
        <v>0</v>
      </c>
      <c r="F102" s="47" t="n">
        <f aca="false">ROUND(I101*(1+Sorted!$H$2),2)</f>
        <v>0</v>
      </c>
      <c r="G102" s="47" t="n">
        <f aca="false">MIN(F102,Sorted!$G$2)</f>
        <v>0</v>
      </c>
      <c r="H102" s="47" t="n">
        <f aca="false">MAX(0,MIN(F102-G102,$C102-(0)))</f>
        <v>0</v>
      </c>
      <c r="I102" s="47" t="n">
        <f aca="false">ROUND(F102-G102-H102,2)</f>
        <v>0</v>
      </c>
      <c r="J102" s="47" t="n">
        <f aca="false">ROUND(M101*(1+Sorted!$H$3),2)</f>
        <v>0</v>
      </c>
      <c r="K102" s="47" t="n">
        <f aca="false">MIN(J102,Sorted!$G$3)</f>
        <v>0</v>
      </c>
      <c r="L102" s="47" t="n">
        <f aca="false">MAX(0,MIN(J102-K102,$C102-(H102)))</f>
        <v>0</v>
      </c>
      <c r="M102" s="47" t="n">
        <f aca="false">ROUND(J102-K102-L102,2)</f>
        <v>0</v>
      </c>
      <c r="N102" s="47" t="n">
        <f aca="false">ROUND(Q101*(1+Sorted!$H$4),2)</f>
        <v>0</v>
      </c>
      <c r="O102" s="47" t="n">
        <f aca="false">MIN(N102,Sorted!$G$4)</f>
        <v>0</v>
      </c>
      <c r="P102" s="47" t="n">
        <f aca="false">MAX(0,MIN(N102-O102,$C102-(H102+L102)))</f>
        <v>0</v>
      </c>
      <c r="Q102" s="47" t="n">
        <f aca="false">ROUND(N102-O102-P102,2)</f>
        <v>0</v>
      </c>
      <c r="R102" s="47" t="n">
        <f aca="false">ROUND(U101*(1+Sorted!$H$5),2)</f>
        <v>0</v>
      </c>
      <c r="S102" s="47" t="n">
        <f aca="false">MIN(R102,Sorted!$G$5)</f>
        <v>0</v>
      </c>
      <c r="T102" s="47" t="n">
        <f aca="false">MAX(0,MIN(R102-S102,$C102-(H102+L102+P102)))</f>
        <v>0</v>
      </c>
      <c r="U102" s="47" t="n">
        <f aca="false">ROUND(R102-S102-T102,2)</f>
        <v>0</v>
      </c>
      <c r="V102" s="47" t="n">
        <f aca="false">ROUND(Y101*(1+Sorted!$H$6),2)</f>
        <v>0</v>
      </c>
      <c r="W102" s="47" t="n">
        <f aca="false">MIN(V102,Sorted!$G$6)</f>
        <v>0</v>
      </c>
      <c r="X102" s="47" t="n">
        <f aca="false">MAX(0,MIN(V102-W102,$C102-(H102+L102+P102+T102)))</f>
        <v>0</v>
      </c>
      <c r="Y102" s="47" t="n">
        <f aca="false">ROUND(V102-W102-X102,2)</f>
        <v>0</v>
      </c>
      <c r="Z102" s="47" t="n">
        <f aca="false">ROUND(AC101*(1+Sorted!$H$7),2)</f>
        <v>0</v>
      </c>
      <c r="AA102" s="47" t="n">
        <f aca="false">MIN(Z102,Sorted!$G$7)</f>
        <v>0</v>
      </c>
      <c r="AB102" s="47" t="n">
        <f aca="false">MAX(0,MIN(Z102-AA102,$C102-(H102+L102+P102+T102+X102)))</f>
        <v>0</v>
      </c>
      <c r="AC102" s="47" t="n">
        <f aca="false">ROUND(Z102-AA102-AB102,2)</f>
        <v>0</v>
      </c>
      <c r="AD102" s="47" t="n">
        <f aca="false">ROUND(AG101*(1+Sorted!$H$8),2)</f>
        <v>0</v>
      </c>
      <c r="AE102" s="47" t="n">
        <f aca="false">MIN(AD102,Sorted!$G$8)</f>
        <v>0</v>
      </c>
      <c r="AF102" s="47" t="n">
        <f aca="false">MAX(0,MIN(AD102-AE102,$C102-(H102+L102+P102+T102+X102+AB102)))</f>
        <v>0</v>
      </c>
      <c r="AG102" s="47" t="n">
        <f aca="false">ROUND(AD102-AE102-AF102,2)</f>
        <v>0</v>
      </c>
      <c r="AH102" s="47" t="n">
        <f aca="false">ROUND(AK101*(1+Sorted!$H$9),2)</f>
        <v>0</v>
      </c>
      <c r="AI102" s="47" t="n">
        <f aca="false">MIN(AH102,Sorted!$G$9)</f>
        <v>0</v>
      </c>
      <c r="AJ102" s="47" t="n">
        <f aca="false">MAX(0,MIN(AH102-AI102,$C102-(H102+L102+P102+T102+X102+AB102+AF102)))</f>
        <v>0</v>
      </c>
      <c r="AK102" s="47" t="n">
        <f aca="false">ROUND(AH102-AI102-AJ102,2)</f>
        <v>0</v>
      </c>
      <c r="AL102" s="47" t="n">
        <f aca="false">ROUND(AO101*(1+Sorted!$H$10),2)</f>
        <v>0</v>
      </c>
      <c r="AM102" s="47" t="n">
        <f aca="false">MIN(AL102,Sorted!$G$10)</f>
        <v>0</v>
      </c>
      <c r="AN102" s="47" t="n">
        <f aca="false">MAX(0,MIN(AL102-AM102,$C102-(H102+L102+P102+T102+X102+AB102+AF102+AJ102)))</f>
        <v>0</v>
      </c>
      <c r="AO102" s="47" t="n">
        <f aca="false">ROUND(AL102-AM102-AN102,2)</f>
        <v>0</v>
      </c>
      <c r="AP102" s="47" t="n">
        <f aca="false">ROUND(AS101*(1+Sorted!$H$11),2)</f>
        <v>0</v>
      </c>
      <c r="AQ102" s="47" t="n">
        <f aca="false">MIN(AP102,Sorted!$G$11)</f>
        <v>0</v>
      </c>
      <c r="AR102" s="47" t="n">
        <f aca="false">MAX(0,MIN(AP102-AQ102,$C102-(H102+L102+P102+T102+X102+AB102+AF102+AJ102+AN102)))</f>
        <v>0</v>
      </c>
      <c r="AS102" s="47" t="n">
        <f aca="false">ROUND(AP102-AQ102-AR102,2)</f>
        <v>0</v>
      </c>
    </row>
    <row r="103" customFormat="false" ht="15" hidden="false" customHeight="false" outlineLevel="0" collapsed="false">
      <c r="A103" s="45" t="n">
        <v>100</v>
      </c>
      <c r="B103" s="46" t="n">
        <f aca="false">EDATE('My Debts'!$C$7,A103-1)</f>
        <v>49341</v>
      </c>
      <c r="C103" s="47" t="n">
        <f aca="false">MAX(0,'My Debts'!$E$6-(G103+K103+O103+S103+W103+AA103+AE103+AI103+AM103+AQ103))</f>
        <v>730</v>
      </c>
      <c r="D103" s="47" t="n">
        <f aca="false">(F103+J103+N103+R103+V103+Z103+AD103+AH103+AL103+AP103)-(I103+M103+Q103+U103+Y103+AC103+AG103+AK103+AO103+AS103)</f>
        <v>0</v>
      </c>
      <c r="E103" s="48" t="n">
        <f aca="false">I103+M103+Q103+U103+Y103+AC103+AG103+AK103+AO103+AS103</f>
        <v>0</v>
      </c>
      <c r="F103" s="47" t="n">
        <f aca="false">ROUND(I102*(1+Sorted!$H$2),2)</f>
        <v>0</v>
      </c>
      <c r="G103" s="47" t="n">
        <f aca="false">MIN(F103,Sorted!$G$2)</f>
        <v>0</v>
      </c>
      <c r="H103" s="47" t="n">
        <f aca="false">MAX(0,MIN(F103-G103,$C103-(0)))</f>
        <v>0</v>
      </c>
      <c r="I103" s="47" t="n">
        <f aca="false">ROUND(F103-G103-H103,2)</f>
        <v>0</v>
      </c>
      <c r="J103" s="47" t="n">
        <f aca="false">ROUND(M102*(1+Sorted!$H$3),2)</f>
        <v>0</v>
      </c>
      <c r="K103" s="47" t="n">
        <f aca="false">MIN(J103,Sorted!$G$3)</f>
        <v>0</v>
      </c>
      <c r="L103" s="47" t="n">
        <f aca="false">MAX(0,MIN(J103-K103,$C103-(H103)))</f>
        <v>0</v>
      </c>
      <c r="M103" s="47" t="n">
        <f aca="false">ROUND(J103-K103-L103,2)</f>
        <v>0</v>
      </c>
      <c r="N103" s="47" t="n">
        <f aca="false">ROUND(Q102*(1+Sorted!$H$4),2)</f>
        <v>0</v>
      </c>
      <c r="O103" s="47" t="n">
        <f aca="false">MIN(N103,Sorted!$G$4)</f>
        <v>0</v>
      </c>
      <c r="P103" s="47" t="n">
        <f aca="false">MAX(0,MIN(N103-O103,$C103-(H103+L103)))</f>
        <v>0</v>
      </c>
      <c r="Q103" s="47" t="n">
        <f aca="false">ROUND(N103-O103-P103,2)</f>
        <v>0</v>
      </c>
      <c r="R103" s="47" t="n">
        <f aca="false">ROUND(U102*(1+Sorted!$H$5),2)</f>
        <v>0</v>
      </c>
      <c r="S103" s="47" t="n">
        <f aca="false">MIN(R103,Sorted!$G$5)</f>
        <v>0</v>
      </c>
      <c r="T103" s="47" t="n">
        <f aca="false">MAX(0,MIN(R103-S103,$C103-(H103+L103+P103)))</f>
        <v>0</v>
      </c>
      <c r="U103" s="47" t="n">
        <f aca="false">ROUND(R103-S103-T103,2)</f>
        <v>0</v>
      </c>
      <c r="V103" s="47" t="n">
        <f aca="false">ROUND(Y102*(1+Sorted!$H$6),2)</f>
        <v>0</v>
      </c>
      <c r="W103" s="47" t="n">
        <f aca="false">MIN(V103,Sorted!$G$6)</f>
        <v>0</v>
      </c>
      <c r="X103" s="47" t="n">
        <f aca="false">MAX(0,MIN(V103-W103,$C103-(H103+L103+P103+T103)))</f>
        <v>0</v>
      </c>
      <c r="Y103" s="47" t="n">
        <f aca="false">ROUND(V103-W103-X103,2)</f>
        <v>0</v>
      </c>
      <c r="Z103" s="47" t="n">
        <f aca="false">ROUND(AC102*(1+Sorted!$H$7),2)</f>
        <v>0</v>
      </c>
      <c r="AA103" s="47" t="n">
        <f aca="false">MIN(Z103,Sorted!$G$7)</f>
        <v>0</v>
      </c>
      <c r="AB103" s="47" t="n">
        <f aca="false">MAX(0,MIN(Z103-AA103,$C103-(H103+L103+P103+T103+X103)))</f>
        <v>0</v>
      </c>
      <c r="AC103" s="47" t="n">
        <f aca="false">ROUND(Z103-AA103-AB103,2)</f>
        <v>0</v>
      </c>
      <c r="AD103" s="47" t="n">
        <f aca="false">ROUND(AG102*(1+Sorted!$H$8),2)</f>
        <v>0</v>
      </c>
      <c r="AE103" s="47" t="n">
        <f aca="false">MIN(AD103,Sorted!$G$8)</f>
        <v>0</v>
      </c>
      <c r="AF103" s="47" t="n">
        <f aca="false">MAX(0,MIN(AD103-AE103,$C103-(H103+L103+P103+T103+X103+AB103)))</f>
        <v>0</v>
      </c>
      <c r="AG103" s="47" t="n">
        <f aca="false">ROUND(AD103-AE103-AF103,2)</f>
        <v>0</v>
      </c>
      <c r="AH103" s="47" t="n">
        <f aca="false">ROUND(AK102*(1+Sorted!$H$9),2)</f>
        <v>0</v>
      </c>
      <c r="AI103" s="47" t="n">
        <f aca="false">MIN(AH103,Sorted!$G$9)</f>
        <v>0</v>
      </c>
      <c r="AJ103" s="47" t="n">
        <f aca="false">MAX(0,MIN(AH103-AI103,$C103-(H103+L103+P103+T103+X103+AB103+AF103)))</f>
        <v>0</v>
      </c>
      <c r="AK103" s="47" t="n">
        <f aca="false">ROUND(AH103-AI103-AJ103,2)</f>
        <v>0</v>
      </c>
      <c r="AL103" s="47" t="n">
        <f aca="false">ROUND(AO102*(1+Sorted!$H$10),2)</f>
        <v>0</v>
      </c>
      <c r="AM103" s="47" t="n">
        <f aca="false">MIN(AL103,Sorted!$G$10)</f>
        <v>0</v>
      </c>
      <c r="AN103" s="47" t="n">
        <f aca="false">MAX(0,MIN(AL103-AM103,$C103-(H103+L103+P103+T103+X103+AB103+AF103+AJ103)))</f>
        <v>0</v>
      </c>
      <c r="AO103" s="47" t="n">
        <f aca="false">ROUND(AL103-AM103-AN103,2)</f>
        <v>0</v>
      </c>
      <c r="AP103" s="47" t="n">
        <f aca="false">ROUND(AS102*(1+Sorted!$H$11),2)</f>
        <v>0</v>
      </c>
      <c r="AQ103" s="47" t="n">
        <f aca="false">MIN(AP103,Sorted!$G$11)</f>
        <v>0</v>
      </c>
      <c r="AR103" s="47" t="n">
        <f aca="false">MAX(0,MIN(AP103-AQ103,$C103-(H103+L103+P103+T103+X103+AB103+AF103+AJ103+AN103)))</f>
        <v>0</v>
      </c>
      <c r="AS103" s="47" t="n">
        <f aca="false">ROUND(AP103-AQ103-AR103,2)</f>
        <v>0</v>
      </c>
    </row>
    <row r="104" customFormat="false" ht="15" hidden="false" customHeight="false" outlineLevel="0" collapsed="false">
      <c r="A104" s="45" t="n">
        <v>101</v>
      </c>
      <c r="B104" s="46" t="n">
        <f aca="false">EDATE('My Debts'!$C$7,A104-1)</f>
        <v>49369</v>
      </c>
      <c r="C104" s="47" t="n">
        <f aca="false">MAX(0,'My Debts'!$E$6-(G104+K104+O104+S104+W104+AA104+AE104+AI104+AM104+AQ104))</f>
        <v>730</v>
      </c>
      <c r="D104" s="47" t="n">
        <f aca="false">(F104+J104+N104+R104+V104+Z104+AD104+AH104+AL104+AP104)-(I104+M104+Q104+U104+Y104+AC104+AG104+AK104+AO104+AS104)</f>
        <v>0</v>
      </c>
      <c r="E104" s="48" t="n">
        <f aca="false">I104+M104+Q104+U104+Y104+AC104+AG104+AK104+AO104+AS104</f>
        <v>0</v>
      </c>
      <c r="F104" s="47" t="n">
        <f aca="false">ROUND(I103*(1+Sorted!$H$2),2)</f>
        <v>0</v>
      </c>
      <c r="G104" s="47" t="n">
        <f aca="false">MIN(F104,Sorted!$G$2)</f>
        <v>0</v>
      </c>
      <c r="H104" s="47" t="n">
        <f aca="false">MAX(0,MIN(F104-G104,$C104-(0)))</f>
        <v>0</v>
      </c>
      <c r="I104" s="47" t="n">
        <f aca="false">ROUND(F104-G104-H104,2)</f>
        <v>0</v>
      </c>
      <c r="J104" s="47" t="n">
        <f aca="false">ROUND(M103*(1+Sorted!$H$3),2)</f>
        <v>0</v>
      </c>
      <c r="K104" s="47" t="n">
        <f aca="false">MIN(J104,Sorted!$G$3)</f>
        <v>0</v>
      </c>
      <c r="L104" s="47" t="n">
        <f aca="false">MAX(0,MIN(J104-K104,$C104-(H104)))</f>
        <v>0</v>
      </c>
      <c r="M104" s="47" t="n">
        <f aca="false">ROUND(J104-K104-L104,2)</f>
        <v>0</v>
      </c>
      <c r="N104" s="47" t="n">
        <f aca="false">ROUND(Q103*(1+Sorted!$H$4),2)</f>
        <v>0</v>
      </c>
      <c r="O104" s="47" t="n">
        <f aca="false">MIN(N104,Sorted!$G$4)</f>
        <v>0</v>
      </c>
      <c r="P104" s="47" t="n">
        <f aca="false">MAX(0,MIN(N104-O104,$C104-(H104+L104)))</f>
        <v>0</v>
      </c>
      <c r="Q104" s="47" t="n">
        <f aca="false">ROUND(N104-O104-P104,2)</f>
        <v>0</v>
      </c>
      <c r="R104" s="47" t="n">
        <f aca="false">ROUND(U103*(1+Sorted!$H$5),2)</f>
        <v>0</v>
      </c>
      <c r="S104" s="47" t="n">
        <f aca="false">MIN(R104,Sorted!$G$5)</f>
        <v>0</v>
      </c>
      <c r="T104" s="47" t="n">
        <f aca="false">MAX(0,MIN(R104-S104,$C104-(H104+L104+P104)))</f>
        <v>0</v>
      </c>
      <c r="U104" s="47" t="n">
        <f aca="false">ROUND(R104-S104-T104,2)</f>
        <v>0</v>
      </c>
      <c r="V104" s="47" t="n">
        <f aca="false">ROUND(Y103*(1+Sorted!$H$6),2)</f>
        <v>0</v>
      </c>
      <c r="W104" s="47" t="n">
        <f aca="false">MIN(V104,Sorted!$G$6)</f>
        <v>0</v>
      </c>
      <c r="X104" s="47" t="n">
        <f aca="false">MAX(0,MIN(V104-W104,$C104-(H104+L104+P104+T104)))</f>
        <v>0</v>
      </c>
      <c r="Y104" s="47" t="n">
        <f aca="false">ROUND(V104-W104-X104,2)</f>
        <v>0</v>
      </c>
      <c r="Z104" s="47" t="n">
        <f aca="false">ROUND(AC103*(1+Sorted!$H$7),2)</f>
        <v>0</v>
      </c>
      <c r="AA104" s="47" t="n">
        <f aca="false">MIN(Z104,Sorted!$G$7)</f>
        <v>0</v>
      </c>
      <c r="AB104" s="47" t="n">
        <f aca="false">MAX(0,MIN(Z104-AA104,$C104-(H104+L104+P104+T104+X104)))</f>
        <v>0</v>
      </c>
      <c r="AC104" s="47" t="n">
        <f aca="false">ROUND(Z104-AA104-AB104,2)</f>
        <v>0</v>
      </c>
      <c r="AD104" s="47" t="n">
        <f aca="false">ROUND(AG103*(1+Sorted!$H$8),2)</f>
        <v>0</v>
      </c>
      <c r="AE104" s="47" t="n">
        <f aca="false">MIN(AD104,Sorted!$G$8)</f>
        <v>0</v>
      </c>
      <c r="AF104" s="47" t="n">
        <f aca="false">MAX(0,MIN(AD104-AE104,$C104-(H104+L104+P104+T104+X104+AB104)))</f>
        <v>0</v>
      </c>
      <c r="AG104" s="47" t="n">
        <f aca="false">ROUND(AD104-AE104-AF104,2)</f>
        <v>0</v>
      </c>
      <c r="AH104" s="47" t="n">
        <f aca="false">ROUND(AK103*(1+Sorted!$H$9),2)</f>
        <v>0</v>
      </c>
      <c r="AI104" s="47" t="n">
        <f aca="false">MIN(AH104,Sorted!$G$9)</f>
        <v>0</v>
      </c>
      <c r="AJ104" s="47" t="n">
        <f aca="false">MAX(0,MIN(AH104-AI104,$C104-(H104+L104+P104+T104+X104+AB104+AF104)))</f>
        <v>0</v>
      </c>
      <c r="AK104" s="47" t="n">
        <f aca="false">ROUND(AH104-AI104-AJ104,2)</f>
        <v>0</v>
      </c>
      <c r="AL104" s="47" t="n">
        <f aca="false">ROUND(AO103*(1+Sorted!$H$10),2)</f>
        <v>0</v>
      </c>
      <c r="AM104" s="47" t="n">
        <f aca="false">MIN(AL104,Sorted!$G$10)</f>
        <v>0</v>
      </c>
      <c r="AN104" s="47" t="n">
        <f aca="false">MAX(0,MIN(AL104-AM104,$C104-(H104+L104+P104+T104+X104+AB104+AF104+AJ104)))</f>
        <v>0</v>
      </c>
      <c r="AO104" s="47" t="n">
        <f aca="false">ROUND(AL104-AM104-AN104,2)</f>
        <v>0</v>
      </c>
      <c r="AP104" s="47" t="n">
        <f aca="false">ROUND(AS103*(1+Sorted!$H$11),2)</f>
        <v>0</v>
      </c>
      <c r="AQ104" s="47" t="n">
        <f aca="false">MIN(AP104,Sorted!$G$11)</f>
        <v>0</v>
      </c>
      <c r="AR104" s="47" t="n">
        <f aca="false">MAX(0,MIN(AP104-AQ104,$C104-(H104+L104+P104+T104+X104+AB104+AF104+AJ104+AN104)))</f>
        <v>0</v>
      </c>
      <c r="AS104" s="47" t="n">
        <f aca="false">ROUND(AP104-AQ104-AR104,2)</f>
        <v>0</v>
      </c>
    </row>
    <row r="105" customFormat="false" ht="15" hidden="false" customHeight="false" outlineLevel="0" collapsed="false">
      <c r="A105" s="45" t="n">
        <v>102</v>
      </c>
      <c r="B105" s="46" t="n">
        <f aca="false">EDATE('My Debts'!$C$7,A105-1)</f>
        <v>49400</v>
      </c>
      <c r="C105" s="47" t="n">
        <f aca="false">MAX(0,'My Debts'!$E$6-(G105+K105+O105+S105+W105+AA105+AE105+AI105+AM105+AQ105))</f>
        <v>730</v>
      </c>
      <c r="D105" s="47" t="n">
        <f aca="false">(F105+J105+N105+R105+V105+Z105+AD105+AH105+AL105+AP105)-(I105+M105+Q105+U105+Y105+AC105+AG105+AK105+AO105+AS105)</f>
        <v>0</v>
      </c>
      <c r="E105" s="48" t="n">
        <f aca="false">I105+M105+Q105+U105+Y105+AC105+AG105+AK105+AO105+AS105</f>
        <v>0</v>
      </c>
      <c r="F105" s="47" t="n">
        <f aca="false">ROUND(I104*(1+Sorted!$H$2),2)</f>
        <v>0</v>
      </c>
      <c r="G105" s="47" t="n">
        <f aca="false">MIN(F105,Sorted!$G$2)</f>
        <v>0</v>
      </c>
      <c r="H105" s="47" t="n">
        <f aca="false">MAX(0,MIN(F105-G105,$C105-(0)))</f>
        <v>0</v>
      </c>
      <c r="I105" s="47" t="n">
        <f aca="false">ROUND(F105-G105-H105,2)</f>
        <v>0</v>
      </c>
      <c r="J105" s="47" t="n">
        <f aca="false">ROUND(M104*(1+Sorted!$H$3),2)</f>
        <v>0</v>
      </c>
      <c r="K105" s="47" t="n">
        <f aca="false">MIN(J105,Sorted!$G$3)</f>
        <v>0</v>
      </c>
      <c r="L105" s="47" t="n">
        <f aca="false">MAX(0,MIN(J105-K105,$C105-(H105)))</f>
        <v>0</v>
      </c>
      <c r="M105" s="47" t="n">
        <f aca="false">ROUND(J105-K105-L105,2)</f>
        <v>0</v>
      </c>
      <c r="N105" s="47" t="n">
        <f aca="false">ROUND(Q104*(1+Sorted!$H$4),2)</f>
        <v>0</v>
      </c>
      <c r="O105" s="47" t="n">
        <f aca="false">MIN(N105,Sorted!$G$4)</f>
        <v>0</v>
      </c>
      <c r="P105" s="47" t="n">
        <f aca="false">MAX(0,MIN(N105-O105,$C105-(H105+L105)))</f>
        <v>0</v>
      </c>
      <c r="Q105" s="47" t="n">
        <f aca="false">ROUND(N105-O105-P105,2)</f>
        <v>0</v>
      </c>
      <c r="R105" s="47" t="n">
        <f aca="false">ROUND(U104*(1+Sorted!$H$5),2)</f>
        <v>0</v>
      </c>
      <c r="S105" s="47" t="n">
        <f aca="false">MIN(R105,Sorted!$G$5)</f>
        <v>0</v>
      </c>
      <c r="T105" s="47" t="n">
        <f aca="false">MAX(0,MIN(R105-S105,$C105-(H105+L105+P105)))</f>
        <v>0</v>
      </c>
      <c r="U105" s="47" t="n">
        <f aca="false">ROUND(R105-S105-T105,2)</f>
        <v>0</v>
      </c>
      <c r="V105" s="47" t="n">
        <f aca="false">ROUND(Y104*(1+Sorted!$H$6),2)</f>
        <v>0</v>
      </c>
      <c r="W105" s="47" t="n">
        <f aca="false">MIN(V105,Sorted!$G$6)</f>
        <v>0</v>
      </c>
      <c r="X105" s="47" t="n">
        <f aca="false">MAX(0,MIN(V105-W105,$C105-(H105+L105+P105+T105)))</f>
        <v>0</v>
      </c>
      <c r="Y105" s="47" t="n">
        <f aca="false">ROUND(V105-W105-X105,2)</f>
        <v>0</v>
      </c>
      <c r="Z105" s="47" t="n">
        <f aca="false">ROUND(AC104*(1+Sorted!$H$7),2)</f>
        <v>0</v>
      </c>
      <c r="AA105" s="47" t="n">
        <f aca="false">MIN(Z105,Sorted!$G$7)</f>
        <v>0</v>
      </c>
      <c r="AB105" s="47" t="n">
        <f aca="false">MAX(0,MIN(Z105-AA105,$C105-(H105+L105+P105+T105+X105)))</f>
        <v>0</v>
      </c>
      <c r="AC105" s="47" t="n">
        <f aca="false">ROUND(Z105-AA105-AB105,2)</f>
        <v>0</v>
      </c>
      <c r="AD105" s="47" t="n">
        <f aca="false">ROUND(AG104*(1+Sorted!$H$8),2)</f>
        <v>0</v>
      </c>
      <c r="AE105" s="47" t="n">
        <f aca="false">MIN(AD105,Sorted!$G$8)</f>
        <v>0</v>
      </c>
      <c r="AF105" s="47" t="n">
        <f aca="false">MAX(0,MIN(AD105-AE105,$C105-(H105+L105+P105+T105+X105+AB105)))</f>
        <v>0</v>
      </c>
      <c r="AG105" s="47" t="n">
        <f aca="false">ROUND(AD105-AE105-AF105,2)</f>
        <v>0</v>
      </c>
      <c r="AH105" s="47" t="n">
        <f aca="false">ROUND(AK104*(1+Sorted!$H$9),2)</f>
        <v>0</v>
      </c>
      <c r="AI105" s="47" t="n">
        <f aca="false">MIN(AH105,Sorted!$G$9)</f>
        <v>0</v>
      </c>
      <c r="AJ105" s="47" t="n">
        <f aca="false">MAX(0,MIN(AH105-AI105,$C105-(H105+L105+P105+T105+X105+AB105+AF105)))</f>
        <v>0</v>
      </c>
      <c r="AK105" s="47" t="n">
        <f aca="false">ROUND(AH105-AI105-AJ105,2)</f>
        <v>0</v>
      </c>
      <c r="AL105" s="47" t="n">
        <f aca="false">ROUND(AO104*(1+Sorted!$H$10),2)</f>
        <v>0</v>
      </c>
      <c r="AM105" s="47" t="n">
        <f aca="false">MIN(AL105,Sorted!$G$10)</f>
        <v>0</v>
      </c>
      <c r="AN105" s="47" t="n">
        <f aca="false">MAX(0,MIN(AL105-AM105,$C105-(H105+L105+P105+T105+X105+AB105+AF105+AJ105)))</f>
        <v>0</v>
      </c>
      <c r="AO105" s="47" t="n">
        <f aca="false">ROUND(AL105-AM105-AN105,2)</f>
        <v>0</v>
      </c>
      <c r="AP105" s="47" t="n">
        <f aca="false">ROUND(AS104*(1+Sorted!$H$11),2)</f>
        <v>0</v>
      </c>
      <c r="AQ105" s="47" t="n">
        <f aca="false">MIN(AP105,Sorted!$G$11)</f>
        <v>0</v>
      </c>
      <c r="AR105" s="47" t="n">
        <f aca="false">MAX(0,MIN(AP105-AQ105,$C105-(H105+L105+P105+T105+X105+AB105+AF105+AJ105+AN105)))</f>
        <v>0</v>
      </c>
      <c r="AS105" s="47" t="n">
        <f aca="false">ROUND(AP105-AQ105-AR105,2)</f>
        <v>0</v>
      </c>
    </row>
    <row r="106" customFormat="false" ht="15" hidden="false" customHeight="false" outlineLevel="0" collapsed="false">
      <c r="A106" s="45" t="n">
        <v>103</v>
      </c>
      <c r="B106" s="46" t="n">
        <f aca="false">EDATE('My Debts'!$C$7,A106-1)</f>
        <v>49430</v>
      </c>
      <c r="C106" s="47" t="n">
        <f aca="false">MAX(0,'My Debts'!$E$6-(G106+K106+O106+S106+W106+AA106+AE106+AI106+AM106+AQ106))</f>
        <v>730</v>
      </c>
      <c r="D106" s="47" t="n">
        <f aca="false">(F106+J106+N106+R106+V106+Z106+AD106+AH106+AL106+AP106)-(I106+M106+Q106+U106+Y106+AC106+AG106+AK106+AO106+AS106)</f>
        <v>0</v>
      </c>
      <c r="E106" s="48" t="n">
        <f aca="false">I106+M106+Q106+U106+Y106+AC106+AG106+AK106+AO106+AS106</f>
        <v>0</v>
      </c>
      <c r="F106" s="47" t="n">
        <f aca="false">ROUND(I105*(1+Sorted!$H$2),2)</f>
        <v>0</v>
      </c>
      <c r="G106" s="47" t="n">
        <f aca="false">MIN(F106,Sorted!$G$2)</f>
        <v>0</v>
      </c>
      <c r="H106" s="47" t="n">
        <f aca="false">MAX(0,MIN(F106-G106,$C106-(0)))</f>
        <v>0</v>
      </c>
      <c r="I106" s="47" t="n">
        <f aca="false">ROUND(F106-G106-H106,2)</f>
        <v>0</v>
      </c>
      <c r="J106" s="47" t="n">
        <f aca="false">ROUND(M105*(1+Sorted!$H$3),2)</f>
        <v>0</v>
      </c>
      <c r="K106" s="47" t="n">
        <f aca="false">MIN(J106,Sorted!$G$3)</f>
        <v>0</v>
      </c>
      <c r="L106" s="47" t="n">
        <f aca="false">MAX(0,MIN(J106-K106,$C106-(H106)))</f>
        <v>0</v>
      </c>
      <c r="M106" s="47" t="n">
        <f aca="false">ROUND(J106-K106-L106,2)</f>
        <v>0</v>
      </c>
      <c r="N106" s="47" t="n">
        <f aca="false">ROUND(Q105*(1+Sorted!$H$4),2)</f>
        <v>0</v>
      </c>
      <c r="O106" s="47" t="n">
        <f aca="false">MIN(N106,Sorted!$G$4)</f>
        <v>0</v>
      </c>
      <c r="P106" s="47" t="n">
        <f aca="false">MAX(0,MIN(N106-O106,$C106-(H106+L106)))</f>
        <v>0</v>
      </c>
      <c r="Q106" s="47" t="n">
        <f aca="false">ROUND(N106-O106-P106,2)</f>
        <v>0</v>
      </c>
      <c r="R106" s="47" t="n">
        <f aca="false">ROUND(U105*(1+Sorted!$H$5),2)</f>
        <v>0</v>
      </c>
      <c r="S106" s="47" t="n">
        <f aca="false">MIN(R106,Sorted!$G$5)</f>
        <v>0</v>
      </c>
      <c r="T106" s="47" t="n">
        <f aca="false">MAX(0,MIN(R106-S106,$C106-(H106+L106+P106)))</f>
        <v>0</v>
      </c>
      <c r="U106" s="47" t="n">
        <f aca="false">ROUND(R106-S106-T106,2)</f>
        <v>0</v>
      </c>
      <c r="V106" s="47" t="n">
        <f aca="false">ROUND(Y105*(1+Sorted!$H$6),2)</f>
        <v>0</v>
      </c>
      <c r="W106" s="47" t="n">
        <f aca="false">MIN(V106,Sorted!$G$6)</f>
        <v>0</v>
      </c>
      <c r="X106" s="47" t="n">
        <f aca="false">MAX(0,MIN(V106-W106,$C106-(H106+L106+P106+T106)))</f>
        <v>0</v>
      </c>
      <c r="Y106" s="47" t="n">
        <f aca="false">ROUND(V106-W106-X106,2)</f>
        <v>0</v>
      </c>
      <c r="Z106" s="47" t="n">
        <f aca="false">ROUND(AC105*(1+Sorted!$H$7),2)</f>
        <v>0</v>
      </c>
      <c r="AA106" s="47" t="n">
        <f aca="false">MIN(Z106,Sorted!$G$7)</f>
        <v>0</v>
      </c>
      <c r="AB106" s="47" t="n">
        <f aca="false">MAX(0,MIN(Z106-AA106,$C106-(H106+L106+P106+T106+X106)))</f>
        <v>0</v>
      </c>
      <c r="AC106" s="47" t="n">
        <f aca="false">ROUND(Z106-AA106-AB106,2)</f>
        <v>0</v>
      </c>
      <c r="AD106" s="47" t="n">
        <f aca="false">ROUND(AG105*(1+Sorted!$H$8),2)</f>
        <v>0</v>
      </c>
      <c r="AE106" s="47" t="n">
        <f aca="false">MIN(AD106,Sorted!$G$8)</f>
        <v>0</v>
      </c>
      <c r="AF106" s="47" t="n">
        <f aca="false">MAX(0,MIN(AD106-AE106,$C106-(H106+L106+P106+T106+X106+AB106)))</f>
        <v>0</v>
      </c>
      <c r="AG106" s="47" t="n">
        <f aca="false">ROUND(AD106-AE106-AF106,2)</f>
        <v>0</v>
      </c>
      <c r="AH106" s="47" t="n">
        <f aca="false">ROUND(AK105*(1+Sorted!$H$9),2)</f>
        <v>0</v>
      </c>
      <c r="AI106" s="47" t="n">
        <f aca="false">MIN(AH106,Sorted!$G$9)</f>
        <v>0</v>
      </c>
      <c r="AJ106" s="47" t="n">
        <f aca="false">MAX(0,MIN(AH106-AI106,$C106-(H106+L106+P106+T106+X106+AB106+AF106)))</f>
        <v>0</v>
      </c>
      <c r="AK106" s="47" t="n">
        <f aca="false">ROUND(AH106-AI106-AJ106,2)</f>
        <v>0</v>
      </c>
      <c r="AL106" s="47" t="n">
        <f aca="false">ROUND(AO105*(1+Sorted!$H$10),2)</f>
        <v>0</v>
      </c>
      <c r="AM106" s="47" t="n">
        <f aca="false">MIN(AL106,Sorted!$G$10)</f>
        <v>0</v>
      </c>
      <c r="AN106" s="47" t="n">
        <f aca="false">MAX(0,MIN(AL106-AM106,$C106-(H106+L106+P106+T106+X106+AB106+AF106+AJ106)))</f>
        <v>0</v>
      </c>
      <c r="AO106" s="47" t="n">
        <f aca="false">ROUND(AL106-AM106-AN106,2)</f>
        <v>0</v>
      </c>
      <c r="AP106" s="47" t="n">
        <f aca="false">ROUND(AS105*(1+Sorted!$H$11),2)</f>
        <v>0</v>
      </c>
      <c r="AQ106" s="47" t="n">
        <f aca="false">MIN(AP106,Sorted!$G$11)</f>
        <v>0</v>
      </c>
      <c r="AR106" s="47" t="n">
        <f aca="false">MAX(0,MIN(AP106-AQ106,$C106-(H106+L106+P106+T106+X106+AB106+AF106+AJ106+AN106)))</f>
        <v>0</v>
      </c>
      <c r="AS106" s="47" t="n">
        <f aca="false">ROUND(AP106-AQ106-AR106,2)</f>
        <v>0</v>
      </c>
    </row>
    <row r="107" customFormat="false" ht="15" hidden="false" customHeight="false" outlineLevel="0" collapsed="false">
      <c r="A107" s="45" t="n">
        <v>104</v>
      </c>
      <c r="B107" s="46" t="n">
        <f aca="false">EDATE('My Debts'!$C$7,A107-1)</f>
        <v>49461</v>
      </c>
      <c r="C107" s="47" t="n">
        <f aca="false">MAX(0,'My Debts'!$E$6-(G107+K107+O107+S107+W107+AA107+AE107+AI107+AM107+AQ107))</f>
        <v>730</v>
      </c>
      <c r="D107" s="47" t="n">
        <f aca="false">(F107+J107+N107+R107+V107+Z107+AD107+AH107+AL107+AP107)-(I107+M107+Q107+U107+Y107+AC107+AG107+AK107+AO107+AS107)</f>
        <v>0</v>
      </c>
      <c r="E107" s="48" t="n">
        <f aca="false">I107+M107+Q107+U107+Y107+AC107+AG107+AK107+AO107+AS107</f>
        <v>0</v>
      </c>
      <c r="F107" s="47" t="n">
        <f aca="false">ROUND(I106*(1+Sorted!$H$2),2)</f>
        <v>0</v>
      </c>
      <c r="G107" s="47" t="n">
        <f aca="false">MIN(F107,Sorted!$G$2)</f>
        <v>0</v>
      </c>
      <c r="H107" s="47" t="n">
        <f aca="false">MAX(0,MIN(F107-G107,$C107-(0)))</f>
        <v>0</v>
      </c>
      <c r="I107" s="47" t="n">
        <f aca="false">ROUND(F107-G107-H107,2)</f>
        <v>0</v>
      </c>
      <c r="J107" s="47" t="n">
        <f aca="false">ROUND(M106*(1+Sorted!$H$3),2)</f>
        <v>0</v>
      </c>
      <c r="K107" s="47" t="n">
        <f aca="false">MIN(J107,Sorted!$G$3)</f>
        <v>0</v>
      </c>
      <c r="L107" s="47" t="n">
        <f aca="false">MAX(0,MIN(J107-K107,$C107-(H107)))</f>
        <v>0</v>
      </c>
      <c r="M107" s="47" t="n">
        <f aca="false">ROUND(J107-K107-L107,2)</f>
        <v>0</v>
      </c>
      <c r="N107" s="47" t="n">
        <f aca="false">ROUND(Q106*(1+Sorted!$H$4),2)</f>
        <v>0</v>
      </c>
      <c r="O107" s="47" t="n">
        <f aca="false">MIN(N107,Sorted!$G$4)</f>
        <v>0</v>
      </c>
      <c r="P107" s="47" t="n">
        <f aca="false">MAX(0,MIN(N107-O107,$C107-(H107+L107)))</f>
        <v>0</v>
      </c>
      <c r="Q107" s="47" t="n">
        <f aca="false">ROUND(N107-O107-P107,2)</f>
        <v>0</v>
      </c>
      <c r="R107" s="47" t="n">
        <f aca="false">ROUND(U106*(1+Sorted!$H$5),2)</f>
        <v>0</v>
      </c>
      <c r="S107" s="47" t="n">
        <f aca="false">MIN(R107,Sorted!$G$5)</f>
        <v>0</v>
      </c>
      <c r="T107" s="47" t="n">
        <f aca="false">MAX(0,MIN(R107-S107,$C107-(H107+L107+P107)))</f>
        <v>0</v>
      </c>
      <c r="U107" s="47" t="n">
        <f aca="false">ROUND(R107-S107-T107,2)</f>
        <v>0</v>
      </c>
      <c r="V107" s="47" t="n">
        <f aca="false">ROUND(Y106*(1+Sorted!$H$6),2)</f>
        <v>0</v>
      </c>
      <c r="W107" s="47" t="n">
        <f aca="false">MIN(V107,Sorted!$G$6)</f>
        <v>0</v>
      </c>
      <c r="X107" s="47" t="n">
        <f aca="false">MAX(0,MIN(V107-W107,$C107-(H107+L107+P107+T107)))</f>
        <v>0</v>
      </c>
      <c r="Y107" s="47" t="n">
        <f aca="false">ROUND(V107-W107-X107,2)</f>
        <v>0</v>
      </c>
      <c r="Z107" s="47" t="n">
        <f aca="false">ROUND(AC106*(1+Sorted!$H$7),2)</f>
        <v>0</v>
      </c>
      <c r="AA107" s="47" t="n">
        <f aca="false">MIN(Z107,Sorted!$G$7)</f>
        <v>0</v>
      </c>
      <c r="AB107" s="47" t="n">
        <f aca="false">MAX(0,MIN(Z107-AA107,$C107-(H107+L107+P107+T107+X107)))</f>
        <v>0</v>
      </c>
      <c r="AC107" s="47" t="n">
        <f aca="false">ROUND(Z107-AA107-AB107,2)</f>
        <v>0</v>
      </c>
      <c r="AD107" s="47" t="n">
        <f aca="false">ROUND(AG106*(1+Sorted!$H$8),2)</f>
        <v>0</v>
      </c>
      <c r="AE107" s="47" t="n">
        <f aca="false">MIN(AD107,Sorted!$G$8)</f>
        <v>0</v>
      </c>
      <c r="AF107" s="47" t="n">
        <f aca="false">MAX(0,MIN(AD107-AE107,$C107-(H107+L107+P107+T107+X107+AB107)))</f>
        <v>0</v>
      </c>
      <c r="AG107" s="47" t="n">
        <f aca="false">ROUND(AD107-AE107-AF107,2)</f>
        <v>0</v>
      </c>
      <c r="AH107" s="47" t="n">
        <f aca="false">ROUND(AK106*(1+Sorted!$H$9),2)</f>
        <v>0</v>
      </c>
      <c r="AI107" s="47" t="n">
        <f aca="false">MIN(AH107,Sorted!$G$9)</f>
        <v>0</v>
      </c>
      <c r="AJ107" s="47" t="n">
        <f aca="false">MAX(0,MIN(AH107-AI107,$C107-(H107+L107+P107+T107+X107+AB107+AF107)))</f>
        <v>0</v>
      </c>
      <c r="AK107" s="47" t="n">
        <f aca="false">ROUND(AH107-AI107-AJ107,2)</f>
        <v>0</v>
      </c>
      <c r="AL107" s="47" t="n">
        <f aca="false">ROUND(AO106*(1+Sorted!$H$10),2)</f>
        <v>0</v>
      </c>
      <c r="AM107" s="47" t="n">
        <f aca="false">MIN(AL107,Sorted!$G$10)</f>
        <v>0</v>
      </c>
      <c r="AN107" s="47" t="n">
        <f aca="false">MAX(0,MIN(AL107-AM107,$C107-(H107+L107+P107+T107+X107+AB107+AF107+AJ107)))</f>
        <v>0</v>
      </c>
      <c r="AO107" s="47" t="n">
        <f aca="false">ROUND(AL107-AM107-AN107,2)</f>
        <v>0</v>
      </c>
      <c r="AP107" s="47" t="n">
        <f aca="false">ROUND(AS106*(1+Sorted!$H$11),2)</f>
        <v>0</v>
      </c>
      <c r="AQ107" s="47" t="n">
        <f aca="false">MIN(AP107,Sorted!$G$11)</f>
        <v>0</v>
      </c>
      <c r="AR107" s="47" t="n">
        <f aca="false">MAX(0,MIN(AP107-AQ107,$C107-(H107+L107+P107+T107+X107+AB107+AF107+AJ107+AN107)))</f>
        <v>0</v>
      </c>
      <c r="AS107" s="47" t="n">
        <f aca="false">ROUND(AP107-AQ107-AR107,2)</f>
        <v>0</v>
      </c>
    </row>
    <row r="108" customFormat="false" ht="15" hidden="false" customHeight="false" outlineLevel="0" collapsed="false">
      <c r="A108" s="45" t="n">
        <v>105</v>
      </c>
      <c r="B108" s="46" t="n">
        <f aca="false">EDATE('My Debts'!$C$7,A108-1)</f>
        <v>49491</v>
      </c>
      <c r="C108" s="47" t="n">
        <f aca="false">MAX(0,'My Debts'!$E$6-(G108+K108+O108+S108+W108+AA108+AE108+AI108+AM108+AQ108))</f>
        <v>730</v>
      </c>
      <c r="D108" s="47" t="n">
        <f aca="false">(F108+J108+N108+R108+V108+Z108+AD108+AH108+AL108+AP108)-(I108+M108+Q108+U108+Y108+AC108+AG108+AK108+AO108+AS108)</f>
        <v>0</v>
      </c>
      <c r="E108" s="48" t="n">
        <f aca="false">I108+M108+Q108+U108+Y108+AC108+AG108+AK108+AO108+AS108</f>
        <v>0</v>
      </c>
      <c r="F108" s="47" t="n">
        <f aca="false">ROUND(I107*(1+Sorted!$H$2),2)</f>
        <v>0</v>
      </c>
      <c r="G108" s="47" t="n">
        <f aca="false">MIN(F108,Sorted!$G$2)</f>
        <v>0</v>
      </c>
      <c r="H108" s="47" t="n">
        <f aca="false">MAX(0,MIN(F108-G108,$C108-(0)))</f>
        <v>0</v>
      </c>
      <c r="I108" s="47" t="n">
        <f aca="false">ROUND(F108-G108-H108,2)</f>
        <v>0</v>
      </c>
      <c r="J108" s="47" t="n">
        <f aca="false">ROUND(M107*(1+Sorted!$H$3),2)</f>
        <v>0</v>
      </c>
      <c r="K108" s="47" t="n">
        <f aca="false">MIN(J108,Sorted!$G$3)</f>
        <v>0</v>
      </c>
      <c r="L108" s="47" t="n">
        <f aca="false">MAX(0,MIN(J108-K108,$C108-(H108)))</f>
        <v>0</v>
      </c>
      <c r="M108" s="47" t="n">
        <f aca="false">ROUND(J108-K108-L108,2)</f>
        <v>0</v>
      </c>
      <c r="N108" s="47" t="n">
        <f aca="false">ROUND(Q107*(1+Sorted!$H$4),2)</f>
        <v>0</v>
      </c>
      <c r="O108" s="47" t="n">
        <f aca="false">MIN(N108,Sorted!$G$4)</f>
        <v>0</v>
      </c>
      <c r="P108" s="47" t="n">
        <f aca="false">MAX(0,MIN(N108-O108,$C108-(H108+L108)))</f>
        <v>0</v>
      </c>
      <c r="Q108" s="47" t="n">
        <f aca="false">ROUND(N108-O108-P108,2)</f>
        <v>0</v>
      </c>
      <c r="R108" s="47" t="n">
        <f aca="false">ROUND(U107*(1+Sorted!$H$5),2)</f>
        <v>0</v>
      </c>
      <c r="S108" s="47" t="n">
        <f aca="false">MIN(R108,Sorted!$G$5)</f>
        <v>0</v>
      </c>
      <c r="T108" s="47" t="n">
        <f aca="false">MAX(0,MIN(R108-S108,$C108-(H108+L108+P108)))</f>
        <v>0</v>
      </c>
      <c r="U108" s="47" t="n">
        <f aca="false">ROUND(R108-S108-T108,2)</f>
        <v>0</v>
      </c>
      <c r="V108" s="47" t="n">
        <f aca="false">ROUND(Y107*(1+Sorted!$H$6),2)</f>
        <v>0</v>
      </c>
      <c r="W108" s="47" t="n">
        <f aca="false">MIN(V108,Sorted!$G$6)</f>
        <v>0</v>
      </c>
      <c r="X108" s="47" t="n">
        <f aca="false">MAX(0,MIN(V108-W108,$C108-(H108+L108+P108+T108)))</f>
        <v>0</v>
      </c>
      <c r="Y108" s="47" t="n">
        <f aca="false">ROUND(V108-W108-X108,2)</f>
        <v>0</v>
      </c>
      <c r="Z108" s="47" t="n">
        <f aca="false">ROUND(AC107*(1+Sorted!$H$7),2)</f>
        <v>0</v>
      </c>
      <c r="AA108" s="47" t="n">
        <f aca="false">MIN(Z108,Sorted!$G$7)</f>
        <v>0</v>
      </c>
      <c r="AB108" s="47" t="n">
        <f aca="false">MAX(0,MIN(Z108-AA108,$C108-(H108+L108+P108+T108+X108)))</f>
        <v>0</v>
      </c>
      <c r="AC108" s="47" t="n">
        <f aca="false">ROUND(Z108-AA108-AB108,2)</f>
        <v>0</v>
      </c>
      <c r="AD108" s="47" t="n">
        <f aca="false">ROUND(AG107*(1+Sorted!$H$8),2)</f>
        <v>0</v>
      </c>
      <c r="AE108" s="47" t="n">
        <f aca="false">MIN(AD108,Sorted!$G$8)</f>
        <v>0</v>
      </c>
      <c r="AF108" s="47" t="n">
        <f aca="false">MAX(0,MIN(AD108-AE108,$C108-(H108+L108+P108+T108+X108+AB108)))</f>
        <v>0</v>
      </c>
      <c r="AG108" s="47" t="n">
        <f aca="false">ROUND(AD108-AE108-AF108,2)</f>
        <v>0</v>
      </c>
      <c r="AH108" s="47" t="n">
        <f aca="false">ROUND(AK107*(1+Sorted!$H$9),2)</f>
        <v>0</v>
      </c>
      <c r="AI108" s="47" t="n">
        <f aca="false">MIN(AH108,Sorted!$G$9)</f>
        <v>0</v>
      </c>
      <c r="AJ108" s="47" t="n">
        <f aca="false">MAX(0,MIN(AH108-AI108,$C108-(H108+L108+P108+T108+X108+AB108+AF108)))</f>
        <v>0</v>
      </c>
      <c r="AK108" s="47" t="n">
        <f aca="false">ROUND(AH108-AI108-AJ108,2)</f>
        <v>0</v>
      </c>
      <c r="AL108" s="47" t="n">
        <f aca="false">ROUND(AO107*(1+Sorted!$H$10),2)</f>
        <v>0</v>
      </c>
      <c r="AM108" s="47" t="n">
        <f aca="false">MIN(AL108,Sorted!$G$10)</f>
        <v>0</v>
      </c>
      <c r="AN108" s="47" t="n">
        <f aca="false">MAX(0,MIN(AL108-AM108,$C108-(H108+L108+P108+T108+X108+AB108+AF108+AJ108)))</f>
        <v>0</v>
      </c>
      <c r="AO108" s="47" t="n">
        <f aca="false">ROUND(AL108-AM108-AN108,2)</f>
        <v>0</v>
      </c>
      <c r="AP108" s="47" t="n">
        <f aca="false">ROUND(AS107*(1+Sorted!$H$11),2)</f>
        <v>0</v>
      </c>
      <c r="AQ108" s="47" t="n">
        <f aca="false">MIN(AP108,Sorted!$G$11)</f>
        <v>0</v>
      </c>
      <c r="AR108" s="47" t="n">
        <f aca="false">MAX(0,MIN(AP108-AQ108,$C108-(H108+L108+P108+T108+X108+AB108+AF108+AJ108+AN108)))</f>
        <v>0</v>
      </c>
      <c r="AS108" s="47" t="n">
        <f aca="false">ROUND(AP108-AQ108-AR108,2)</f>
        <v>0</v>
      </c>
    </row>
    <row r="109" customFormat="false" ht="15" hidden="false" customHeight="false" outlineLevel="0" collapsed="false">
      <c r="A109" s="45" t="n">
        <v>106</v>
      </c>
      <c r="B109" s="46" t="n">
        <f aca="false">EDATE('My Debts'!$C$7,A109-1)</f>
        <v>49522</v>
      </c>
      <c r="C109" s="47" t="n">
        <f aca="false">MAX(0,'My Debts'!$E$6-(G109+K109+O109+S109+W109+AA109+AE109+AI109+AM109+AQ109))</f>
        <v>730</v>
      </c>
      <c r="D109" s="47" t="n">
        <f aca="false">(F109+J109+N109+R109+V109+Z109+AD109+AH109+AL109+AP109)-(I109+M109+Q109+U109+Y109+AC109+AG109+AK109+AO109+AS109)</f>
        <v>0</v>
      </c>
      <c r="E109" s="48" t="n">
        <f aca="false">I109+M109+Q109+U109+Y109+AC109+AG109+AK109+AO109+AS109</f>
        <v>0</v>
      </c>
      <c r="F109" s="47" t="n">
        <f aca="false">ROUND(I108*(1+Sorted!$H$2),2)</f>
        <v>0</v>
      </c>
      <c r="G109" s="47" t="n">
        <f aca="false">MIN(F109,Sorted!$G$2)</f>
        <v>0</v>
      </c>
      <c r="H109" s="47" t="n">
        <f aca="false">MAX(0,MIN(F109-G109,$C109-(0)))</f>
        <v>0</v>
      </c>
      <c r="I109" s="47" t="n">
        <f aca="false">ROUND(F109-G109-H109,2)</f>
        <v>0</v>
      </c>
      <c r="J109" s="47" t="n">
        <f aca="false">ROUND(M108*(1+Sorted!$H$3),2)</f>
        <v>0</v>
      </c>
      <c r="K109" s="47" t="n">
        <f aca="false">MIN(J109,Sorted!$G$3)</f>
        <v>0</v>
      </c>
      <c r="L109" s="47" t="n">
        <f aca="false">MAX(0,MIN(J109-K109,$C109-(H109)))</f>
        <v>0</v>
      </c>
      <c r="M109" s="47" t="n">
        <f aca="false">ROUND(J109-K109-L109,2)</f>
        <v>0</v>
      </c>
      <c r="N109" s="47" t="n">
        <f aca="false">ROUND(Q108*(1+Sorted!$H$4),2)</f>
        <v>0</v>
      </c>
      <c r="O109" s="47" t="n">
        <f aca="false">MIN(N109,Sorted!$G$4)</f>
        <v>0</v>
      </c>
      <c r="P109" s="47" t="n">
        <f aca="false">MAX(0,MIN(N109-O109,$C109-(H109+L109)))</f>
        <v>0</v>
      </c>
      <c r="Q109" s="47" t="n">
        <f aca="false">ROUND(N109-O109-P109,2)</f>
        <v>0</v>
      </c>
      <c r="R109" s="47" t="n">
        <f aca="false">ROUND(U108*(1+Sorted!$H$5),2)</f>
        <v>0</v>
      </c>
      <c r="S109" s="47" t="n">
        <f aca="false">MIN(R109,Sorted!$G$5)</f>
        <v>0</v>
      </c>
      <c r="T109" s="47" t="n">
        <f aca="false">MAX(0,MIN(R109-S109,$C109-(H109+L109+P109)))</f>
        <v>0</v>
      </c>
      <c r="U109" s="47" t="n">
        <f aca="false">ROUND(R109-S109-T109,2)</f>
        <v>0</v>
      </c>
      <c r="V109" s="47" t="n">
        <f aca="false">ROUND(Y108*(1+Sorted!$H$6),2)</f>
        <v>0</v>
      </c>
      <c r="W109" s="47" t="n">
        <f aca="false">MIN(V109,Sorted!$G$6)</f>
        <v>0</v>
      </c>
      <c r="X109" s="47" t="n">
        <f aca="false">MAX(0,MIN(V109-W109,$C109-(H109+L109+P109+T109)))</f>
        <v>0</v>
      </c>
      <c r="Y109" s="47" t="n">
        <f aca="false">ROUND(V109-W109-X109,2)</f>
        <v>0</v>
      </c>
      <c r="Z109" s="47" t="n">
        <f aca="false">ROUND(AC108*(1+Sorted!$H$7),2)</f>
        <v>0</v>
      </c>
      <c r="AA109" s="47" t="n">
        <f aca="false">MIN(Z109,Sorted!$G$7)</f>
        <v>0</v>
      </c>
      <c r="AB109" s="47" t="n">
        <f aca="false">MAX(0,MIN(Z109-AA109,$C109-(H109+L109+P109+T109+X109)))</f>
        <v>0</v>
      </c>
      <c r="AC109" s="47" t="n">
        <f aca="false">ROUND(Z109-AA109-AB109,2)</f>
        <v>0</v>
      </c>
      <c r="AD109" s="47" t="n">
        <f aca="false">ROUND(AG108*(1+Sorted!$H$8),2)</f>
        <v>0</v>
      </c>
      <c r="AE109" s="47" t="n">
        <f aca="false">MIN(AD109,Sorted!$G$8)</f>
        <v>0</v>
      </c>
      <c r="AF109" s="47" t="n">
        <f aca="false">MAX(0,MIN(AD109-AE109,$C109-(H109+L109+P109+T109+X109+AB109)))</f>
        <v>0</v>
      </c>
      <c r="AG109" s="47" t="n">
        <f aca="false">ROUND(AD109-AE109-AF109,2)</f>
        <v>0</v>
      </c>
      <c r="AH109" s="47" t="n">
        <f aca="false">ROUND(AK108*(1+Sorted!$H$9),2)</f>
        <v>0</v>
      </c>
      <c r="AI109" s="47" t="n">
        <f aca="false">MIN(AH109,Sorted!$G$9)</f>
        <v>0</v>
      </c>
      <c r="AJ109" s="47" t="n">
        <f aca="false">MAX(0,MIN(AH109-AI109,$C109-(H109+L109+P109+T109+X109+AB109+AF109)))</f>
        <v>0</v>
      </c>
      <c r="AK109" s="47" t="n">
        <f aca="false">ROUND(AH109-AI109-AJ109,2)</f>
        <v>0</v>
      </c>
      <c r="AL109" s="47" t="n">
        <f aca="false">ROUND(AO108*(1+Sorted!$H$10),2)</f>
        <v>0</v>
      </c>
      <c r="AM109" s="47" t="n">
        <f aca="false">MIN(AL109,Sorted!$G$10)</f>
        <v>0</v>
      </c>
      <c r="AN109" s="47" t="n">
        <f aca="false">MAX(0,MIN(AL109-AM109,$C109-(H109+L109+P109+T109+X109+AB109+AF109+AJ109)))</f>
        <v>0</v>
      </c>
      <c r="AO109" s="47" t="n">
        <f aca="false">ROUND(AL109-AM109-AN109,2)</f>
        <v>0</v>
      </c>
      <c r="AP109" s="47" t="n">
        <f aca="false">ROUND(AS108*(1+Sorted!$H$11),2)</f>
        <v>0</v>
      </c>
      <c r="AQ109" s="47" t="n">
        <f aca="false">MIN(AP109,Sorted!$G$11)</f>
        <v>0</v>
      </c>
      <c r="AR109" s="47" t="n">
        <f aca="false">MAX(0,MIN(AP109-AQ109,$C109-(H109+L109+P109+T109+X109+AB109+AF109+AJ109+AN109)))</f>
        <v>0</v>
      </c>
      <c r="AS109" s="47" t="n">
        <f aca="false">ROUND(AP109-AQ109-AR109,2)</f>
        <v>0</v>
      </c>
    </row>
    <row r="110" customFormat="false" ht="15" hidden="false" customHeight="false" outlineLevel="0" collapsed="false">
      <c r="A110" s="45" t="n">
        <v>107</v>
      </c>
      <c r="B110" s="46" t="n">
        <f aca="false">EDATE('My Debts'!$C$7,A110-1)</f>
        <v>49553</v>
      </c>
      <c r="C110" s="47" t="n">
        <f aca="false">MAX(0,'My Debts'!$E$6-(G110+K110+O110+S110+W110+AA110+AE110+AI110+AM110+AQ110))</f>
        <v>730</v>
      </c>
      <c r="D110" s="47" t="n">
        <f aca="false">(F110+J110+N110+R110+V110+Z110+AD110+AH110+AL110+AP110)-(I110+M110+Q110+U110+Y110+AC110+AG110+AK110+AO110+AS110)</f>
        <v>0</v>
      </c>
      <c r="E110" s="48" t="n">
        <f aca="false">I110+M110+Q110+U110+Y110+AC110+AG110+AK110+AO110+AS110</f>
        <v>0</v>
      </c>
      <c r="F110" s="47" t="n">
        <f aca="false">ROUND(I109*(1+Sorted!$H$2),2)</f>
        <v>0</v>
      </c>
      <c r="G110" s="47" t="n">
        <f aca="false">MIN(F110,Sorted!$G$2)</f>
        <v>0</v>
      </c>
      <c r="H110" s="47" t="n">
        <f aca="false">MAX(0,MIN(F110-G110,$C110-(0)))</f>
        <v>0</v>
      </c>
      <c r="I110" s="47" t="n">
        <f aca="false">ROUND(F110-G110-H110,2)</f>
        <v>0</v>
      </c>
      <c r="J110" s="47" t="n">
        <f aca="false">ROUND(M109*(1+Sorted!$H$3),2)</f>
        <v>0</v>
      </c>
      <c r="K110" s="47" t="n">
        <f aca="false">MIN(J110,Sorted!$G$3)</f>
        <v>0</v>
      </c>
      <c r="L110" s="47" t="n">
        <f aca="false">MAX(0,MIN(J110-K110,$C110-(H110)))</f>
        <v>0</v>
      </c>
      <c r="M110" s="47" t="n">
        <f aca="false">ROUND(J110-K110-L110,2)</f>
        <v>0</v>
      </c>
      <c r="N110" s="47" t="n">
        <f aca="false">ROUND(Q109*(1+Sorted!$H$4),2)</f>
        <v>0</v>
      </c>
      <c r="O110" s="47" t="n">
        <f aca="false">MIN(N110,Sorted!$G$4)</f>
        <v>0</v>
      </c>
      <c r="P110" s="47" t="n">
        <f aca="false">MAX(0,MIN(N110-O110,$C110-(H110+L110)))</f>
        <v>0</v>
      </c>
      <c r="Q110" s="47" t="n">
        <f aca="false">ROUND(N110-O110-P110,2)</f>
        <v>0</v>
      </c>
      <c r="R110" s="47" t="n">
        <f aca="false">ROUND(U109*(1+Sorted!$H$5),2)</f>
        <v>0</v>
      </c>
      <c r="S110" s="47" t="n">
        <f aca="false">MIN(R110,Sorted!$G$5)</f>
        <v>0</v>
      </c>
      <c r="T110" s="47" t="n">
        <f aca="false">MAX(0,MIN(R110-S110,$C110-(H110+L110+P110)))</f>
        <v>0</v>
      </c>
      <c r="U110" s="47" t="n">
        <f aca="false">ROUND(R110-S110-T110,2)</f>
        <v>0</v>
      </c>
      <c r="V110" s="47" t="n">
        <f aca="false">ROUND(Y109*(1+Sorted!$H$6),2)</f>
        <v>0</v>
      </c>
      <c r="W110" s="47" t="n">
        <f aca="false">MIN(V110,Sorted!$G$6)</f>
        <v>0</v>
      </c>
      <c r="X110" s="47" t="n">
        <f aca="false">MAX(0,MIN(V110-W110,$C110-(H110+L110+P110+T110)))</f>
        <v>0</v>
      </c>
      <c r="Y110" s="47" t="n">
        <f aca="false">ROUND(V110-W110-X110,2)</f>
        <v>0</v>
      </c>
      <c r="Z110" s="47" t="n">
        <f aca="false">ROUND(AC109*(1+Sorted!$H$7),2)</f>
        <v>0</v>
      </c>
      <c r="AA110" s="47" t="n">
        <f aca="false">MIN(Z110,Sorted!$G$7)</f>
        <v>0</v>
      </c>
      <c r="AB110" s="47" t="n">
        <f aca="false">MAX(0,MIN(Z110-AA110,$C110-(H110+L110+P110+T110+X110)))</f>
        <v>0</v>
      </c>
      <c r="AC110" s="47" t="n">
        <f aca="false">ROUND(Z110-AA110-AB110,2)</f>
        <v>0</v>
      </c>
      <c r="AD110" s="47" t="n">
        <f aca="false">ROUND(AG109*(1+Sorted!$H$8),2)</f>
        <v>0</v>
      </c>
      <c r="AE110" s="47" t="n">
        <f aca="false">MIN(AD110,Sorted!$G$8)</f>
        <v>0</v>
      </c>
      <c r="AF110" s="47" t="n">
        <f aca="false">MAX(0,MIN(AD110-AE110,$C110-(H110+L110+P110+T110+X110+AB110)))</f>
        <v>0</v>
      </c>
      <c r="AG110" s="47" t="n">
        <f aca="false">ROUND(AD110-AE110-AF110,2)</f>
        <v>0</v>
      </c>
      <c r="AH110" s="47" t="n">
        <f aca="false">ROUND(AK109*(1+Sorted!$H$9),2)</f>
        <v>0</v>
      </c>
      <c r="AI110" s="47" t="n">
        <f aca="false">MIN(AH110,Sorted!$G$9)</f>
        <v>0</v>
      </c>
      <c r="AJ110" s="47" t="n">
        <f aca="false">MAX(0,MIN(AH110-AI110,$C110-(H110+L110+P110+T110+X110+AB110+AF110)))</f>
        <v>0</v>
      </c>
      <c r="AK110" s="47" t="n">
        <f aca="false">ROUND(AH110-AI110-AJ110,2)</f>
        <v>0</v>
      </c>
      <c r="AL110" s="47" t="n">
        <f aca="false">ROUND(AO109*(1+Sorted!$H$10),2)</f>
        <v>0</v>
      </c>
      <c r="AM110" s="47" t="n">
        <f aca="false">MIN(AL110,Sorted!$G$10)</f>
        <v>0</v>
      </c>
      <c r="AN110" s="47" t="n">
        <f aca="false">MAX(0,MIN(AL110-AM110,$C110-(H110+L110+P110+T110+X110+AB110+AF110+AJ110)))</f>
        <v>0</v>
      </c>
      <c r="AO110" s="47" t="n">
        <f aca="false">ROUND(AL110-AM110-AN110,2)</f>
        <v>0</v>
      </c>
      <c r="AP110" s="47" t="n">
        <f aca="false">ROUND(AS109*(1+Sorted!$H$11),2)</f>
        <v>0</v>
      </c>
      <c r="AQ110" s="47" t="n">
        <f aca="false">MIN(AP110,Sorted!$G$11)</f>
        <v>0</v>
      </c>
      <c r="AR110" s="47" t="n">
        <f aca="false">MAX(0,MIN(AP110-AQ110,$C110-(H110+L110+P110+T110+X110+AB110+AF110+AJ110+AN110)))</f>
        <v>0</v>
      </c>
      <c r="AS110" s="47" t="n">
        <f aca="false">ROUND(AP110-AQ110-AR110,2)</f>
        <v>0</v>
      </c>
    </row>
    <row r="111" customFormat="false" ht="15" hidden="false" customHeight="false" outlineLevel="0" collapsed="false">
      <c r="A111" s="45" t="n">
        <v>108</v>
      </c>
      <c r="B111" s="46" t="n">
        <f aca="false">EDATE('My Debts'!$C$7,A111-1)</f>
        <v>49583</v>
      </c>
      <c r="C111" s="47" t="n">
        <f aca="false">MAX(0,'My Debts'!$E$6-(G111+K111+O111+S111+W111+AA111+AE111+AI111+AM111+AQ111))</f>
        <v>730</v>
      </c>
      <c r="D111" s="47" t="n">
        <f aca="false">(F111+J111+N111+R111+V111+Z111+AD111+AH111+AL111+AP111)-(I111+M111+Q111+U111+Y111+AC111+AG111+AK111+AO111+AS111)</f>
        <v>0</v>
      </c>
      <c r="E111" s="48" t="n">
        <f aca="false">I111+M111+Q111+U111+Y111+AC111+AG111+AK111+AO111+AS111</f>
        <v>0</v>
      </c>
      <c r="F111" s="47" t="n">
        <f aca="false">ROUND(I110*(1+Sorted!$H$2),2)</f>
        <v>0</v>
      </c>
      <c r="G111" s="47" t="n">
        <f aca="false">MIN(F111,Sorted!$G$2)</f>
        <v>0</v>
      </c>
      <c r="H111" s="47" t="n">
        <f aca="false">MAX(0,MIN(F111-G111,$C111-(0)))</f>
        <v>0</v>
      </c>
      <c r="I111" s="47" t="n">
        <f aca="false">ROUND(F111-G111-H111,2)</f>
        <v>0</v>
      </c>
      <c r="J111" s="47" t="n">
        <f aca="false">ROUND(M110*(1+Sorted!$H$3),2)</f>
        <v>0</v>
      </c>
      <c r="K111" s="47" t="n">
        <f aca="false">MIN(J111,Sorted!$G$3)</f>
        <v>0</v>
      </c>
      <c r="L111" s="47" t="n">
        <f aca="false">MAX(0,MIN(J111-K111,$C111-(H111)))</f>
        <v>0</v>
      </c>
      <c r="M111" s="47" t="n">
        <f aca="false">ROUND(J111-K111-L111,2)</f>
        <v>0</v>
      </c>
      <c r="N111" s="47" t="n">
        <f aca="false">ROUND(Q110*(1+Sorted!$H$4),2)</f>
        <v>0</v>
      </c>
      <c r="O111" s="47" t="n">
        <f aca="false">MIN(N111,Sorted!$G$4)</f>
        <v>0</v>
      </c>
      <c r="P111" s="47" t="n">
        <f aca="false">MAX(0,MIN(N111-O111,$C111-(H111+L111)))</f>
        <v>0</v>
      </c>
      <c r="Q111" s="47" t="n">
        <f aca="false">ROUND(N111-O111-P111,2)</f>
        <v>0</v>
      </c>
      <c r="R111" s="47" t="n">
        <f aca="false">ROUND(U110*(1+Sorted!$H$5),2)</f>
        <v>0</v>
      </c>
      <c r="S111" s="47" t="n">
        <f aca="false">MIN(R111,Sorted!$G$5)</f>
        <v>0</v>
      </c>
      <c r="T111" s="47" t="n">
        <f aca="false">MAX(0,MIN(R111-S111,$C111-(H111+L111+P111)))</f>
        <v>0</v>
      </c>
      <c r="U111" s="47" t="n">
        <f aca="false">ROUND(R111-S111-T111,2)</f>
        <v>0</v>
      </c>
      <c r="V111" s="47" t="n">
        <f aca="false">ROUND(Y110*(1+Sorted!$H$6),2)</f>
        <v>0</v>
      </c>
      <c r="W111" s="47" t="n">
        <f aca="false">MIN(V111,Sorted!$G$6)</f>
        <v>0</v>
      </c>
      <c r="X111" s="47" t="n">
        <f aca="false">MAX(0,MIN(V111-W111,$C111-(H111+L111+P111+T111)))</f>
        <v>0</v>
      </c>
      <c r="Y111" s="47" t="n">
        <f aca="false">ROUND(V111-W111-X111,2)</f>
        <v>0</v>
      </c>
      <c r="Z111" s="47" t="n">
        <f aca="false">ROUND(AC110*(1+Sorted!$H$7),2)</f>
        <v>0</v>
      </c>
      <c r="AA111" s="47" t="n">
        <f aca="false">MIN(Z111,Sorted!$G$7)</f>
        <v>0</v>
      </c>
      <c r="AB111" s="47" t="n">
        <f aca="false">MAX(0,MIN(Z111-AA111,$C111-(H111+L111+P111+T111+X111)))</f>
        <v>0</v>
      </c>
      <c r="AC111" s="47" t="n">
        <f aca="false">ROUND(Z111-AA111-AB111,2)</f>
        <v>0</v>
      </c>
      <c r="AD111" s="47" t="n">
        <f aca="false">ROUND(AG110*(1+Sorted!$H$8),2)</f>
        <v>0</v>
      </c>
      <c r="AE111" s="47" t="n">
        <f aca="false">MIN(AD111,Sorted!$G$8)</f>
        <v>0</v>
      </c>
      <c r="AF111" s="47" t="n">
        <f aca="false">MAX(0,MIN(AD111-AE111,$C111-(H111+L111+P111+T111+X111+AB111)))</f>
        <v>0</v>
      </c>
      <c r="AG111" s="47" t="n">
        <f aca="false">ROUND(AD111-AE111-AF111,2)</f>
        <v>0</v>
      </c>
      <c r="AH111" s="47" t="n">
        <f aca="false">ROUND(AK110*(1+Sorted!$H$9),2)</f>
        <v>0</v>
      </c>
      <c r="AI111" s="47" t="n">
        <f aca="false">MIN(AH111,Sorted!$G$9)</f>
        <v>0</v>
      </c>
      <c r="AJ111" s="47" t="n">
        <f aca="false">MAX(0,MIN(AH111-AI111,$C111-(H111+L111+P111+T111+X111+AB111+AF111)))</f>
        <v>0</v>
      </c>
      <c r="AK111" s="47" t="n">
        <f aca="false">ROUND(AH111-AI111-AJ111,2)</f>
        <v>0</v>
      </c>
      <c r="AL111" s="47" t="n">
        <f aca="false">ROUND(AO110*(1+Sorted!$H$10),2)</f>
        <v>0</v>
      </c>
      <c r="AM111" s="47" t="n">
        <f aca="false">MIN(AL111,Sorted!$G$10)</f>
        <v>0</v>
      </c>
      <c r="AN111" s="47" t="n">
        <f aca="false">MAX(0,MIN(AL111-AM111,$C111-(H111+L111+P111+T111+X111+AB111+AF111+AJ111)))</f>
        <v>0</v>
      </c>
      <c r="AO111" s="47" t="n">
        <f aca="false">ROUND(AL111-AM111-AN111,2)</f>
        <v>0</v>
      </c>
      <c r="AP111" s="47" t="n">
        <f aca="false">ROUND(AS110*(1+Sorted!$H$11),2)</f>
        <v>0</v>
      </c>
      <c r="AQ111" s="47" t="n">
        <f aca="false">MIN(AP111,Sorted!$G$11)</f>
        <v>0</v>
      </c>
      <c r="AR111" s="47" t="n">
        <f aca="false">MAX(0,MIN(AP111-AQ111,$C111-(H111+L111+P111+T111+X111+AB111+AF111+AJ111+AN111)))</f>
        <v>0</v>
      </c>
      <c r="AS111" s="47" t="n">
        <f aca="false">ROUND(AP111-AQ111-AR111,2)</f>
        <v>0</v>
      </c>
    </row>
    <row r="112" customFormat="false" ht="15" hidden="false" customHeight="false" outlineLevel="0" collapsed="false">
      <c r="A112" s="45" t="n">
        <v>109</v>
      </c>
      <c r="B112" s="46" t="n">
        <f aca="false">EDATE('My Debts'!$C$7,A112-1)</f>
        <v>49614</v>
      </c>
      <c r="C112" s="47" t="n">
        <f aca="false">MAX(0,'My Debts'!$E$6-(G112+K112+O112+S112+W112+AA112+AE112+AI112+AM112+AQ112))</f>
        <v>730</v>
      </c>
      <c r="D112" s="47" t="n">
        <f aca="false">(F112+J112+N112+R112+V112+Z112+AD112+AH112+AL112+AP112)-(I112+M112+Q112+U112+Y112+AC112+AG112+AK112+AO112+AS112)</f>
        <v>0</v>
      </c>
      <c r="E112" s="48" t="n">
        <f aca="false">I112+M112+Q112+U112+Y112+AC112+AG112+AK112+AO112+AS112</f>
        <v>0</v>
      </c>
      <c r="F112" s="47" t="n">
        <f aca="false">ROUND(I111*(1+Sorted!$H$2),2)</f>
        <v>0</v>
      </c>
      <c r="G112" s="47" t="n">
        <f aca="false">MIN(F112,Sorted!$G$2)</f>
        <v>0</v>
      </c>
      <c r="H112" s="47" t="n">
        <f aca="false">MAX(0,MIN(F112-G112,$C112-(0)))</f>
        <v>0</v>
      </c>
      <c r="I112" s="47" t="n">
        <f aca="false">ROUND(F112-G112-H112,2)</f>
        <v>0</v>
      </c>
      <c r="J112" s="47" t="n">
        <f aca="false">ROUND(M111*(1+Sorted!$H$3),2)</f>
        <v>0</v>
      </c>
      <c r="K112" s="47" t="n">
        <f aca="false">MIN(J112,Sorted!$G$3)</f>
        <v>0</v>
      </c>
      <c r="L112" s="47" t="n">
        <f aca="false">MAX(0,MIN(J112-K112,$C112-(H112)))</f>
        <v>0</v>
      </c>
      <c r="M112" s="47" t="n">
        <f aca="false">ROUND(J112-K112-L112,2)</f>
        <v>0</v>
      </c>
      <c r="N112" s="47" t="n">
        <f aca="false">ROUND(Q111*(1+Sorted!$H$4),2)</f>
        <v>0</v>
      </c>
      <c r="O112" s="47" t="n">
        <f aca="false">MIN(N112,Sorted!$G$4)</f>
        <v>0</v>
      </c>
      <c r="P112" s="47" t="n">
        <f aca="false">MAX(0,MIN(N112-O112,$C112-(H112+L112)))</f>
        <v>0</v>
      </c>
      <c r="Q112" s="47" t="n">
        <f aca="false">ROUND(N112-O112-P112,2)</f>
        <v>0</v>
      </c>
      <c r="R112" s="47" t="n">
        <f aca="false">ROUND(U111*(1+Sorted!$H$5),2)</f>
        <v>0</v>
      </c>
      <c r="S112" s="47" t="n">
        <f aca="false">MIN(R112,Sorted!$G$5)</f>
        <v>0</v>
      </c>
      <c r="T112" s="47" t="n">
        <f aca="false">MAX(0,MIN(R112-S112,$C112-(H112+L112+P112)))</f>
        <v>0</v>
      </c>
      <c r="U112" s="47" t="n">
        <f aca="false">ROUND(R112-S112-T112,2)</f>
        <v>0</v>
      </c>
      <c r="V112" s="47" t="n">
        <f aca="false">ROUND(Y111*(1+Sorted!$H$6),2)</f>
        <v>0</v>
      </c>
      <c r="W112" s="47" t="n">
        <f aca="false">MIN(V112,Sorted!$G$6)</f>
        <v>0</v>
      </c>
      <c r="X112" s="47" t="n">
        <f aca="false">MAX(0,MIN(V112-W112,$C112-(H112+L112+P112+T112)))</f>
        <v>0</v>
      </c>
      <c r="Y112" s="47" t="n">
        <f aca="false">ROUND(V112-W112-X112,2)</f>
        <v>0</v>
      </c>
      <c r="Z112" s="47" t="n">
        <f aca="false">ROUND(AC111*(1+Sorted!$H$7),2)</f>
        <v>0</v>
      </c>
      <c r="AA112" s="47" t="n">
        <f aca="false">MIN(Z112,Sorted!$G$7)</f>
        <v>0</v>
      </c>
      <c r="AB112" s="47" t="n">
        <f aca="false">MAX(0,MIN(Z112-AA112,$C112-(H112+L112+P112+T112+X112)))</f>
        <v>0</v>
      </c>
      <c r="AC112" s="47" t="n">
        <f aca="false">ROUND(Z112-AA112-AB112,2)</f>
        <v>0</v>
      </c>
      <c r="AD112" s="47" t="n">
        <f aca="false">ROUND(AG111*(1+Sorted!$H$8),2)</f>
        <v>0</v>
      </c>
      <c r="AE112" s="47" t="n">
        <f aca="false">MIN(AD112,Sorted!$G$8)</f>
        <v>0</v>
      </c>
      <c r="AF112" s="47" t="n">
        <f aca="false">MAX(0,MIN(AD112-AE112,$C112-(H112+L112+P112+T112+X112+AB112)))</f>
        <v>0</v>
      </c>
      <c r="AG112" s="47" t="n">
        <f aca="false">ROUND(AD112-AE112-AF112,2)</f>
        <v>0</v>
      </c>
      <c r="AH112" s="47" t="n">
        <f aca="false">ROUND(AK111*(1+Sorted!$H$9),2)</f>
        <v>0</v>
      </c>
      <c r="AI112" s="47" t="n">
        <f aca="false">MIN(AH112,Sorted!$G$9)</f>
        <v>0</v>
      </c>
      <c r="AJ112" s="47" t="n">
        <f aca="false">MAX(0,MIN(AH112-AI112,$C112-(H112+L112+P112+T112+X112+AB112+AF112)))</f>
        <v>0</v>
      </c>
      <c r="AK112" s="47" t="n">
        <f aca="false">ROUND(AH112-AI112-AJ112,2)</f>
        <v>0</v>
      </c>
      <c r="AL112" s="47" t="n">
        <f aca="false">ROUND(AO111*(1+Sorted!$H$10),2)</f>
        <v>0</v>
      </c>
      <c r="AM112" s="47" t="n">
        <f aca="false">MIN(AL112,Sorted!$G$10)</f>
        <v>0</v>
      </c>
      <c r="AN112" s="47" t="n">
        <f aca="false">MAX(0,MIN(AL112-AM112,$C112-(H112+L112+P112+T112+X112+AB112+AF112+AJ112)))</f>
        <v>0</v>
      </c>
      <c r="AO112" s="47" t="n">
        <f aca="false">ROUND(AL112-AM112-AN112,2)</f>
        <v>0</v>
      </c>
      <c r="AP112" s="47" t="n">
        <f aca="false">ROUND(AS111*(1+Sorted!$H$11),2)</f>
        <v>0</v>
      </c>
      <c r="AQ112" s="47" t="n">
        <f aca="false">MIN(AP112,Sorted!$G$11)</f>
        <v>0</v>
      </c>
      <c r="AR112" s="47" t="n">
        <f aca="false">MAX(0,MIN(AP112-AQ112,$C112-(H112+L112+P112+T112+X112+AB112+AF112+AJ112+AN112)))</f>
        <v>0</v>
      </c>
      <c r="AS112" s="47" t="n">
        <f aca="false">ROUND(AP112-AQ112-AR112,2)</f>
        <v>0</v>
      </c>
    </row>
    <row r="113" customFormat="false" ht="15" hidden="false" customHeight="false" outlineLevel="0" collapsed="false">
      <c r="A113" s="45" t="n">
        <v>110</v>
      </c>
      <c r="B113" s="46" t="n">
        <f aca="false">EDATE('My Debts'!$C$7,A113-1)</f>
        <v>49644</v>
      </c>
      <c r="C113" s="47" t="n">
        <f aca="false">MAX(0,'My Debts'!$E$6-(G113+K113+O113+S113+W113+AA113+AE113+AI113+AM113+AQ113))</f>
        <v>730</v>
      </c>
      <c r="D113" s="47" t="n">
        <f aca="false">(F113+J113+N113+R113+V113+Z113+AD113+AH113+AL113+AP113)-(I113+M113+Q113+U113+Y113+AC113+AG113+AK113+AO113+AS113)</f>
        <v>0</v>
      </c>
      <c r="E113" s="48" t="n">
        <f aca="false">I113+M113+Q113+U113+Y113+AC113+AG113+AK113+AO113+AS113</f>
        <v>0</v>
      </c>
      <c r="F113" s="47" t="n">
        <f aca="false">ROUND(I112*(1+Sorted!$H$2),2)</f>
        <v>0</v>
      </c>
      <c r="G113" s="47" t="n">
        <f aca="false">MIN(F113,Sorted!$G$2)</f>
        <v>0</v>
      </c>
      <c r="H113" s="47" t="n">
        <f aca="false">MAX(0,MIN(F113-G113,$C113-(0)))</f>
        <v>0</v>
      </c>
      <c r="I113" s="47" t="n">
        <f aca="false">ROUND(F113-G113-H113,2)</f>
        <v>0</v>
      </c>
      <c r="J113" s="47" t="n">
        <f aca="false">ROUND(M112*(1+Sorted!$H$3),2)</f>
        <v>0</v>
      </c>
      <c r="K113" s="47" t="n">
        <f aca="false">MIN(J113,Sorted!$G$3)</f>
        <v>0</v>
      </c>
      <c r="L113" s="47" t="n">
        <f aca="false">MAX(0,MIN(J113-K113,$C113-(H113)))</f>
        <v>0</v>
      </c>
      <c r="M113" s="47" t="n">
        <f aca="false">ROUND(J113-K113-L113,2)</f>
        <v>0</v>
      </c>
      <c r="N113" s="47" t="n">
        <f aca="false">ROUND(Q112*(1+Sorted!$H$4),2)</f>
        <v>0</v>
      </c>
      <c r="O113" s="47" t="n">
        <f aca="false">MIN(N113,Sorted!$G$4)</f>
        <v>0</v>
      </c>
      <c r="P113" s="47" t="n">
        <f aca="false">MAX(0,MIN(N113-O113,$C113-(H113+L113)))</f>
        <v>0</v>
      </c>
      <c r="Q113" s="47" t="n">
        <f aca="false">ROUND(N113-O113-P113,2)</f>
        <v>0</v>
      </c>
      <c r="R113" s="47" t="n">
        <f aca="false">ROUND(U112*(1+Sorted!$H$5),2)</f>
        <v>0</v>
      </c>
      <c r="S113" s="47" t="n">
        <f aca="false">MIN(R113,Sorted!$G$5)</f>
        <v>0</v>
      </c>
      <c r="T113" s="47" t="n">
        <f aca="false">MAX(0,MIN(R113-S113,$C113-(H113+L113+P113)))</f>
        <v>0</v>
      </c>
      <c r="U113" s="47" t="n">
        <f aca="false">ROUND(R113-S113-T113,2)</f>
        <v>0</v>
      </c>
      <c r="V113" s="47" t="n">
        <f aca="false">ROUND(Y112*(1+Sorted!$H$6),2)</f>
        <v>0</v>
      </c>
      <c r="W113" s="47" t="n">
        <f aca="false">MIN(V113,Sorted!$G$6)</f>
        <v>0</v>
      </c>
      <c r="X113" s="47" t="n">
        <f aca="false">MAX(0,MIN(V113-W113,$C113-(H113+L113+P113+T113)))</f>
        <v>0</v>
      </c>
      <c r="Y113" s="47" t="n">
        <f aca="false">ROUND(V113-W113-X113,2)</f>
        <v>0</v>
      </c>
      <c r="Z113" s="47" t="n">
        <f aca="false">ROUND(AC112*(1+Sorted!$H$7),2)</f>
        <v>0</v>
      </c>
      <c r="AA113" s="47" t="n">
        <f aca="false">MIN(Z113,Sorted!$G$7)</f>
        <v>0</v>
      </c>
      <c r="AB113" s="47" t="n">
        <f aca="false">MAX(0,MIN(Z113-AA113,$C113-(H113+L113+P113+T113+X113)))</f>
        <v>0</v>
      </c>
      <c r="AC113" s="47" t="n">
        <f aca="false">ROUND(Z113-AA113-AB113,2)</f>
        <v>0</v>
      </c>
      <c r="AD113" s="47" t="n">
        <f aca="false">ROUND(AG112*(1+Sorted!$H$8),2)</f>
        <v>0</v>
      </c>
      <c r="AE113" s="47" t="n">
        <f aca="false">MIN(AD113,Sorted!$G$8)</f>
        <v>0</v>
      </c>
      <c r="AF113" s="47" t="n">
        <f aca="false">MAX(0,MIN(AD113-AE113,$C113-(H113+L113+P113+T113+X113+AB113)))</f>
        <v>0</v>
      </c>
      <c r="AG113" s="47" t="n">
        <f aca="false">ROUND(AD113-AE113-AF113,2)</f>
        <v>0</v>
      </c>
      <c r="AH113" s="47" t="n">
        <f aca="false">ROUND(AK112*(1+Sorted!$H$9),2)</f>
        <v>0</v>
      </c>
      <c r="AI113" s="47" t="n">
        <f aca="false">MIN(AH113,Sorted!$G$9)</f>
        <v>0</v>
      </c>
      <c r="AJ113" s="47" t="n">
        <f aca="false">MAX(0,MIN(AH113-AI113,$C113-(H113+L113+P113+T113+X113+AB113+AF113)))</f>
        <v>0</v>
      </c>
      <c r="AK113" s="47" t="n">
        <f aca="false">ROUND(AH113-AI113-AJ113,2)</f>
        <v>0</v>
      </c>
      <c r="AL113" s="47" t="n">
        <f aca="false">ROUND(AO112*(1+Sorted!$H$10),2)</f>
        <v>0</v>
      </c>
      <c r="AM113" s="47" t="n">
        <f aca="false">MIN(AL113,Sorted!$G$10)</f>
        <v>0</v>
      </c>
      <c r="AN113" s="47" t="n">
        <f aca="false">MAX(0,MIN(AL113-AM113,$C113-(H113+L113+P113+T113+X113+AB113+AF113+AJ113)))</f>
        <v>0</v>
      </c>
      <c r="AO113" s="47" t="n">
        <f aca="false">ROUND(AL113-AM113-AN113,2)</f>
        <v>0</v>
      </c>
      <c r="AP113" s="47" t="n">
        <f aca="false">ROUND(AS112*(1+Sorted!$H$11),2)</f>
        <v>0</v>
      </c>
      <c r="AQ113" s="47" t="n">
        <f aca="false">MIN(AP113,Sorted!$G$11)</f>
        <v>0</v>
      </c>
      <c r="AR113" s="47" t="n">
        <f aca="false">MAX(0,MIN(AP113-AQ113,$C113-(H113+L113+P113+T113+X113+AB113+AF113+AJ113+AN113)))</f>
        <v>0</v>
      </c>
      <c r="AS113" s="47" t="n">
        <f aca="false">ROUND(AP113-AQ113-AR113,2)</f>
        <v>0</v>
      </c>
    </row>
    <row r="114" customFormat="false" ht="15" hidden="false" customHeight="false" outlineLevel="0" collapsed="false">
      <c r="A114" s="45" t="n">
        <v>111</v>
      </c>
      <c r="B114" s="46" t="n">
        <f aca="false">EDATE('My Debts'!$C$7,A114-1)</f>
        <v>49675</v>
      </c>
      <c r="C114" s="47" t="n">
        <f aca="false">MAX(0,'My Debts'!$E$6-(G114+K114+O114+S114+W114+AA114+AE114+AI114+AM114+AQ114))</f>
        <v>730</v>
      </c>
      <c r="D114" s="47" t="n">
        <f aca="false">(F114+J114+N114+R114+V114+Z114+AD114+AH114+AL114+AP114)-(I114+M114+Q114+U114+Y114+AC114+AG114+AK114+AO114+AS114)</f>
        <v>0</v>
      </c>
      <c r="E114" s="48" t="n">
        <f aca="false">I114+M114+Q114+U114+Y114+AC114+AG114+AK114+AO114+AS114</f>
        <v>0</v>
      </c>
      <c r="F114" s="47" t="n">
        <f aca="false">ROUND(I113*(1+Sorted!$H$2),2)</f>
        <v>0</v>
      </c>
      <c r="G114" s="47" t="n">
        <f aca="false">MIN(F114,Sorted!$G$2)</f>
        <v>0</v>
      </c>
      <c r="H114" s="47" t="n">
        <f aca="false">MAX(0,MIN(F114-G114,$C114-(0)))</f>
        <v>0</v>
      </c>
      <c r="I114" s="47" t="n">
        <f aca="false">ROUND(F114-G114-H114,2)</f>
        <v>0</v>
      </c>
      <c r="J114" s="47" t="n">
        <f aca="false">ROUND(M113*(1+Sorted!$H$3),2)</f>
        <v>0</v>
      </c>
      <c r="K114" s="47" t="n">
        <f aca="false">MIN(J114,Sorted!$G$3)</f>
        <v>0</v>
      </c>
      <c r="L114" s="47" t="n">
        <f aca="false">MAX(0,MIN(J114-K114,$C114-(H114)))</f>
        <v>0</v>
      </c>
      <c r="M114" s="47" t="n">
        <f aca="false">ROUND(J114-K114-L114,2)</f>
        <v>0</v>
      </c>
      <c r="N114" s="47" t="n">
        <f aca="false">ROUND(Q113*(1+Sorted!$H$4),2)</f>
        <v>0</v>
      </c>
      <c r="O114" s="47" t="n">
        <f aca="false">MIN(N114,Sorted!$G$4)</f>
        <v>0</v>
      </c>
      <c r="P114" s="47" t="n">
        <f aca="false">MAX(0,MIN(N114-O114,$C114-(H114+L114)))</f>
        <v>0</v>
      </c>
      <c r="Q114" s="47" t="n">
        <f aca="false">ROUND(N114-O114-P114,2)</f>
        <v>0</v>
      </c>
      <c r="R114" s="47" t="n">
        <f aca="false">ROUND(U113*(1+Sorted!$H$5),2)</f>
        <v>0</v>
      </c>
      <c r="S114" s="47" t="n">
        <f aca="false">MIN(R114,Sorted!$G$5)</f>
        <v>0</v>
      </c>
      <c r="T114" s="47" t="n">
        <f aca="false">MAX(0,MIN(R114-S114,$C114-(H114+L114+P114)))</f>
        <v>0</v>
      </c>
      <c r="U114" s="47" t="n">
        <f aca="false">ROUND(R114-S114-T114,2)</f>
        <v>0</v>
      </c>
      <c r="V114" s="47" t="n">
        <f aca="false">ROUND(Y113*(1+Sorted!$H$6),2)</f>
        <v>0</v>
      </c>
      <c r="W114" s="47" t="n">
        <f aca="false">MIN(V114,Sorted!$G$6)</f>
        <v>0</v>
      </c>
      <c r="X114" s="47" t="n">
        <f aca="false">MAX(0,MIN(V114-W114,$C114-(H114+L114+P114+T114)))</f>
        <v>0</v>
      </c>
      <c r="Y114" s="47" t="n">
        <f aca="false">ROUND(V114-W114-X114,2)</f>
        <v>0</v>
      </c>
      <c r="Z114" s="47" t="n">
        <f aca="false">ROUND(AC113*(1+Sorted!$H$7),2)</f>
        <v>0</v>
      </c>
      <c r="AA114" s="47" t="n">
        <f aca="false">MIN(Z114,Sorted!$G$7)</f>
        <v>0</v>
      </c>
      <c r="AB114" s="47" t="n">
        <f aca="false">MAX(0,MIN(Z114-AA114,$C114-(H114+L114+P114+T114+X114)))</f>
        <v>0</v>
      </c>
      <c r="AC114" s="47" t="n">
        <f aca="false">ROUND(Z114-AA114-AB114,2)</f>
        <v>0</v>
      </c>
      <c r="AD114" s="47" t="n">
        <f aca="false">ROUND(AG113*(1+Sorted!$H$8),2)</f>
        <v>0</v>
      </c>
      <c r="AE114" s="47" t="n">
        <f aca="false">MIN(AD114,Sorted!$G$8)</f>
        <v>0</v>
      </c>
      <c r="AF114" s="47" t="n">
        <f aca="false">MAX(0,MIN(AD114-AE114,$C114-(H114+L114+P114+T114+X114+AB114)))</f>
        <v>0</v>
      </c>
      <c r="AG114" s="47" t="n">
        <f aca="false">ROUND(AD114-AE114-AF114,2)</f>
        <v>0</v>
      </c>
      <c r="AH114" s="47" t="n">
        <f aca="false">ROUND(AK113*(1+Sorted!$H$9),2)</f>
        <v>0</v>
      </c>
      <c r="AI114" s="47" t="n">
        <f aca="false">MIN(AH114,Sorted!$G$9)</f>
        <v>0</v>
      </c>
      <c r="AJ114" s="47" t="n">
        <f aca="false">MAX(0,MIN(AH114-AI114,$C114-(H114+L114+P114+T114+X114+AB114+AF114)))</f>
        <v>0</v>
      </c>
      <c r="AK114" s="47" t="n">
        <f aca="false">ROUND(AH114-AI114-AJ114,2)</f>
        <v>0</v>
      </c>
      <c r="AL114" s="47" t="n">
        <f aca="false">ROUND(AO113*(1+Sorted!$H$10),2)</f>
        <v>0</v>
      </c>
      <c r="AM114" s="47" t="n">
        <f aca="false">MIN(AL114,Sorted!$G$10)</f>
        <v>0</v>
      </c>
      <c r="AN114" s="47" t="n">
        <f aca="false">MAX(0,MIN(AL114-AM114,$C114-(H114+L114+P114+T114+X114+AB114+AF114+AJ114)))</f>
        <v>0</v>
      </c>
      <c r="AO114" s="47" t="n">
        <f aca="false">ROUND(AL114-AM114-AN114,2)</f>
        <v>0</v>
      </c>
      <c r="AP114" s="47" t="n">
        <f aca="false">ROUND(AS113*(1+Sorted!$H$11),2)</f>
        <v>0</v>
      </c>
      <c r="AQ114" s="47" t="n">
        <f aca="false">MIN(AP114,Sorted!$G$11)</f>
        <v>0</v>
      </c>
      <c r="AR114" s="47" t="n">
        <f aca="false">MAX(0,MIN(AP114-AQ114,$C114-(H114+L114+P114+T114+X114+AB114+AF114+AJ114+AN114)))</f>
        <v>0</v>
      </c>
      <c r="AS114" s="47" t="n">
        <f aca="false">ROUND(AP114-AQ114-AR114,2)</f>
        <v>0</v>
      </c>
    </row>
    <row r="115" customFormat="false" ht="15" hidden="false" customHeight="false" outlineLevel="0" collapsed="false">
      <c r="A115" s="45" t="n">
        <v>112</v>
      </c>
      <c r="B115" s="46" t="n">
        <f aca="false">EDATE('My Debts'!$C$7,A115-1)</f>
        <v>49706</v>
      </c>
      <c r="C115" s="47" t="n">
        <f aca="false">MAX(0,'My Debts'!$E$6-(G115+K115+O115+S115+W115+AA115+AE115+AI115+AM115+AQ115))</f>
        <v>730</v>
      </c>
      <c r="D115" s="47" t="n">
        <f aca="false">(F115+J115+N115+R115+V115+Z115+AD115+AH115+AL115+AP115)-(I115+M115+Q115+U115+Y115+AC115+AG115+AK115+AO115+AS115)</f>
        <v>0</v>
      </c>
      <c r="E115" s="48" t="n">
        <f aca="false">I115+M115+Q115+U115+Y115+AC115+AG115+AK115+AO115+AS115</f>
        <v>0</v>
      </c>
      <c r="F115" s="47" t="n">
        <f aca="false">ROUND(I114*(1+Sorted!$H$2),2)</f>
        <v>0</v>
      </c>
      <c r="G115" s="47" t="n">
        <f aca="false">MIN(F115,Sorted!$G$2)</f>
        <v>0</v>
      </c>
      <c r="H115" s="47" t="n">
        <f aca="false">MAX(0,MIN(F115-G115,$C115-(0)))</f>
        <v>0</v>
      </c>
      <c r="I115" s="47" t="n">
        <f aca="false">ROUND(F115-G115-H115,2)</f>
        <v>0</v>
      </c>
      <c r="J115" s="47" t="n">
        <f aca="false">ROUND(M114*(1+Sorted!$H$3),2)</f>
        <v>0</v>
      </c>
      <c r="K115" s="47" t="n">
        <f aca="false">MIN(J115,Sorted!$G$3)</f>
        <v>0</v>
      </c>
      <c r="L115" s="47" t="n">
        <f aca="false">MAX(0,MIN(J115-K115,$C115-(H115)))</f>
        <v>0</v>
      </c>
      <c r="M115" s="47" t="n">
        <f aca="false">ROUND(J115-K115-L115,2)</f>
        <v>0</v>
      </c>
      <c r="N115" s="47" t="n">
        <f aca="false">ROUND(Q114*(1+Sorted!$H$4),2)</f>
        <v>0</v>
      </c>
      <c r="O115" s="47" t="n">
        <f aca="false">MIN(N115,Sorted!$G$4)</f>
        <v>0</v>
      </c>
      <c r="P115" s="47" t="n">
        <f aca="false">MAX(0,MIN(N115-O115,$C115-(H115+L115)))</f>
        <v>0</v>
      </c>
      <c r="Q115" s="47" t="n">
        <f aca="false">ROUND(N115-O115-P115,2)</f>
        <v>0</v>
      </c>
      <c r="R115" s="47" t="n">
        <f aca="false">ROUND(U114*(1+Sorted!$H$5),2)</f>
        <v>0</v>
      </c>
      <c r="S115" s="47" t="n">
        <f aca="false">MIN(R115,Sorted!$G$5)</f>
        <v>0</v>
      </c>
      <c r="T115" s="47" t="n">
        <f aca="false">MAX(0,MIN(R115-S115,$C115-(H115+L115+P115)))</f>
        <v>0</v>
      </c>
      <c r="U115" s="47" t="n">
        <f aca="false">ROUND(R115-S115-T115,2)</f>
        <v>0</v>
      </c>
      <c r="V115" s="47" t="n">
        <f aca="false">ROUND(Y114*(1+Sorted!$H$6),2)</f>
        <v>0</v>
      </c>
      <c r="W115" s="47" t="n">
        <f aca="false">MIN(V115,Sorted!$G$6)</f>
        <v>0</v>
      </c>
      <c r="X115" s="47" t="n">
        <f aca="false">MAX(0,MIN(V115-W115,$C115-(H115+L115+P115+T115)))</f>
        <v>0</v>
      </c>
      <c r="Y115" s="47" t="n">
        <f aca="false">ROUND(V115-W115-X115,2)</f>
        <v>0</v>
      </c>
      <c r="Z115" s="47" t="n">
        <f aca="false">ROUND(AC114*(1+Sorted!$H$7),2)</f>
        <v>0</v>
      </c>
      <c r="AA115" s="47" t="n">
        <f aca="false">MIN(Z115,Sorted!$G$7)</f>
        <v>0</v>
      </c>
      <c r="AB115" s="47" t="n">
        <f aca="false">MAX(0,MIN(Z115-AA115,$C115-(H115+L115+P115+T115+X115)))</f>
        <v>0</v>
      </c>
      <c r="AC115" s="47" t="n">
        <f aca="false">ROUND(Z115-AA115-AB115,2)</f>
        <v>0</v>
      </c>
      <c r="AD115" s="47" t="n">
        <f aca="false">ROUND(AG114*(1+Sorted!$H$8),2)</f>
        <v>0</v>
      </c>
      <c r="AE115" s="47" t="n">
        <f aca="false">MIN(AD115,Sorted!$G$8)</f>
        <v>0</v>
      </c>
      <c r="AF115" s="47" t="n">
        <f aca="false">MAX(0,MIN(AD115-AE115,$C115-(H115+L115+P115+T115+X115+AB115)))</f>
        <v>0</v>
      </c>
      <c r="AG115" s="47" t="n">
        <f aca="false">ROUND(AD115-AE115-AF115,2)</f>
        <v>0</v>
      </c>
      <c r="AH115" s="47" t="n">
        <f aca="false">ROUND(AK114*(1+Sorted!$H$9),2)</f>
        <v>0</v>
      </c>
      <c r="AI115" s="47" t="n">
        <f aca="false">MIN(AH115,Sorted!$G$9)</f>
        <v>0</v>
      </c>
      <c r="AJ115" s="47" t="n">
        <f aca="false">MAX(0,MIN(AH115-AI115,$C115-(H115+L115+P115+T115+X115+AB115+AF115)))</f>
        <v>0</v>
      </c>
      <c r="AK115" s="47" t="n">
        <f aca="false">ROUND(AH115-AI115-AJ115,2)</f>
        <v>0</v>
      </c>
      <c r="AL115" s="47" t="n">
        <f aca="false">ROUND(AO114*(1+Sorted!$H$10),2)</f>
        <v>0</v>
      </c>
      <c r="AM115" s="47" t="n">
        <f aca="false">MIN(AL115,Sorted!$G$10)</f>
        <v>0</v>
      </c>
      <c r="AN115" s="47" t="n">
        <f aca="false">MAX(0,MIN(AL115-AM115,$C115-(H115+L115+P115+T115+X115+AB115+AF115+AJ115)))</f>
        <v>0</v>
      </c>
      <c r="AO115" s="47" t="n">
        <f aca="false">ROUND(AL115-AM115-AN115,2)</f>
        <v>0</v>
      </c>
      <c r="AP115" s="47" t="n">
        <f aca="false">ROUND(AS114*(1+Sorted!$H$11),2)</f>
        <v>0</v>
      </c>
      <c r="AQ115" s="47" t="n">
        <f aca="false">MIN(AP115,Sorted!$G$11)</f>
        <v>0</v>
      </c>
      <c r="AR115" s="47" t="n">
        <f aca="false">MAX(0,MIN(AP115-AQ115,$C115-(H115+L115+P115+T115+X115+AB115+AF115+AJ115+AN115)))</f>
        <v>0</v>
      </c>
      <c r="AS115" s="47" t="n">
        <f aca="false">ROUND(AP115-AQ115-AR115,2)</f>
        <v>0</v>
      </c>
    </row>
    <row r="116" customFormat="false" ht="15" hidden="false" customHeight="false" outlineLevel="0" collapsed="false">
      <c r="A116" s="45" t="n">
        <v>113</v>
      </c>
      <c r="B116" s="46" t="n">
        <f aca="false">EDATE('My Debts'!$C$7,A116-1)</f>
        <v>49735</v>
      </c>
      <c r="C116" s="47" t="n">
        <f aca="false">MAX(0,'My Debts'!$E$6-(G116+K116+O116+S116+W116+AA116+AE116+AI116+AM116+AQ116))</f>
        <v>730</v>
      </c>
      <c r="D116" s="47" t="n">
        <f aca="false">(F116+J116+N116+R116+V116+Z116+AD116+AH116+AL116+AP116)-(I116+M116+Q116+U116+Y116+AC116+AG116+AK116+AO116+AS116)</f>
        <v>0</v>
      </c>
      <c r="E116" s="48" t="n">
        <f aca="false">I116+M116+Q116+U116+Y116+AC116+AG116+AK116+AO116+AS116</f>
        <v>0</v>
      </c>
      <c r="F116" s="47" t="n">
        <f aca="false">ROUND(I115*(1+Sorted!$H$2),2)</f>
        <v>0</v>
      </c>
      <c r="G116" s="47" t="n">
        <f aca="false">MIN(F116,Sorted!$G$2)</f>
        <v>0</v>
      </c>
      <c r="H116" s="47" t="n">
        <f aca="false">MAX(0,MIN(F116-G116,$C116-(0)))</f>
        <v>0</v>
      </c>
      <c r="I116" s="47" t="n">
        <f aca="false">ROUND(F116-G116-H116,2)</f>
        <v>0</v>
      </c>
      <c r="J116" s="47" t="n">
        <f aca="false">ROUND(M115*(1+Sorted!$H$3),2)</f>
        <v>0</v>
      </c>
      <c r="K116" s="47" t="n">
        <f aca="false">MIN(J116,Sorted!$G$3)</f>
        <v>0</v>
      </c>
      <c r="L116" s="47" t="n">
        <f aca="false">MAX(0,MIN(J116-K116,$C116-(H116)))</f>
        <v>0</v>
      </c>
      <c r="M116" s="47" t="n">
        <f aca="false">ROUND(J116-K116-L116,2)</f>
        <v>0</v>
      </c>
      <c r="N116" s="47" t="n">
        <f aca="false">ROUND(Q115*(1+Sorted!$H$4),2)</f>
        <v>0</v>
      </c>
      <c r="O116" s="47" t="n">
        <f aca="false">MIN(N116,Sorted!$G$4)</f>
        <v>0</v>
      </c>
      <c r="P116" s="47" t="n">
        <f aca="false">MAX(0,MIN(N116-O116,$C116-(H116+L116)))</f>
        <v>0</v>
      </c>
      <c r="Q116" s="47" t="n">
        <f aca="false">ROUND(N116-O116-P116,2)</f>
        <v>0</v>
      </c>
      <c r="R116" s="47" t="n">
        <f aca="false">ROUND(U115*(1+Sorted!$H$5),2)</f>
        <v>0</v>
      </c>
      <c r="S116" s="47" t="n">
        <f aca="false">MIN(R116,Sorted!$G$5)</f>
        <v>0</v>
      </c>
      <c r="T116" s="47" t="n">
        <f aca="false">MAX(0,MIN(R116-S116,$C116-(H116+L116+P116)))</f>
        <v>0</v>
      </c>
      <c r="U116" s="47" t="n">
        <f aca="false">ROUND(R116-S116-T116,2)</f>
        <v>0</v>
      </c>
      <c r="V116" s="47" t="n">
        <f aca="false">ROUND(Y115*(1+Sorted!$H$6),2)</f>
        <v>0</v>
      </c>
      <c r="W116" s="47" t="n">
        <f aca="false">MIN(V116,Sorted!$G$6)</f>
        <v>0</v>
      </c>
      <c r="X116" s="47" t="n">
        <f aca="false">MAX(0,MIN(V116-W116,$C116-(H116+L116+P116+T116)))</f>
        <v>0</v>
      </c>
      <c r="Y116" s="47" t="n">
        <f aca="false">ROUND(V116-W116-X116,2)</f>
        <v>0</v>
      </c>
      <c r="Z116" s="47" t="n">
        <f aca="false">ROUND(AC115*(1+Sorted!$H$7),2)</f>
        <v>0</v>
      </c>
      <c r="AA116" s="47" t="n">
        <f aca="false">MIN(Z116,Sorted!$G$7)</f>
        <v>0</v>
      </c>
      <c r="AB116" s="47" t="n">
        <f aca="false">MAX(0,MIN(Z116-AA116,$C116-(H116+L116+P116+T116+X116)))</f>
        <v>0</v>
      </c>
      <c r="AC116" s="47" t="n">
        <f aca="false">ROUND(Z116-AA116-AB116,2)</f>
        <v>0</v>
      </c>
      <c r="AD116" s="47" t="n">
        <f aca="false">ROUND(AG115*(1+Sorted!$H$8),2)</f>
        <v>0</v>
      </c>
      <c r="AE116" s="47" t="n">
        <f aca="false">MIN(AD116,Sorted!$G$8)</f>
        <v>0</v>
      </c>
      <c r="AF116" s="47" t="n">
        <f aca="false">MAX(0,MIN(AD116-AE116,$C116-(H116+L116+P116+T116+X116+AB116)))</f>
        <v>0</v>
      </c>
      <c r="AG116" s="47" t="n">
        <f aca="false">ROUND(AD116-AE116-AF116,2)</f>
        <v>0</v>
      </c>
      <c r="AH116" s="47" t="n">
        <f aca="false">ROUND(AK115*(1+Sorted!$H$9),2)</f>
        <v>0</v>
      </c>
      <c r="AI116" s="47" t="n">
        <f aca="false">MIN(AH116,Sorted!$G$9)</f>
        <v>0</v>
      </c>
      <c r="AJ116" s="47" t="n">
        <f aca="false">MAX(0,MIN(AH116-AI116,$C116-(H116+L116+P116+T116+X116+AB116+AF116)))</f>
        <v>0</v>
      </c>
      <c r="AK116" s="47" t="n">
        <f aca="false">ROUND(AH116-AI116-AJ116,2)</f>
        <v>0</v>
      </c>
      <c r="AL116" s="47" t="n">
        <f aca="false">ROUND(AO115*(1+Sorted!$H$10),2)</f>
        <v>0</v>
      </c>
      <c r="AM116" s="47" t="n">
        <f aca="false">MIN(AL116,Sorted!$G$10)</f>
        <v>0</v>
      </c>
      <c r="AN116" s="47" t="n">
        <f aca="false">MAX(0,MIN(AL116-AM116,$C116-(H116+L116+P116+T116+X116+AB116+AF116+AJ116)))</f>
        <v>0</v>
      </c>
      <c r="AO116" s="47" t="n">
        <f aca="false">ROUND(AL116-AM116-AN116,2)</f>
        <v>0</v>
      </c>
      <c r="AP116" s="47" t="n">
        <f aca="false">ROUND(AS115*(1+Sorted!$H$11),2)</f>
        <v>0</v>
      </c>
      <c r="AQ116" s="47" t="n">
        <f aca="false">MIN(AP116,Sorted!$G$11)</f>
        <v>0</v>
      </c>
      <c r="AR116" s="47" t="n">
        <f aca="false">MAX(0,MIN(AP116-AQ116,$C116-(H116+L116+P116+T116+X116+AB116+AF116+AJ116+AN116)))</f>
        <v>0</v>
      </c>
      <c r="AS116" s="47" t="n">
        <f aca="false">ROUND(AP116-AQ116-AR116,2)</f>
        <v>0</v>
      </c>
    </row>
    <row r="117" customFormat="false" ht="15" hidden="false" customHeight="false" outlineLevel="0" collapsed="false">
      <c r="A117" s="45" t="n">
        <v>114</v>
      </c>
      <c r="B117" s="46" t="n">
        <f aca="false">EDATE('My Debts'!$C$7,A117-1)</f>
        <v>49766</v>
      </c>
      <c r="C117" s="47" t="n">
        <f aca="false">MAX(0,'My Debts'!$E$6-(G117+K117+O117+S117+W117+AA117+AE117+AI117+AM117+AQ117))</f>
        <v>730</v>
      </c>
      <c r="D117" s="47" t="n">
        <f aca="false">(F117+J117+N117+R117+V117+Z117+AD117+AH117+AL117+AP117)-(I117+M117+Q117+U117+Y117+AC117+AG117+AK117+AO117+AS117)</f>
        <v>0</v>
      </c>
      <c r="E117" s="48" t="n">
        <f aca="false">I117+M117+Q117+U117+Y117+AC117+AG117+AK117+AO117+AS117</f>
        <v>0</v>
      </c>
      <c r="F117" s="47" t="n">
        <f aca="false">ROUND(I116*(1+Sorted!$H$2),2)</f>
        <v>0</v>
      </c>
      <c r="G117" s="47" t="n">
        <f aca="false">MIN(F117,Sorted!$G$2)</f>
        <v>0</v>
      </c>
      <c r="H117" s="47" t="n">
        <f aca="false">MAX(0,MIN(F117-G117,$C117-(0)))</f>
        <v>0</v>
      </c>
      <c r="I117" s="47" t="n">
        <f aca="false">ROUND(F117-G117-H117,2)</f>
        <v>0</v>
      </c>
      <c r="J117" s="47" t="n">
        <f aca="false">ROUND(M116*(1+Sorted!$H$3),2)</f>
        <v>0</v>
      </c>
      <c r="K117" s="47" t="n">
        <f aca="false">MIN(J117,Sorted!$G$3)</f>
        <v>0</v>
      </c>
      <c r="L117" s="47" t="n">
        <f aca="false">MAX(0,MIN(J117-K117,$C117-(H117)))</f>
        <v>0</v>
      </c>
      <c r="M117" s="47" t="n">
        <f aca="false">ROUND(J117-K117-L117,2)</f>
        <v>0</v>
      </c>
      <c r="N117" s="47" t="n">
        <f aca="false">ROUND(Q116*(1+Sorted!$H$4),2)</f>
        <v>0</v>
      </c>
      <c r="O117" s="47" t="n">
        <f aca="false">MIN(N117,Sorted!$G$4)</f>
        <v>0</v>
      </c>
      <c r="P117" s="47" t="n">
        <f aca="false">MAX(0,MIN(N117-O117,$C117-(H117+L117)))</f>
        <v>0</v>
      </c>
      <c r="Q117" s="47" t="n">
        <f aca="false">ROUND(N117-O117-P117,2)</f>
        <v>0</v>
      </c>
      <c r="R117" s="47" t="n">
        <f aca="false">ROUND(U116*(1+Sorted!$H$5),2)</f>
        <v>0</v>
      </c>
      <c r="S117" s="47" t="n">
        <f aca="false">MIN(R117,Sorted!$G$5)</f>
        <v>0</v>
      </c>
      <c r="T117" s="47" t="n">
        <f aca="false">MAX(0,MIN(R117-S117,$C117-(H117+L117+P117)))</f>
        <v>0</v>
      </c>
      <c r="U117" s="47" t="n">
        <f aca="false">ROUND(R117-S117-T117,2)</f>
        <v>0</v>
      </c>
      <c r="V117" s="47" t="n">
        <f aca="false">ROUND(Y116*(1+Sorted!$H$6),2)</f>
        <v>0</v>
      </c>
      <c r="W117" s="47" t="n">
        <f aca="false">MIN(V117,Sorted!$G$6)</f>
        <v>0</v>
      </c>
      <c r="X117" s="47" t="n">
        <f aca="false">MAX(0,MIN(V117-W117,$C117-(H117+L117+P117+T117)))</f>
        <v>0</v>
      </c>
      <c r="Y117" s="47" t="n">
        <f aca="false">ROUND(V117-W117-X117,2)</f>
        <v>0</v>
      </c>
      <c r="Z117" s="47" t="n">
        <f aca="false">ROUND(AC116*(1+Sorted!$H$7),2)</f>
        <v>0</v>
      </c>
      <c r="AA117" s="47" t="n">
        <f aca="false">MIN(Z117,Sorted!$G$7)</f>
        <v>0</v>
      </c>
      <c r="AB117" s="47" t="n">
        <f aca="false">MAX(0,MIN(Z117-AA117,$C117-(H117+L117+P117+T117+X117)))</f>
        <v>0</v>
      </c>
      <c r="AC117" s="47" t="n">
        <f aca="false">ROUND(Z117-AA117-AB117,2)</f>
        <v>0</v>
      </c>
      <c r="AD117" s="47" t="n">
        <f aca="false">ROUND(AG116*(1+Sorted!$H$8),2)</f>
        <v>0</v>
      </c>
      <c r="AE117" s="47" t="n">
        <f aca="false">MIN(AD117,Sorted!$G$8)</f>
        <v>0</v>
      </c>
      <c r="AF117" s="47" t="n">
        <f aca="false">MAX(0,MIN(AD117-AE117,$C117-(H117+L117+P117+T117+X117+AB117)))</f>
        <v>0</v>
      </c>
      <c r="AG117" s="47" t="n">
        <f aca="false">ROUND(AD117-AE117-AF117,2)</f>
        <v>0</v>
      </c>
      <c r="AH117" s="47" t="n">
        <f aca="false">ROUND(AK116*(1+Sorted!$H$9),2)</f>
        <v>0</v>
      </c>
      <c r="AI117" s="47" t="n">
        <f aca="false">MIN(AH117,Sorted!$G$9)</f>
        <v>0</v>
      </c>
      <c r="AJ117" s="47" t="n">
        <f aca="false">MAX(0,MIN(AH117-AI117,$C117-(H117+L117+P117+T117+X117+AB117+AF117)))</f>
        <v>0</v>
      </c>
      <c r="AK117" s="47" t="n">
        <f aca="false">ROUND(AH117-AI117-AJ117,2)</f>
        <v>0</v>
      </c>
      <c r="AL117" s="47" t="n">
        <f aca="false">ROUND(AO116*(1+Sorted!$H$10),2)</f>
        <v>0</v>
      </c>
      <c r="AM117" s="47" t="n">
        <f aca="false">MIN(AL117,Sorted!$G$10)</f>
        <v>0</v>
      </c>
      <c r="AN117" s="47" t="n">
        <f aca="false">MAX(0,MIN(AL117-AM117,$C117-(H117+L117+P117+T117+X117+AB117+AF117+AJ117)))</f>
        <v>0</v>
      </c>
      <c r="AO117" s="47" t="n">
        <f aca="false">ROUND(AL117-AM117-AN117,2)</f>
        <v>0</v>
      </c>
      <c r="AP117" s="47" t="n">
        <f aca="false">ROUND(AS116*(1+Sorted!$H$11),2)</f>
        <v>0</v>
      </c>
      <c r="AQ117" s="47" t="n">
        <f aca="false">MIN(AP117,Sorted!$G$11)</f>
        <v>0</v>
      </c>
      <c r="AR117" s="47" t="n">
        <f aca="false">MAX(0,MIN(AP117-AQ117,$C117-(H117+L117+P117+T117+X117+AB117+AF117+AJ117+AN117)))</f>
        <v>0</v>
      </c>
      <c r="AS117" s="47" t="n">
        <f aca="false">ROUND(AP117-AQ117-AR117,2)</f>
        <v>0</v>
      </c>
    </row>
    <row r="118" customFormat="false" ht="15" hidden="false" customHeight="false" outlineLevel="0" collapsed="false">
      <c r="A118" s="45" t="n">
        <v>115</v>
      </c>
      <c r="B118" s="46" t="n">
        <f aca="false">EDATE('My Debts'!$C$7,A118-1)</f>
        <v>49796</v>
      </c>
      <c r="C118" s="47" t="n">
        <f aca="false">MAX(0,'My Debts'!$E$6-(G118+K118+O118+S118+W118+AA118+AE118+AI118+AM118+AQ118))</f>
        <v>730</v>
      </c>
      <c r="D118" s="47" t="n">
        <f aca="false">(F118+J118+N118+R118+V118+Z118+AD118+AH118+AL118+AP118)-(I118+M118+Q118+U118+Y118+AC118+AG118+AK118+AO118+AS118)</f>
        <v>0</v>
      </c>
      <c r="E118" s="48" t="n">
        <f aca="false">I118+M118+Q118+U118+Y118+AC118+AG118+AK118+AO118+AS118</f>
        <v>0</v>
      </c>
      <c r="F118" s="47" t="n">
        <f aca="false">ROUND(I117*(1+Sorted!$H$2),2)</f>
        <v>0</v>
      </c>
      <c r="G118" s="47" t="n">
        <f aca="false">MIN(F118,Sorted!$G$2)</f>
        <v>0</v>
      </c>
      <c r="H118" s="47" t="n">
        <f aca="false">MAX(0,MIN(F118-G118,$C118-(0)))</f>
        <v>0</v>
      </c>
      <c r="I118" s="47" t="n">
        <f aca="false">ROUND(F118-G118-H118,2)</f>
        <v>0</v>
      </c>
      <c r="J118" s="47" t="n">
        <f aca="false">ROUND(M117*(1+Sorted!$H$3),2)</f>
        <v>0</v>
      </c>
      <c r="K118" s="47" t="n">
        <f aca="false">MIN(J118,Sorted!$G$3)</f>
        <v>0</v>
      </c>
      <c r="L118" s="47" t="n">
        <f aca="false">MAX(0,MIN(J118-K118,$C118-(H118)))</f>
        <v>0</v>
      </c>
      <c r="M118" s="47" t="n">
        <f aca="false">ROUND(J118-K118-L118,2)</f>
        <v>0</v>
      </c>
      <c r="N118" s="47" t="n">
        <f aca="false">ROUND(Q117*(1+Sorted!$H$4),2)</f>
        <v>0</v>
      </c>
      <c r="O118" s="47" t="n">
        <f aca="false">MIN(N118,Sorted!$G$4)</f>
        <v>0</v>
      </c>
      <c r="P118" s="47" t="n">
        <f aca="false">MAX(0,MIN(N118-O118,$C118-(H118+L118)))</f>
        <v>0</v>
      </c>
      <c r="Q118" s="47" t="n">
        <f aca="false">ROUND(N118-O118-P118,2)</f>
        <v>0</v>
      </c>
      <c r="R118" s="47" t="n">
        <f aca="false">ROUND(U117*(1+Sorted!$H$5),2)</f>
        <v>0</v>
      </c>
      <c r="S118" s="47" t="n">
        <f aca="false">MIN(R118,Sorted!$G$5)</f>
        <v>0</v>
      </c>
      <c r="T118" s="47" t="n">
        <f aca="false">MAX(0,MIN(R118-S118,$C118-(H118+L118+P118)))</f>
        <v>0</v>
      </c>
      <c r="U118" s="47" t="n">
        <f aca="false">ROUND(R118-S118-T118,2)</f>
        <v>0</v>
      </c>
      <c r="V118" s="47" t="n">
        <f aca="false">ROUND(Y117*(1+Sorted!$H$6),2)</f>
        <v>0</v>
      </c>
      <c r="W118" s="47" t="n">
        <f aca="false">MIN(V118,Sorted!$G$6)</f>
        <v>0</v>
      </c>
      <c r="X118" s="47" t="n">
        <f aca="false">MAX(0,MIN(V118-W118,$C118-(H118+L118+P118+T118)))</f>
        <v>0</v>
      </c>
      <c r="Y118" s="47" t="n">
        <f aca="false">ROUND(V118-W118-X118,2)</f>
        <v>0</v>
      </c>
      <c r="Z118" s="47" t="n">
        <f aca="false">ROUND(AC117*(1+Sorted!$H$7),2)</f>
        <v>0</v>
      </c>
      <c r="AA118" s="47" t="n">
        <f aca="false">MIN(Z118,Sorted!$G$7)</f>
        <v>0</v>
      </c>
      <c r="AB118" s="47" t="n">
        <f aca="false">MAX(0,MIN(Z118-AA118,$C118-(H118+L118+P118+T118+X118)))</f>
        <v>0</v>
      </c>
      <c r="AC118" s="47" t="n">
        <f aca="false">ROUND(Z118-AA118-AB118,2)</f>
        <v>0</v>
      </c>
      <c r="AD118" s="47" t="n">
        <f aca="false">ROUND(AG117*(1+Sorted!$H$8),2)</f>
        <v>0</v>
      </c>
      <c r="AE118" s="47" t="n">
        <f aca="false">MIN(AD118,Sorted!$G$8)</f>
        <v>0</v>
      </c>
      <c r="AF118" s="47" t="n">
        <f aca="false">MAX(0,MIN(AD118-AE118,$C118-(H118+L118+P118+T118+X118+AB118)))</f>
        <v>0</v>
      </c>
      <c r="AG118" s="47" t="n">
        <f aca="false">ROUND(AD118-AE118-AF118,2)</f>
        <v>0</v>
      </c>
      <c r="AH118" s="47" t="n">
        <f aca="false">ROUND(AK117*(1+Sorted!$H$9),2)</f>
        <v>0</v>
      </c>
      <c r="AI118" s="47" t="n">
        <f aca="false">MIN(AH118,Sorted!$G$9)</f>
        <v>0</v>
      </c>
      <c r="AJ118" s="47" t="n">
        <f aca="false">MAX(0,MIN(AH118-AI118,$C118-(H118+L118+P118+T118+X118+AB118+AF118)))</f>
        <v>0</v>
      </c>
      <c r="AK118" s="47" t="n">
        <f aca="false">ROUND(AH118-AI118-AJ118,2)</f>
        <v>0</v>
      </c>
      <c r="AL118" s="47" t="n">
        <f aca="false">ROUND(AO117*(1+Sorted!$H$10),2)</f>
        <v>0</v>
      </c>
      <c r="AM118" s="47" t="n">
        <f aca="false">MIN(AL118,Sorted!$G$10)</f>
        <v>0</v>
      </c>
      <c r="AN118" s="47" t="n">
        <f aca="false">MAX(0,MIN(AL118-AM118,$C118-(H118+L118+P118+T118+X118+AB118+AF118+AJ118)))</f>
        <v>0</v>
      </c>
      <c r="AO118" s="47" t="n">
        <f aca="false">ROUND(AL118-AM118-AN118,2)</f>
        <v>0</v>
      </c>
      <c r="AP118" s="47" t="n">
        <f aca="false">ROUND(AS117*(1+Sorted!$H$11),2)</f>
        <v>0</v>
      </c>
      <c r="AQ118" s="47" t="n">
        <f aca="false">MIN(AP118,Sorted!$G$11)</f>
        <v>0</v>
      </c>
      <c r="AR118" s="47" t="n">
        <f aca="false">MAX(0,MIN(AP118-AQ118,$C118-(H118+L118+P118+T118+X118+AB118+AF118+AJ118+AN118)))</f>
        <v>0</v>
      </c>
      <c r="AS118" s="47" t="n">
        <f aca="false">ROUND(AP118-AQ118-AR118,2)</f>
        <v>0</v>
      </c>
    </row>
    <row r="119" customFormat="false" ht="15" hidden="false" customHeight="false" outlineLevel="0" collapsed="false">
      <c r="A119" s="45" t="n">
        <v>116</v>
      </c>
      <c r="B119" s="46" t="n">
        <f aca="false">EDATE('My Debts'!$C$7,A119-1)</f>
        <v>49827</v>
      </c>
      <c r="C119" s="47" t="n">
        <f aca="false">MAX(0,'My Debts'!$E$6-(G119+K119+O119+S119+W119+AA119+AE119+AI119+AM119+AQ119))</f>
        <v>730</v>
      </c>
      <c r="D119" s="47" t="n">
        <f aca="false">(F119+J119+N119+R119+V119+Z119+AD119+AH119+AL119+AP119)-(I119+M119+Q119+U119+Y119+AC119+AG119+AK119+AO119+AS119)</f>
        <v>0</v>
      </c>
      <c r="E119" s="48" t="n">
        <f aca="false">I119+M119+Q119+U119+Y119+AC119+AG119+AK119+AO119+AS119</f>
        <v>0</v>
      </c>
      <c r="F119" s="47" t="n">
        <f aca="false">ROUND(I118*(1+Sorted!$H$2),2)</f>
        <v>0</v>
      </c>
      <c r="G119" s="47" t="n">
        <f aca="false">MIN(F119,Sorted!$G$2)</f>
        <v>0</v>
      </c>
      <c r="H119" s="47" t="n">
        <f aca="false">MAX(0,MIN(F119-G119,$C119-(0)))</f>
        <v>0</v>
      </c>
      <c r="I119" s="47" t="n">
        <f aca="false">ROUND(F119-G119-H119,2)</f>
        <v>0</v>
      </c>
      <c r="J119" s="47" t="n">
        <f aca="false">ROUND(M118*(1+Sorted!$H$3),2)</f>
        <v>0</v>
      </c>
      <c r="K119" s="47" t="n">
        <f aca="false">MIN(J119,Sorted!$G$3)</f>
        <v>0</v>
      </c>
      <c r="L119" s="47" t="n">
        <f aca="false">MAX(0,MIN(J119-K119,$C119-(H119)))</f>
        <v>0</v>
      </c>
      <c r="M119" s="47" t="n">
        <f aca="false">ROUND(J119-K119-L119,2)</f>
        <v>0</v>
      </c>
      <c r="N119" s="47" t="n">
        <f aca="false">ROUND(Q118*(1+Sorted!$H$4),2)</f>
        <v>0</v>
      </c>
      <c r="O119" s="47" t="n">
        <f aca="false">MIN(N119,Sorted!$G$4)</f>
        <v>0</v>
      </c>
      <c r="P119" s="47" t="n">
        <f aca="false">MAX(0,MIN(N119-O119,$C119-(H119+L119)))</f>
        <v>0</v>
      </c>
      <c r="Q119" s="47" t="n">
        <f aca="false">ROUND(N119-O119-P119,2)</f>
        <v>0</v>
      </c>
      <c r="R119" s="47" t="n">
        <f aca="false">ROUND(U118*(1+Sorted!$H$5),2)</f>
        <v>0</v>
      </c>
      <c r="S119" s="47" t="n">
        <f aca="false">MIN(R119,Sorted!$G$5)</f>
        <v>0</v>
      </c>
      <c r="T119" s="47" t="n">
        <f aca="false">MAX(0,MIN(R119-S119,$C119-(H119+L119+P119)))</f>
        <v>0</v>
      </c>
      <c r="U119" s="47" t="n">
        <f aca="false">ROUND(R119-S119-T119,2)</f>
        <v>0</v>
      </c>
      <c r="V119" s="47" t="n">
        <f aca="false">ROUND(Y118*(1+Sorted!$H$6),2)</f>
        <v>0</v>
      </c>
      <c r="W119" s="47" t="n">
        <f aca="false">MIN(V119,Sorted!$G$6)</f>
        <v>0</v>
      </c>
      <c r="X119" s="47" t="n">
        <f aca="false">MAX(0,MIN(V119-W119,$C119-(H119+L119+P119+T119)))</f>
        <v>0</v>
      </c>
      <c r="Y119" s="47" t="n">
        <f aca="false">ROUND(V119-W119-X119,2)</f>
        <v>0</v>
      </c>
      <c r="Z119" s="47" t="n">
        <f aca="false">ROUND(AC118*(1+Sorted!$H$7),2)</f>
        <v>0</v>
      </c>
      <c r="AA119" s="47" t="n">
        <f aca="false">MIN(Z119,Sorted!$G$7)</f>
        <v>0</v>
      </c>
      <c r="AB119" s="47" t="n">
        <f aca="false">MAX(0,MIN(Z119-AA119,$C119-(H119+L119+P119+T119+X119)))</f>
        <v>0</v>
      </c>
      <c r="AC119" s="47" t="n">
        <f aca="false">ROUND(Z119-AA119-AB119,2)</f>
        <v>0</v>
      </c>
      <c r="AD119" s="47" t="n">
        <f aca="false">ROUND(AG118*(1+Sorted!$H$8),2)</f>
        <v>0</v>
      </c>
      <c r="AE119" s="47" t="n">
        <f aca="false">MIN(AD119,Sorted!$G$8)</f>
        <v>0</v>
      </c>
      <c r="AF119" s="47" t="n">
        <f aca="false">MAX(0,MIN(AD119-AE119,$C119-(H119+L119+P119+T119+X119+AB119)))</f>
        <v>0</v>
      </c>
      <c r="AG119" s="47" t="n">
        <f aca="false">ROUND(AD119-AE119-AF119,2)</f>
        <v>0</v>
      </c>
      <c r="AH119" s="47" t="n">
        <f aca="false">ROUND(AK118*(1+Sorted!$H$9),2)</f>
        <v>0</v>
      </c>
      <c r="AI119" s="47" t="n">
        <f aca="false">MIN(AH119,Sorted!$G$9)</f>
        <v>0</v>
      </c>
      <c r="AJ119" s="47" t="n">
        <f aca="false">MAX(0,MIN(AH119-AI119,$C119-(H119+L119+P119+T119+X119+AB119+AF119)))</f>
        <v>0</v>
      </c>
      <c r="AK119" s="47" t="n">
        <f aca="false">ROUND(AH119-AI119-AJ119,2)</f>
        <v>0</v>
      </c>
      <c r="AL119" s="47" t="n">
        <f aca="false">ROUND(AO118*(1+Sorted!$H$10),2)</f>
        <v>0</v>
      </c>
      <c r="AM119" s="47" t="n">
        <f aca="false">MIN(AL119,Sorted!$G$10)</f>
        <v>0</v>
      </c>
      <c r="AN119" s="47" t="n">
        <f aca="false">MAX(0,MIN(AL119-AM119,$C119-(H119+L119+P119+T119+X119+AB119+AF119+AJ119)))</f>
        <v>0</v>
      </c>
      <c r="AO119" s="47" t="n">
        <f aca="false">ROUND(AL119-AM119-AN119,2)</f>
        <v>0</v>
      </c>
      <c r="AP119" s="47" t="n">
        <f aca="false">ROUND(AS118*(1+Sorted!$H$11),2)</f>
        <v>0</v>
      </c>
      <c r="AQ119" s="47" t="n">
        <f aca="false">MIN(AP119,Sorted!$G$11)</f>
        <v>0</v>
      </c>
      <c r="AR119" s="47" t="n">
        <f aca="false">MAX(0,MIN(AP119-AQ119,$C119-(H119+L119+P119+T119+X119+AB119+AF119+AJ119+AN119)))</f>
        <v>0</v>
      </c>
      <c r="AS119" s="47" t="n">
        <f aca="false">ROUND(AP119-AQ119-AR119,2)</f>
        <v>0</v>
      </c>
    </row>
    <row r="120" customFormat="false" ht="15" hidden="false" customHeight="false" outlineLevel="0" collapsed="false">
      <c r="A120" s="45" t="n">
        <v>117</v>
      </c>
      <c r="B120" s="46" t="n">
        <f aca="false">EDATE('My Debts'!$C$7,A120-1)</f>
        <v>49857</v>
      </c>
      <c r="C120" s="47" t="n">
        <f aca="false">MAX(0,'My Debts'!$E$6-(G120+K120+O120+S120+W120+AA120+AE120+AI120+AM120+AQ120))</f>
        <v>730</v>
      </c>
      <c r="D120" s="47" t="n">
        <f aca="false">(F120+J120+N120+R120+V120+Z120+AD120+AH120+AL120+AP120)-(I120+M120+Q120+U120+Y120+AC120+AG120+AK120+AO120+AS120)</f>
        <v>0</v>
      </c>
      <c r="E120" s="48" t="n">
        <f aca="false">I120+M120+Q120+U120+Y120+AC120+AG120+AK120+AO120+AS120</f>
        <v>0</v>
      </c>
      <c r="F120" s="47" t="n">
        <f aca="false">ROUND(I119*(1+Sorted!$H$2),2)</f>
        <v>0</v>
      </c>
      <c r="G120" s="47" t="n">
        <f aca="false">MIN(F120,Sorted!$G$2)</f>
        <v>0</v>
      </c>
      <c r="H120" s="47" t="n">
        <f aca="false">MAX(0,MIN(F120-G120,$C120-(0)))</f>
        <v>0</v>
      </c>
      <c r="I120" s="47" t="n">
        <f aca="false">ROUND(F120-G120-H120,2)</f>
        <v>0</v>
      </c>
      <c r="J120" s="47" t="n">
        <f aca="false">ROUND(M119*(1+Sorted!$H$3),2)</f>
        <v>0</v>
      </c>
      <c r="K120" s="47" t="n">
        <f aca="false">MIN(J120,Sorted!$G$3)</f>
        <v>0</v>
      </c>
      <c r="L120" s="47" t="n">
        <f aca="false">MAX(0,MIN(J120-K120,$C120-(H120)))</f>
        <v>0</v>
      </c>
      <c r="M120" s="47" t="n">
        <f aca="false">ROUND(J120-K120-L120,2)</f>
        <v>0</v>
      </c>
      <c r="N120" s="47" t="n">
        <f aca="false">ROUND(Q119*(1+Sorted!$H$4),2)</f>
        <v>0</v>
      </c>
      <c r="O120" s="47" t="n">
        <f aca="false">MIN(N120,Sorted!$G$4)</f>
        <v>0</v>
      </c>
      <c r="P120" s="47" t="n">
        <f aca="false">MAX(0,MIN(N120-O120,$C120-(H120+L120)))</f>
        <v>0</v>
      </c>
      <c r="Q120" s="47" t="n">
        <f aca="false">ROUND(N120-O120-P120,2)</f>
        <v>0</v>
      </c>
      <c r="R120" s="47" t="n">
        <f aca="false">ROUND(U119*(1+Sorted!$H$5),2)</f>
        <v>0</v>
      </c>
      <c r="S120" s="47" t="n">
        <f aca="false">MIN(R120,Sorted!$G$5)</f>
        <v>0</v>
      </c>
      <c r="T120" s="47" t="n">
        <f aca="false">MAX(0,MIN(R120-S120,$C120-(H120+L120+P120)))</f>
        <v>0</v>
      </c>
      <c r="U120" s="47" t="n">
        <f aca="false">ROUND(R120-S120-T120,2)</f>
        <v>0</v>
      </c>
      <c r="V120" s="47" t="n">
        <f aca="false">ROUND(Y119*(1+Sorted!$H$6),2)</f>
        <v>0</v>
      </c>
      <c r="W120" s="47" t="n">
        <f aca="false">MIN(V120,Sorted!$G$6)</f>
        <v>0</v>
      </c>
      <c r="X120" s="47" t="n">
        <f aca="false">MAX(0,MIN(V120-W120,$C120-(H120+L120+P120+T120)))</f>
        <v>0</v>
      </c>
      <c r="Y120" s="47" t="n">
        <f aca="false">ROUND(V120-W120-X120,2)</f>
        <v>0</v>
      </c>
      <c r="Z120" s="47" t="n">
        <f aca="false">ROUND(AC119*(1+Sorted!$H$7),2)</f>
        <v>0</v>
      </c>
      <c r="AA120" s="47" t="n">
        <f aca="false">MIN(Z120,Sorted!$G$7)</f>
        <v>0</v>
      </c>
      <c r="AB120" s="47" t="n">
        <f aca="false">MAX(0,MIN(Z120-AA120,$C120-(H120+L120+P120+T120+X120)))</f>
        <v>0</v>
      </c>
      <c r="AC120" s="47" t="n">
        <f aca="false">ROUND(Z120-AA120-AB120,2)</f>
        <v>0</v>
      </c>
      <c r="AD120" s="47" t="n">
        <f aca="false">ROUND(AG119*(1+Sorted!$H$8),2)</f>
        <v>0</v>
      </c>
      <c r="AE120" s="47" t="n">
        <f aca="false">MIN(AD120,Sorted!$G$8)</f>
        <v>0</v>
      </c>
      <c r="AF120" s="47" t="n">
        <f aca="false">MAX(0,MIN(AD120-AE120,$C120-(H120+L120+P120+T120+X120+AB120)))</f>
        <v>0</v>
      </c>
      <c r="AG120" s="47" t="n">
        <f aca="false">ROUND(AD120-AE120-AF120,2)</f>
        <v>0</v>
      </c>
      <c r="AH120" s="47" t="n">
        <f aca="false">ROUND(AK119*(1+Sorted!$H$9),2)</f>
        <v>0</v>
      </c>
      <c r="AI120" s="47" t="n">
        <f aca="false">MIN(AH120,Sorted!$G$9)</f>
        <v>0</v>
      </c>
      <c r="AJ120" s="47" t="n">
        <f aca="false">MAX(0,MIN(AH120-AI120,$C120-(H120+L120+P120+T120+X120+AB120+AF120)))</f>
        <v>0</v>
      </c>
      <c r="AK120" s="47" t="n">
        <f aca="false">ROUND(AH120-AI120-AJ120,2)</f>
        <v>0</v>
      </c>
      <c r="AL120" s="47" t="n">
        <f aca="false">ROUND(AO119*(1+Sorted!$H$10),2)</f>
        <v>0</v>
      </c>
      <c r="AM120" s="47" t="n">
        <f aca="false">MIN(AL120,Sorted!$G$10)</f>
        <v>0</v>
      </c>
      <c r="AN120" s="47" t="n">
        <f aca="false">MAX(0,MIN(AL120-AM120,$C120-(H120+L120+P120+T120+X120+AB120+AF120+AJ120)))</f>
        <v>0</v>
      </c>
      <c r="AO120" s="47" t="n">
        <f aca="false">ROUND(AL120-AM120-AN120,2)</f>
        <v>0</v>
      </c>
      <c r="AP120" s="47" t="n">
        <f aca="false">ROUND(AS119*(1+Sorted!$H$11),2)</f>
        <v>0</v>
      </c>
      <c r="AQ120" s="47" t="n">
        <f aca="false">MIN(AP120,Sorted!$G$11)</f>
        <v>0</v>
      </c>
      <c r="AR120" s="47" t="n">
        <f aca="false">MAX(0,MIN(AP120-AQ120,$C120-(H120+L120+P120+T120+X120+AB120+AF120+AJ120+AN120)))</f>
        <v>0</v>
      </c>
      <c r="AS120" s="47" t="n">
        <f aca="false">ROUND(AP120-AQ120-AR120,2)</f>
        <v>0</v>
      </c>
    </row>
    <row r="121" customFormat="false" ht="15" hidden="false" customHeight="false" outlineLevel="0" collapsed="false">
      <c r="A121" s="45" t="n">
        <v>118</v>
      </c>
      <c r="B121" s="46" t="n">
        <f aca="false">EDATE('My Debts'!$C$7,A121-1)</f>
        <v>49888</v>
      </c>
      <c r="C121" s="47" t="n">
        <f aca="false">MAX(0,'My Debts'!$E$6-(G121+K121+O121+S121+W121+AA121+AE121+AI121+AM121+AQ121))</f>
        <v>730</v>
      </c>
      <c r="D121" s="47" t="n">
        <f aca="false">(F121+J121+N121+R121+V121+Z121+AD121+AH121+AL121+AP121)-(I121+M121+Q121+U121+Y121+AC121+AG121+AK121+AO121+AS121)</f>
        <v>0</v>
      </c>
      <c r="E121" s="48" t="n">
        <f aca="false">I121+M121+Q121+U121+Y121+AC121+AG121+AK121+AO121+AS121</f>
        <v>0</v>
      </c>
      <c r="F121" s="47" t="n">
        <f aca="false">ROUND(I120*(1+Sorted!$H$2),2)</f>
        <v>0</v>
      </c>
      <c r="G121" s="47" t="n">
        <f aca="false">MIN(F121,Sorted!$G$2)</f>
        <v>0</v>
      </c>
      <c r="H121" s="47" t="n">
        <f aca="false">MAX(0,MIN(F121-G121,$C121-(0)))</f>
        <v>0</v>
      </c>
      <c r="I121" s="47" t="n">
        <f aca="false">ROUND(F121-G121-H121,2)</f>
        <v>0</v>
      </c>
      <c r="J121" s="47" t="n">
        <f aca="false">ROUND(M120*(1+Sorted!$H$3),2)</f>
        <v>0</v>
      </c>
      <c r="K121" s="47" t="n">
        <f aca="false">MIN(J121,Sorted!$G$3)</f>
        <v>0</v>
      </c>
      <c r="L121" s="47" t="n">
        <f aca="false">MAX(0,MIN(J121-K121,$C121-(H121)))</f>
        <v>0</v>
      </c>
      <c r="M121" s="47" t="n">
        <f aca="false">ROUND(J121-K121-L121,2)</f>
        <v>0</v>
      </c>
      <c r="N121" s="47" t="n">
        <f aca="false">ROUND(Q120*(1+Sorted!$H$4),2)</f>
        <v>0</v>
      </c>
      <c r="O121" s="47" t="n">
        <f aca="false">MIN(N121,Sorted!$G$4)</f>
        <v>0</v>
      </c>
      <c r="P121" s="47" t="n">
        <f aca="false">MAX(0,MIN(N121-O121,$C121-(H121+L121)))</f>
        <v>0</v>
      </c>
      <c r="Q121" s="47" t="n">
        <f aca="false">ROUND(N121-O121-P121,2)</f>
        <v>0</v>
      </c>
      <c r="R121" s="47" t="n">
        <f aca="false">ROUND(U120*(1+Sorted!$H$5),2)</f>
        <v>0</v>
      </c>
      <c r="S121" s="47" t="n">
        <f aca="false">MIN(R121,Sorted!$G$5)</f>
        <v>0</v>
      </c>
      <c r="T121" s="47" t="n">
        <f aca="false">MAX(0,MIN(R121-S121,$C121-(H121+L121+P121)))</f>
        <v>0</v>
      </c>
      <c r="U121" s="47" t="n">
        <f aca="false">ROUND(R121-S121-T121,2)</f>
        <v>0</v>
      </c>
      <c r="V121" s="47" t="n">
        <f aca="false">ROUND(Y120*(1+Sorted!$H$6),2)</f>
        <v>0</v>
      </c>
      <c r="W121" s="47" t="n">
        <f aca="false">MIN(V121,Sorted!$G$6)</f>
        <v>0</v>
      </c>
      <c r="X121" s="47" t="n">
        <f aca="false">MAX(0,MIN(V121-W121,$C121-(H121+L121+P121+T121)))</f>
        <v>0</v>
      </c>
      <c r="Y121" s="47" t="n">
        <f aca="false">ROUND(V121-W121-X121,2)</f>
        <v>0</v>
      </c>
      <c r="Z121" s="47" t="n">
        <f aca="false">ROUND(AC120*(1+Sorted!$H$7),2)</f>
        <v>0</v>
      </c>
      <c r="AA121" s="47" t="n">
        <f aca="false">MIN(Z121,Sorted!$G$7)</f>
        <v>0</v>
      </c>
      <c r="AB121" s="47" t="n">
        <f aca="false">MAX(0,MIN(Z121-AA121,$C121-(H121+L121+P121+T121+X121)))</f>
        <v>0</v>
      </c>
      <c r="AC121" s="47" t="n">
        <f aca="false">ROUND(Z121-AA121-AB121,2)</f>
        <v>0</v>
      </c>
      <c r="AD121" s="47" t="n">
        <f aca="false">ROUND(AG120*(1+Sorted!$H$8),2)</f>
        <v>0</v>
      </c>
      <c r="AE121" s="47" t="n">
        <f aca="false">MIN(AD121,Sorted!$G$8)</f>
        <v>0</v>
      </c>
      <c r="AF121" s="47" t="n">
        <f aca="false">MAX(0,MIN(AD121-AE121,$C121-(H121+L121+P121+T121+X121+AB121)))</f>
        <v>0</v>
      </c>
      <c r="AG121" s="47" t="n">
        <f aca="false">ROUND(AD121-AE121-AF121,2)</f>
        <v>0</v>
      </c>
      <c r="AH121" s="47" t="n">
        <f aca="false">ROUND(AK120*(1+Sorted!$H$9),2)</f>
        <v>0</v>
      </c>
      <c r="AI121" s="47" t="n">
        <f aca="false">MIN(AH121,Sorted!$G$9)</f>
        <v>0</v>
      </c>
      <c r="AJ121" s="47" t="n">
        <f aca="false">MAX(0,MIN(AH121-AI121,$C121-(H121+L121+P121+T121+X121+AB121+AF121)))</f>
        <v>0</v>
      </c>
      <c r="AK121" s="47" t="n">
        <f aca="false">ROUND(AH121-AI121-AJ121,2)</f>
        <v>0</v>
      </c>
      <c r="AL121" s="47" t="n">
        <f aca="false">ROUND(AO120*(1+Sorted!$H$10),2)</f>
        <v>0</v>
      </c>
      <c r="AM121" s="47" t="n">
        <f aca="false">MIN(AL121,Sorted!$G$10)</f>
        <v>0</v>
      </c>
      <c r="AN121" s="47" t="n">
        <f aca="false">MAX(0,MIN(AL121-AM121,$C121-(H121+L121+P121+T121+X121+AB121+AF121+AJ121)))</f>
        <v>0</v>
      </c>
      <c r="AO121" s="47" t="n">
        <f aca="false">ROUND(AL121-AM121-AN121,2)</f>
        <v>0</v>
      </c>
      <c r="AP121" s="47" t="n">
        <f aca="false">ROUND(AS120*(1+Sorted!$H$11),2)</f>
        <v>0</v>
      </c>
      <c r="AQ121" s="47" t="n">
        <f aca="false">MIN(AP121,Sorted!$G$11)</f>
        <v>0</v>
      </c>
      <c r="AR121" s="47" t="n">
        <f aca="false">MAX(0,MIN(AP121-AQ121,$C121-(H121+L121+P121+T121+X121+AB121+AF121+AJ121+AN121)))</f>
        <v>0</v>
      </c>
      <c r="AS121" s="47" t="n">
        <f aca="false">ROUND(AP121-AQ121-AR121,2)</f>
        <v>0</v>
      </c>
    </row>
    <row r="122" customFormat="false" ht="15" hidden="false" customHeight="false" outlineLevel="0" collapsed="false">
      <c r="A122" s="45" t="n">
        <v>119</v>
      </c>
      <c r="B122" s="46" t="n">
        <f aca="false">EDATE('My Debts'!$C$7,A122-1)</f>
        <v>49919</v>
      </c>
      <c r="C122" s="47" t="n">
        <f aca="false">MAX(0,'My Debts'!$E$6-(G122+K122+O122+S122+W122+AA122+AE122+AI122+AM122+AQ122))</f>
        <v>730</v>
      </c>
      <c r="D122" s="47" t="n">
        <f aca="false">(F122+J122+N122+R122+V122+Z122+AD122+AH122+AL122+AP122)-(I122+M122+Q122+U122+Y122+AC122+AG122+AK122+AO122+AS122)</f>
        <v>0</v>
      </c>
      <c r="E122" s="48" t="n">
        <f aca="false">I122+M122+Q122+U122+Y122+AC122+AG122+AK122+AO122+AS122</f>
        <v>0</v>
      </c>
      <c r="F122" s="47" t="n">
        <f aca="false">ROUND(I121*(1+Sorted!$H$2),2)</f>
        <v>0</v>
      </c>
      <c r="G122" s="47" t="n">
        <f aca="false">MIN(F122,Sorted!$G$2)</f>
        <v>0</v>
      </c>
      <c r="H122" s="47" t="n">
        <f aca="false">MAX(0,MIN(F122-G122,$C122-(0)))</f>
        <v>0</v>
      </c>
      <c r="I122" s="47" t="n">
        <f aca="false">ROUND(F122-G122-H122,2)</f>
        <v>0</v>
      </c>
      <c r="J122" s="47" t="n">
        <f aca="false">ROUND(M121*(1+Sorted!$H$3),2)</f>
        <v>0</v>
      </c>
      <c r="K122" s="47" t="n">
        <f aca="false">MIN(J122,Sorted!$G$3)</f>
        <v>0</v>
      </c>
      <c r="L122" s="47" t="n">
        <f aca="false">MAX(0,MIN(J122-K122,$C122-(H122)))</f>
        <v>0</v>
      </c>
      <c r="M122" s="47" t="n">
        <f aca="false">ROUND(J122-K122-L122,2)</f>
        <v>0</v>
      </c>
      <c r="N122" s="47" t="n">
        <f aca="false">ROUND(Q121*(1+Sorted!$H$4),2)</f>
        <v>0</v>
      </c>
      <c r="O122" s="47" t="n">
        <f aca="false">MIN(N122,Sorted!$G$4)</f>
        <v>0</v>
      </c>
      <c r="P122" s="47" t="n">
        <f aca="false">MAX(0,MIN(N122-O122,$C122-(H122+L122)))</f>
        <v>0</v>
      </c>
      <c r="Q122" s="47" t="n">
        <f aca="false">ROUND(N122-O122-P122,2)</f>
        <v>0</v>
      </c>
      <c r="R122" s="47" t="n">
        <f aca="false">ROUND(U121*(1+Sorted!$H$5),2)</f>
        <v>0</v>
      </c>
      <c r="S122" s="47" t="n">
        <f aca="false">MIN(R122,Sorted!$G$5)</f>
        <v>0</v>
      </c>
      <c r="T122" s="47" t="n">
        <f aca="false">MAX(0,MIN(R122-S122,$C122-(H122+L122+P122)))</f>
        <v>0</v>
      </c>
      <c r="U122" s="47" t="n">
        <f aca="false">ROUND(R122-S122-T122,2)</f>
        <v>0</v>
      </c>
      <c r="V122" s="47" t="n">
        <f aca="false">ROUND(Y121*(1+Sorted!$H$6),2)</f>
        <v>0</v>
      </c>
      <c r="W122" s="47" t="n">
        <f aca="false">MIN(V122,Sorted!$G$6)</f>
        <v>0</v>
      </c>
      <c r="X122" s="47" t="n">
        <f aca="false">MAX(0,MIN(V122-W122,$C122-(H122+L122+P122+T122)))</f>
        <v>0</v>
      </c>
      <c r="Y122" s="47" t="n">
        <f aca="false">ROUND(V122-W122-X122,2)</f>
        <v>0</v>
      </c>
      <c r="Z122" s="47" t="n">
        <f aca="false">ROUND(AC121*(1+Sorted!$H$7),2)</f>
        <v>0</v>
      </c>
      <c r="AA122" s="47" t="n">
        <f aca="false">MIN(Z122,Sorted!$G$7)</f>
        <v>0</v>
      </c>
      <c r="AB122" s="47" t="n">
        <f aca="false">MAX(0,MIN(Z122-AA122,$C122-(H122+L122+P122+T122+X122)))</f>
        <v>0</v>
      </c>
      <c r="AC122" s="47" t="n">
        <f aca="false">ROUND(Z122-AA122-AB122,2)</f>
        <v>0</v>
      </c>
      <c r="AD122" s="47" t="n">
        <f aca="false">ROUND(AG121*(1+Sorted!$H$8),2)</f>
        <v>0</v>
      </c>
      <c r="AE122" s="47" t="n">
        <f aca="false">MIN(AD122,Sorted!$G$8)</f>
        <v>0</v>
      </c>
      <c r="AF122" s="47" t="n">
        <f aca="false">MAX(0,MIN(AD122-AE122,$C122-(H122+L122+P122+T122+X122+AB122)))</f>
        <v>0</v>
      </c>
      <c r="AG122" s="47" t="n">
        <f aca="false">ROUND(AD122-AE122-AF122,2)</f>
        <v>0</v>
      </c>
      <c r="AH122" s="47" t="n">
        <f aca="false">ROUND(AK121*(1+Sorted!$H$9),2)</f>
        <v>0</v>
      </c>
      <c r="AI122" s="47" t="n">
        <f aca="false">MIN(AH122,Sorted!$G$9)</f>
        <v>0</v>
      </c>
      <c r="AJ122" s="47" t="n">
        <f aca="false">MAX(0,MIN(AH122-AI122,$C122-(H122+L122+P122+T122+X122+AB122+AF122)))</f>
        <v>0</v>
      </c>
      <c r="AK122" s="47" t="n">
        <f aca="false">ROUND(AH122-AI122-AJ122,2)</f>
        <v>0</v>
      </c>
      <c r="AL122" s="47" t="n">
        <f aca="false">ROUND(AO121*(1+Sorted!$H$10),2)</f>
        <v>0</v>
      </c>
      <c r="AM122" s="47" t="n">
        <f aca="false">MIN(AL122,Sorted!$G$10)</f>
        <v>0</v>
      </c>
      <c r="AN122" s="47" t="n">
        <f aca="false">MAX(0,MIN(AL122-AM122,$C122-(H122+L122+P122+T122+X122+AB122+AF122+AJ122)))</f>
        <v>0</v>
      </c>
      <c r="AO122" s="47" t="n">
        <f aca="false">ROUND(AL122-AM122-AN122,2)</f>
        <v>0</v>
      </c>
      <c r="AP122" s="47" t="n">
        <f aca="false">ROUND(AS121*(1+Sorted!$H$11),2)</f>
        <v>0</v>
      </c>
      <c r="AQ122" s="47" t="n">
        <f aca="false">MIN(AP122,Sorted!$G$11)</f>
        <v>0</v>
      </c>
      <c r="AR122" s="47" t="n">
        <f aca="false">MAX(0,MIN(AP122-AQ122,$C122-(H122+L122+P122+T122+X122+AB122+AF122+AJ122+AN122)))</f>
        <v>0</v>
      </c>
      <c r="AS122" s="47" t="n">
        <f aca="false">ROUND(AP122-AQ122-AR122,2)</f>
        <v>0</v>
      </c>
    </row>
    <row r="123" customFormat="false" ht="15" hidden="false" customHeight="false" outlineLevel="0" collapsed="false">
      <c r="A123" s="45" t="n">
        <v>120</v>
      </c>
      <c r="B123" s="46" t="n">
        <f aca="false">EDATE('My Debts'!$C$7,A123-1)</f>
        <v>49949</v>
      </c>
      <c r="C123" s="47" t="n">
        <f aca="false">MAX(0,'My Debts'!$E$6-(G123+K123+O123+S123+W123+AA123+AE123+AI123+AM123+AQ123))</f>
        <v>730</v>
      </c>
      <c r="D123" s="47" t="n">
        <f aca="false">(F123+J123+N123+R123+V123+Z123+AD123+AH123+AL123+AP123)-(I123+M123+Q123+U123+Y123+AC123+AG123+AK123+AO123+AS123)</f>
        <v>0</v>
      </c>
      <c r="E123" s="48" t="n">
        <f aca="false">I123+M123+Q123+U123+Y123+AC123+AG123+AK123+AO123+AS123</f>
        <v>0</v>
      </c>
      <c r="F123" s="47" t="n">
        <f aca="false">ROUND(I122*(1+Sorted!$H$2),2)</f>
        <v>0</v>
      </c>
      <c r="G123" s="47" t="n">
        <f aca="false">MIN(F123,Sorted!$G$2)</f>
        <v>0</v>
      </c>
      <c r="H123" s="47" t="n">
        <f aca="false">MAX(0,MIN(F123-G123,$C123-(0)))</f>
        <v>0</v>
      </c>
      <c r="I123" s="47" t="n">
        <f aca="false">ROUND(F123-G123-H123,2)</f>
        <v>0</v>
      </c>
      <c r="J123" s="47" t="n">
        <f aca="false">ROUND(M122*(1+Sorted!$H$3),2)</f>
        <v>0</v>
      </c>
      <c r="K123" s="47" t="n">
        <f aca="false">MIN(J123,Sorted!$G$3)</f>
        <v>0</v>
      </c>
      <c r="L123" s="47" t="n">
        <f aca="false">MAX(0,MIN(J123-K123,$C123-(H123)))</f>
        <v>0</v>
      </c>
      <c r="M123" s="47" t="n">
        <f aca="false">ROUND(J123-K123-L123,2)</f>
        <v>0</v>
      </c>
      <c r="N123" s="47" t="n">
        <f aca="false">ROUND(Q122*(1+Sorted!$H$4),2)</f>
        <v>0</v>
      </c>
      <c r="O123" s="47" t="n">
        <f aca="false">MIN(N123,Sorted!$G$4)</f>
        <v>0</v>
      </c>
      <c r="P123" s="47" t="n">
        <f aca="false">MAX(0,MIN(N123-O123,$C123-(H123+L123)))</f>
        <v>0</v>
      </c>
      <c r="Q123" s="47" t="n">
        <f aca="false">ROUND(N123-O123-P123,2)</f>
        <v>0</v>
      </c>
      <c r="R123" s="47" t="n">
        <f aca="false">ROUND(U122*(1+Sorted!$H$5),2)</f>
        <v>0</v>
      </c>
      <c r="S123" s="47" t="n">
        <f aca="false">MIN(R123,Sorted!$G$5)</f>
        <v>0</v>
      </c>
      <c r="T123" s="47" t="n">
        <f aca="false">MAX(0,MIN(R123-S123,$C123-(H123+L123+P123)))</f>
        <v>0</v>
      </c>
      <c r="U123" s="47" t="n">
        <f aca="false">ROUND(R123-S123-T123,2)</f>
        <v>0</v>
      </c>
      <c r="V123" s="47" t="n">
        <f aca="false">ROUND(Y122*(1+Sorted!$H$6),2)</f>
        <v>0</v>
      </c>
      <c r="W123" s="47" t="n">
        <f aca="false">MIN(V123,Sorted!$G$6)</f>
        <v>0</v>
      </c>
      <c r="X123" s="47" t="n">
        <f aca="false">MAX(0,MIN(V123-W123,$C123-(H123+L123+P123+T123)))</f>
        <v>0</v>
      </c>
      <c r="Y123" s="47" t="n">
        <f aca="false">ROUND(V123-W123-X123,2)</f>
        <v>0</v>
      </c>
      <c r="Z123" s="47" t="n">
        <f aca="false">ROUND(AC122*(1+Sorted!$H$7),2)</f>
        <v>0</v>
      </c>
      <c r="AA123" s="47" t="n">
        <f aca="false">MIN(Z123,Sorted!$G$7)</f>
        <v>0</v>
      </c>
      <c r="AB123" s="47" t="n">
        <f aca="false">MAX(0,MIN(Z123-AA123,$C123-(H123+L123+P123+T123+X123)))</f>
        <v>0</v>
      </c>
      <c r="AC123" s="47" t="n">
        <f aca="false">ROUND(Z123-AA123-AB123,2)</f>
        <v>0</v>
      </c>
      <c r="AD123" s="47" t="n">
        <f aca="false">ROUND(AG122*(1+Sorted!$H$8),2)</f>
        <v>0</v>
      </c>
      <c r="AE123" s="47" t="n">
        <f aca="false">MIN(AD123,Sorted!$G$8)</f>
        <v>0</v>
      </c>
      <c r="AF123" s="47" t="n">
        <f aca="false">MAX(0,MIN(AD123-AE123,$C123-(H123+L123+P123+T123+X123+AB123)))</f>
        <v>0</v>
      </c>
      <c r="AG123" s="47" t="n">
        <f aca="false">ROUND(AD123-AE123-AF123,2)</f>
        <v>0</v>
      </c>
      <c r="AH123" s="47" t="n">
        <f aca="false">ROUND(AK122*(1+Sorted!$H$9),2)</f>
        <v>0</v>
      </c>
      <c r="AI123" s="47" t="n">
        <f aca="false">MIN(AH123,Sorted!$G$9)</f>
        <v>0</v>
      </c>
      <c r="AJ123" s="47" t="n">
        <f aca="false">MAX(0,MIN(AH123-AI123,$C123-(H123+L123+P123+T123+X123+AB123+AF123)))</f>
        <v>0</v>
      </c>
      <c r="AK123" s="47" t="n">
        <f aca="false">ROUND(AH123-AI123-AJ123,2)</f>
        <v>0</v>
      </c>
      <c r="AL123" s="47" t="n">
        <f aca="false">ROUND(AO122*(1+Sorted!$H$10),2)</f>
        <v>0</v>
      </c>
      <c r="AM123" s="47" t="n">
        <f aca="false">MIN(AL123,Sorted!$G$10)</f>
        <v>0</v>
      </c>
      <c r="AN123" s="47" t="n">
        <f aca="false">MAX(0,MIN(AL123-AM123,$C123-(H123+L123+P123+T123+X123+AB123+AF123+AJ123)))</f>
        <v>0</v>
      </c>
      <c r="AO123" s="47" t="n">
        <f aca="false">ROUND(AL123-AM123-AN123,2)</f>
        <v>0</v>
      </c>
      <c r="AP123" s="47" t="n">
        <f aca="false">ROUND(AS122*(1+Sorted!$H$11),2)</f>
        <v>0</v>
      </c>
      <c r="AQ123" s="47" t="n">
        <f aca="false">MIN(AP123,Sorted!$G$11)</f>
        <v>0</v>
      </c>
      <c r="AR123" s="47" t="n">
        <f aca="false">MAX(0,MIN(AP123-AQ123,$C123-(H123+L123+P123+T123+X123+AB123+AF123+AJ123+AN123)))</f>
        <v>0</v>
      </c>
      <c r="AS123" s="47" t="n">
        <f aca="false">ROUND(AP123-AQ123-AR123,2)</f>
        <v>0</v>
      </c>
    </row>
    <row r="124" customFormat="false" ht="15" hidden="false" customHeight="false" outlineLevel="0" collapsed="false">
      <c r="A124" s="45" t="n">
        <v>121</v>
      </c>
      <c r="B124" s="46" t="n">
        <f aca="false">EDATE('My Debts'!$C$7,A124-1)</f>
        <v>49980</v>
      </c>
      <c r="C124" s="47" t="n">
        <f aca="false">MAX(0,'My Debts'!$E$6-(G124+K124+O124+S124+W124+AA124+AE124+AI124+AM124+AQ124))</f>
        <v>730</v>
      </c>
      <c r="D124" s="47" t="n">
        <f aca="false">(F124+J124+N124+R124+V124+Z124+AD124+AH124+AL124+AP124)-(I124+M124+Q124+U124+Y124+AC124+AG124+AK124+AO124+AS124)</f>
        <v>0</v>
      </c>
      <c r="E124" s="48" t="n">
        <f aca="false">I124+M124+Q124+U124+Y124+AC124+AG124+AK124+AO124+AS124</f>
        <v>0</v>
      </c>
      <c r="F124" s="47" t="n">
        <f aca="false">ROUND(I123*(1+Sorted!$H$2),2)</f>
        <v>0</v>
      </c>
      <c r="G124" s="47" t="n">
        <f aca="false">MIN(F124,Sorted!$G$2)</f>
        <v>0</v>
      </c>
      <c r="H124" s="47" t="n">
        <f aca="false">MAX(0,MIN(F124-G124,$C124-(0)))</f>
        <v>0</v>
      </c>
      <c r="I124" s="47" t="n">
        <f aca="false">ROUND(F124-G124-H124,2)</f>
        <v>0</v>
      </c>
      <c r="J124" s="47" t="n">
        <f aca="false">ROUND(M123*(1+Sorted!$H$3),2)</f>
        <v>0</v>
      </c>
      <c r="K124" s="47" t="n">
        <f aca="false">MIN(J124,Sorted!$G$3)</f>
        <v>0</v>
      </c>
      <c r="L124" s="47" t="n">
        <f aca="false">MAX(0,MIN(J124-K124,$C124-(H124)))</f>
        <v>0</v>
      </c>
      <c r="M124" s="47" t="n">
        <f aca="false">ROUND(J124-K124-L124,2)</f>
        <v>0</v>
      </c>
      <c r="N124" s="47" t="n">
        <f aca="false">ROUND(Q123*(1+Sorted!$H$4),2)</f>
        <v>0</v>
      </c>
      <c r="O124" s="47" t="n">
        <f aca="false">MIN(N124,Sorted!$G$4)</f>
        <v>0</v>
      </c>
      <c r="P124" s="47" t="n">
        <f aca="false">MAX(0,MIN(N124-O124,$C124-(H124+L124)))</f>
        <v>0</v>
      </c>
      <c r="Q124" s="47" t="n">
        <f aca="false">ROUND(N124-O124-P124,2)</f>
        <v>0</v>
      </c>
      <c r="R124" s="47" t="n">
        <f aca="false">ROUND(U123*(1+Sorted!$H$5),2)</f>
        <v>0</v>
      </c>
      <c r="S124" s="47" t="n">
        <f aca="false">MIN(R124,Sorted!$G$5)</f>
        <v>0</v>
      </c>
      <c r="T124" s="47" t="n">
        <f aca="false">MAX(0,MIN(R124-S124,$C124-(H124+L124+P124)))</f>
        <v>0</v>
      </c>
      <c r="U124" s="47" t="n">
        <f aca="false">ROUND(R124-S124-T124,2)</f>
        <v>0</v>
      </c>
      <c r="V124" s="47" t="n">
        <f aca="false">ROUND(Y123*(1+Sorted!$H$6),2)</f>
        <v>0</v>
      </c>
      <c r="W124" s="47" t="n">
        <f aca="false">MIN(V124,Sorted!$G$6)</f>
        <v>0</v>
      </c>
      <c r="X124" s="47" t="n">
        <f aca="false">MAX(0,MIN(V124-W124,$C124-(H124+L124+P124+T124)))</f>
        <v>0</v>
      </c>
      <c r="Y124" s="47" t="n">
        <f aca="false">ROUND(V124-W124-X124,2)</f>
        <v>0</v>
      </c>
      <c r="Z124" s="47" t="n">
        <f aca="false">ROUND(AC123*(1+Sorted!$H$7),2)</f>
        <v>0</v>
      </c>
      <c r="AA124" s="47" t="n">
        <f aca="false">MIN(Z124,Sorted!$G$7)</f>
        <v>0</v>
      </c>
      <c r="AB124" s="47" t="n">
        <f aca="false">MAX(0,MIN(Z124-AA124,$C124-(H124+L124+P124+T124+X124)))</f>
        <v>0</v>
      </c>
      <c r="AC124" s="47" t="n">
        <f aca="false">ROUND(Z124-AA124-AB124,2)</f>
        <v>0</v>
      </c>
      <c r="AD124" s="47" t="n">
        <f aca="false">ROUND(AG123*(1+Sorted!$H$8),2)</f>
        <v>0</v>
      </c>
      <c r="AE124" s="47" t="n">
        <f aca="false">MIN(AD124,Sorted!$G$8)</f>
        <v>0</v>
      </c>
      <c r="AF124" s="47" t="n">
        <f aca="false">MAX(0,MIN(AD124-AE124,$C124-(H124+L124+P124+T124+X124+AB124)))</f>
        <v>0</v>
      </c>
      <c r="AG124" s="47" t="n">
        <f aca="false">ROUND(AD124-AE124-AF124,2)</f>
        <v>0</v>
      </c>
      <c r="AH124" s="47" t="n">
        <f aca="false">ROUND(AK123*(1+Sorted!$H$9),2)</f>
        <v>0</v>
      </c>
      <c r="AI124" s="47" t="n">
        <f aca="false">MIN(AH124,Sorted!$G$9)</f>
        <v>0</v>
      </c>
      <c r="AJ124" s="47" t="n">
        <f aca="false">MAX(0,MIN(AH124-AI124,$C124-(H124+L124+P124+T124+X124+AB124+AF124)))</f>
        <v>0</v>
      </c>
      <c r="AK124" s="47" t="n">
        <f aca="false">ROUND(AH124-AI124-AJ124,2)</f>
        <v>0</v>
      </c>
      <c r="AL124" s="47" t="n">
        <f aca="false">ROUND(AO123*(1+Sorted!$H$10),2)</f>
        <v>0</v>
      </c>
      <c r="AM124" s="47" t="n">
        <f aca="false">MIN(AL124,Sorted!$G$10)</f>
        <v>0</v>
      </c>
      <c r="AN124" s="47" t="n">
        <f aca="false">MAX(0,MIN(AL124-AM124,$C124-(H124+L124+P124+T124+X124+AB124+AF124+AJ124)))</f>
        <v>0</v>
      </c>
      <c r="AO124" s="47" t="n">
        <f aca="false">ROUND(AL124-AM124-AN124,2)</f>
        <v>0</v>
      </c>
      <c r="AP124" s="47" t="n">
        <f aca="false">ROUND(AS123*(1+Sorted!$H$11),2)</f>
        <v>0</v>
      </c>
      <c r="AQ124" s="47" t="n">
        <f aca="false">MIN(AP124,Sorted!$G$11)</f>
        <v>0</v>
      </c>
      <c r="AR124" s="47" t="n">
        <f aca="false">MAX(0,MIN(AP124-AQ124,$C124-(H124+L124+P124+T124+X124+AB124+AF124+AJ124+AN124)))</f>
        <v>0</v>
      </c>
      <c r="AS124" s="47" t="n">
        <f aca="false">ROUND(AP124-AQ124-AR124,2)</f>
        <v>0</v>
      </c>
    </row>
    <row r="125" customFormat="false" ht="15" hidden="false" customHeight="false" outlineLevel="0" collapsed="false">
      <c r="A125" s="45" t="n">
        <v>122</v>
      </c>
      <c r="B125" s="46" t="n">
        <f aca="false">EDATE('My Debts'!$C$7,A125-1)</f>
        <v>50010</v>
      </c>
      <c r="C125" s="47" t="n">
        <f aca="false">MAX(0,'My Debts'!$E$6-(G125+K125+O125+S125+W125+AA125+AE125+AI125+AM125+AQ125))</f>
        <v>730</v>
      </c>
      <c r="D125" s="47" t="n">
        <f aca="false">(F125+J125+N125+R125+V125+Z125+AD125+AH125+AL125+AP125)-(I125+M125+Q125+U125+Y125+AC125+AG125+AK125+AO125+AS125)</f>
        <v>0</v>
      </c>
      <c r="E125" s="48" t="n">
        <f aca="false">I125+M125+Q125+U125+Y125+AC125+AG125+AK125+AO125+AS125</f>
        <v>0</v>
      </c>
      <c r="F125" s="47" t="n">
        <f aca="false">ROUND(I124*(1+Sorted!$H$2),2)</f>
        <v>0</v>
      </c>
      <c r="G125" s="47" t="n">
        <f aca="false">MIN(F125,Sorted!$G$2)</f>
        <v>0</v>
      </c>
      <c r="H125" s="47" t="n">
        <f aca="false">MAX(0,MIN(F125-G125,$C125-(0)))</f>
        <v>0</v>
      </c>
      <c r="I125" s="47" t="n">
        <f aca="false">ROUND(F125-G125-H125,2)</f>
        <v>0</v>
      </c>
      <c r="J125" s="47" t="n">
        <f aca="false">ROUND(M124*(1+Sorted!$H$3),2)</f>
        <v>0</v>
      </c>
      <c r="K125" s="47" t="n">
        <f aca="false">MIN(J125,Sorted!$G$3)</f>
        <v>0</v>
      </c>
      <c r="L125" s="47" t="n">
        <f aca="false">MAX(0,MIN(J125-K125,$C125-(H125)))</f>
        <v>0</v>
      </c>
      <c r="M125" s="47" t="n">
        <f aca="false">ROUND(J125-K125-L125,2)</f>
        <v>0</v>
      </c>
      <c r="N125" s="47" t="n">
        <f aca="false">ROUND(Q124*(1+Sorted!$H$4),2)</f>
        <v>0</v>
      </c>
      <c r="O125" s="47" t="n">
        <f aca="false">MIN(N125,Sorted!$G$4)</f>
        <v>0</v>
      </c>
      <c r="P125" s="47" t="n">
        <f aca="false">MAX(0,MIN(N125-O125,$C125-(H125+L125)))</f>
        <v>0</v>
      </c>
      <c r="Q125" s="47" t="n">
        <f aca="false">ROUND(N125-O125-P125,2)</f>
        <v>0</v>
      </c>
      <c r="R125" s="47" t="n">
        <f aca="false">ROUND(U124*(1+Sorted!$H$5),2)</f>
        <v>0</v>
      </c>
      <c r="S125" s="47" t="n">
        <f aca="false">MIN(R125,Sorted!$G$5)</f>
        <v>0</v>
      </c>
      <c r="T125" s="47" t="n">
        <f aca="false">MAX(0,MIN(R125-S125,$C125-(H125+L125+P125)))</f>
        <v>0</v>
      </c>
      <c r="U125" s="47" t="n">
        <f aca="false">ROUND(R125-S125-T125,2)</f>
        <v>0</v>
      </c>
      <c r="V125" s="47" t="n">
        <f aca="false">ROUND(Y124*(1+Sorted!$H$6),2)</f>
        <v>0</v>
      </c>
      <c r="W125" s="47" t="n">
        <f aca="false">MIN(V125,Sorted!$G$6)</f>
        <v>0</v>
      </c>
      <c r="X125" s="47" t="n">
        <f aca="false">MAX(0,MIN(V125-W125,$C125-(H125+L125+P125+T125)))</f>
        <v>0</v>
      </c>
      <c r="Y125" s="47" t="n">
        <f aca="false">ROUND(V125-W125-X125,2)</f>
        <v>0</v>
      </c>
      <c r="Z125" s="47" t="n">
        <f aca="false">ROUND(AC124*(1+Sorted!$H$7),2)</f>
        <v>0</v>
      </c>
      <c r="AA125" s="47" t="n">
        <f aca="false">MIN(Z125,Sorted!$G$7)</f>
        <v>0</v>
      </c>
      <c r="AB125" s="47" t="n">
        <f aca="false">MAX(0,MIN(Z125-AA125,$C125-(H125+L125+P125+T125+X125)))</f>
        <v>0</v>
      </c>
      <c r="AC125" s="47" t="n">
        <f aca="false">ROUND(Z125-AA125-AB125,2)</f>
        <v>0</v>
      </c>
      <c r="AD125" s="47" t="n">
        <f aca="false">ROUND(AG124*(1+Sorted!$H$8),2)</f>
        <v>0</v>
      </c>
      <c r="AE125" s="47" t="n">
        <f aca="false">MIN(AD125,Sorted!$G$8)</f>
        <v>0</v>
      </c>
      <c r="AF125" s="47" t="n">
        <f aca="false">MAX(0,MIN(AD125-AE125,$C125-(H125+L125+P125+T125+X125+AB125)))</f>
        <v>0</v>
      </c>
      <c r="AG125" s="47" t="n">
        <f aca="false">ROUND(AD125-AE125-AF125,2)</f>
        <v>0</v>
      </c>
      <c r="AH125" s="47" t="n">
        <f aca="false">ROUND(AK124*(1+Sorted!$H$9),2)</f>
        <v>0</v>
      </c>
      <c r="AI125" s="47" t="n">
        <f aca="false">MIN(AH125,Sorted!$G$9)</f>
        <v>0</v>
      </c>
      <c r="AJ125" s="47" t="n">
        <f aca="false">MAX(0,MIN(AH125-AI125,$C125-(H125+L125+P125+T125+X125+AB125+AF125)))</f>
        <v>0</v>
      </c>
      <c r="AK125" s="47" t="n">
        <f aca="false">ROUND(AH125-AI125-AJ125,2)</f>
        <v>0</v>
      </c>
      <c r="AL125" s="47" t="n">
        <f aca="false">ROUND(AO124*(1+Sorted!$H$10),2)</f>
        <v>0</v>
      </c>
      <c r="AM125" s="47" t="n">
        <f aca="false">MIN(AL125,Sorted!$G$10)</f>
        <v>0</v>
      </c>
      <c r="AN125" s="47" t="n">
        <f aca="false">MAX(0,MIN(AL125-AM125,$C125-(H125+L125+P125+T125+X125+AB125+AF125+AJ125)))</f>
        <v>0</v>
      </c>
      <c r="AO125" s="47" t="n">
        <f aca="false">ROUND(AL125-AM125-AN125,2)</f>
        <v>0</v>
      </c>
      <c r="AP125" s="47" t="n">
        <f aca="false">ROUND(AS124*(1+Sorted!$H$11),2)</f>
        <v>0</v>
      </c>
      <c r="AQ125" s="47" t="n">
        <f aca="false">MIN(AP125,Sorted!$G$11)</f>
        <v>0</v>
      </c>
      <c r="AR125" s="47" t="n">
        <f aca="false">MAX(0,MIN(AP125-AQ125,$C125-(H125+L125+P125+T125+X125+AB125+AF125+AJ125+AN125)))</f>
        <v>0</v>
      </c>
      <c r="AS125" s="47" t="n">
        <f aca="false">ROUND(AP125-AQ125-AR125,2)</f>
        <v>0</v>
      </c>
    </row>
    <row r="126" customFormat="false" ht="15" hidden="false" customHeight="false" outlineLevel="0" collapsed="false">
      <c r="A126" s="45" t="n">
        <v>123</v>
      </c>
      <c r="B126" s="46" t="n">
        <f aca="false">EDATE('My Debts'!$C$7,A126-1)</f>
        <v>50041</v>
      </c>
      <c r="C126" s="47" t="n">
        <f aca="false">MAX(0,'My Debts'!$E$6-(G126+K126+O126+S126+W126+AA126+AE126+AI126+AM126+AQ126))</f>
        <v>730</v>
      </c>
      <c r="D126" s="47" t="n">
        <f aca="false">(F126+J126+N126+R126+V126+Z126+AD126+AH126+AL126+AP126)-(I126+M126+Q126+U126+Y126+AC126+AG126+AK126+AO126+AS126)</f>
        <v>0</v>
      </c>
      <c r="E126" s="48" t="n">
        <f aca="false">I126+M126+Q126+U126+Y126+AC126+AG126+AK126+AO126+AS126</f>
        <v>0</v>
      </c>
      <c r="F126" s="47" t="n">
        <f aca="false">ROUND(I125*(1+Sorted!$H$2),2)</f>
        <v>0</v>
      </c>
      <c r="G126" s="47" t="n">
        <f aca="false">MIN(F126,Sorted!$G$2)</f>
        <v>0</v>
      </c>
      <c r="H126" s="47" t="n">
        <f aca="false">MAX(0,MIN(F126-G126,$C126-(0)))</f>
        <v>0</v>
      </c>
      <c r="I126" s="47" t="n">
        <f aca="false">ROUND(F126-G126-H126,2)</f>
        <v>0</v>
      </c>
      <c r="J126" s="47" t="n">
        <f aca="false">ROUND(M125*(1+Sorted!$H$3),2)</f>
        <v>0</v>
      </c>
      <c r="K126" s="47" t="n">
        <f aca="false">MIN(J126,Sorted!$G$3)</f>
        <v>0</v>
      </c>
      <c r="L126" s="47" t="n">
        <f aca="false">MAX(0,MIN(J126-K126,$C126-(H126)))</f>
        <v>0</v>
      </c>
      <c r="M126" s="47" t="n">
        <f aca="false">ROUND(J126-K126-L126,2)</f>
        <v>0</v>
      </c>
      <c r="N126" s="47" t="n">
        <f aca="false">ROUND(Q125*(1+Sorted!$H$4),2)</f>
        <v>0</v>
      </c>
      <c r="O126" s="47" t="n">
        <f aca="false">MIN(N126,Sorted!$G$4)</f>
        <v>0</v>
      </c>
      <c r="P126" s="47" t="n">
        <f aca="false">MAX(0,MIN(N126-O126,$C126-(H126+L126)))</f>
        <v>0</v>
      </c>
      <c r="Q126" s="47" t="n">
        <f aca="false">ROUND(N126-O126-P126,2)</f>
        <v>0</v>
      </c>
      <c r="R126" s="47" t="n">
        <f aca="false">ROUND(U125*(1+Sorted!$H$5),2)</f>
        <v>0</v>
      </c>
      <c r="S126" s="47" t="n">
        <f aca="false">MIN(R126,Sorted!$G$5)</f>
        <v>0</v>
      </c>
      <c r="T126" s="47" t="n">
        <f aca="false">MAX(0,MIN(R126-S126,$C126-(H126+L126+P126)))</f>
        <v>0</v>
      </c>
      <c r="U126" s="47" t="n">
        <f aca="false">ROUND(R126-S126-T126,2)</f>
        <v>0</v>
      </c>
      <c r="V126" s="47" t="n">
        <f aca="false">ROUND(Y125*(1+Sorted!$H$6),2)</f>
        <v>0</v>
      </c>
      <c r="W126" s="47" t="n">
        <f aca="false">MIN(V126,Sorted!$G$6)</f>
        <v>0</v>
      </c>
      <c r="X126" s="47" t="n">
        <f aca="false">MAX(0,MIN(V126-W126,$C126-(H126+L126+P126+T126)))</f>
        <v>0</v>
      </c>
      <c r="Y126" s="47" t="n">
        <f aca="false">ROUND(V126-W126-X126,2)</f>
        <v>0</v>
      </c>
      <c r="Z126" s="47" t="n">
        <f aca="false">ROUND(AC125*(1+Sorted!$H$7),2)</f>
        <v>0</v>
      </c>
      <c r="AA126" s="47" t="n">
        <f aca="false">MIN(Z126,Sorted!$G$7)</f>
        <v>0</v>
      </c>
      <c r="AB126" s="47" t="n">
        <f aca="false">MAX(0,MIN(Z126-AA126,$C126-(H126+L126+P126+T126+X126)))</f>
        <v>0</v>
      </c>
      <c r="AC126" s="47" t="n">
        <f aca="false">ROUND(Z126-AA126-AB126,2)</f>
        <v>0</v>
      </c>
      <c r="AD126" s="47" t="n">
        <f aca="false">ROUND(AG125*(1+Sorted!$H$8),2)</f>
        <v>0</v>
      </c>
      <c r="AE126" s="47" t="n">
        <f aca="false">MIN(AD126,Sorted!$G$8)</f>
        <v>0</v>
      </c>
      <c r="AF126" s="47" t="n">
        <f aca="false">MAX(0,MIN(AD126-AE126,$C126-(H126+L126+P126+T126+X126+AB126)))</f>
        <v>0</v>
      </c>
      <c r="AG126" s="47" t="n">
        <f aca="false">ROUND(AD126-AE126-AF126,2)</f>
        <v>0</v>
      </c>
      <c r="AH126" s="47" t="n">
        <f aca="false">ROUND(AK125*(1+Sorted!$H$9),2)</f>
        <v>0</v>
      </c>
      <c r="AI126" s="47" t="n">
        <f aca="false">MIN(AH126,Sorted!$G$9)</f>
        <v>0</v>
      </c>
      <c r="AJ126" s="47" t="n">
        <f aca="false">MAX(0,MIN(AH126-AI126,$C126-(H126+L126+P126+T126+X126+AB126+AF126)))</f>
        <v>0</v>
      </c>
      <c r="AK126" s="47" t="n">
        <f aca="false">ROUND(AH126-AI126-AJ126,2)</f>
        <v>0</v>
      </c>
      <c r="AL126" s="47" t="n">
        <f aca="false">ROUND(AO125*(1+Sorted!$H$10),2)</f>
        <v>0</v>
      </c>
      <c r="AM126" s="47" t="n">
        <f aca="false">MIN(AL126,Sorted!$G$10)</f>
        <v>0</v>
      </c>
      <c r="AN126" s="47" t="n">
        <f aca="false">MAX(0,MIN(AL126-AM126,$C126-(H126+L126+P126+T126+X126+AB126+AF126+AJ126)))</f>
        <v>0</v>
      </c>
      <c r="AO126" s="47" t="n">
        <f aca="false">ROUND(AL126-AM126-AN126,2)</f>
        <v>0</v>
      </c>
      <c r="AP126" s="47" t="n">
        <f aca="false">ROUND(AS125*(1+Sorted!$H$11),2)</f>
        <v>0</v>
      </c>
      <c r="AQ126" s="47" t="n">
        <f aca="false">MIN(AP126,Sorted!$G$11)</f>
        <v>0</v>
      </c>
      <c r="AR126" s="47" t="n">
        <f aca="false">MAX(0,MIN(AP126-AQ126,$C126-(H126+L126+P126+T126+X126+AB126+AF126+AJ126+AN126)))</f>
        <v>0</v>
      </c>
      <c r="AS126" s="47" t="n">
        <f aca="false">ROUND(AP126-AQ126-AR126,2)</f>
        <v>0</v>
      </c>
    </row>
    <row r="127" customFormat="false" ht="15" hidden="false" customHeight="false" outlineLevel="0" collapsed="false">
      <c r="A127" s="45" t="n">
        <v>124</v>
      </c>
      <c r="B127" s="46" t="n">
        <f aca="false">EDATE('My Debts'!$C$7,A127-1)</f>
        <v>50072</v>
      </c>
      <c r="C127" s="47" t="n">
        <f aca="false">MAX(0,'My Debts'!$E$6-(G127+K127+O127+S127+W127+AA127+AE127+AI127+AM127+AQ127))</f>
        <v>730</v>
      </c>
      <c r="D127" s="47" t="n">
        <f aca="false">(F127+J127+N127+R127+V127+Z127+AD127+AH127+AL127+AP127)-(I127+M127+Q127+U127+Y127+AC127+AG127+AK127+AO127+AS127)</f>
        <v>0</v>
      </c>
      <c r="E127" s="48" t="n">
        <f aca="false">I127+M127+Q127+U127+Y127+AC127+AG127+AK127+AO127+AS127</f>
        <v>0</v>
      </c>
      <c r="F127" s="47" t="n">
        <f aca="false">ROUND(I126*(1+Sorted!$H$2),2)</f>
        <v>0</v>
      </c>
      <c r="G127" s="47" t="n">
        <f aca="false">MIN(F127,Sorted!$G$2)</f>
        <v>0</v>
      </c>
      <c r="H127" s="47" t="n">
        <f aca="false">MAX(0,MIN(F127-G127,$C127-(0)))</f>
        <v>0</v>
      </c>
      <c r="I127" s="47" t="n">
        <f aca="false">ROUND(F127-G127-H127,2)</f>
        <v>0</v>
      </c>
      <c r="J127" s="47" t="n">
        <f aca="false">ROUND(M126*(1+Sorted!$H$3),2)</f>
        <v>0</v>
      </c>
      <c r="K127" s="47" t="n">
        <f aca="false">MIN(J127,Sorted!$G$3)</f>
        <v>0</v>
      </c>
      <c r="L127" s="47" t="n">
        <f aca="false">MAX(0,MIN(J127-K127,$C127-(H127)))</f>
        <v>0</v>
      </c>
      <c r="M127" s="47" t="n">
        <f aca="false">ROUND(J127-K127-L127,2)</f>
        <v>0</v>
      </c>
      <c r="N127" s="47" t="n">
        <f aca="false">ROUND(Q126*(1+Sorted!$H$4),2)</f>
        <v>0</v>
      </c>
      <c r="O127" s="47" t="n">
        <f aca="false">MIN(N127,Sorted!$G$4)</f>
        <v>0</v>
      </c>
      <c r="P127" s="47" t="n">
        <f aca="false">MAX(0,MIN(N127-O127,$C127-(H127+L127)))</f>
        <v>0</v>
      </c>
      <c r="Q127" s="47" t="n">
        <f aca="false">ROUND(N127-O127-P127,2)</f>
        <v>0</v>
      </c>
      <c r="R127" s="47" t="n">
        <f aca="false">ROUND(U126*(1+Sorted!$H$5),2)</f>
        <v>0</v>
      </c>
      <c r="S127" s="47" t="n">
        <f aca="false">MIN(R127,Sorted!$G$5)</f>
        <v>0</v>
      </c>
      <c r="T127" s="47" t="n">
        <f aca="false">MAX(0,MIN(R127-S127,$C127-(H127+L127+P127)))</f>
        <v>0</v>
      </c>
      <c r="U127" s="47" t="n">
        <f aca="false">ROUND(R127-S127-T127,2)</f>
        <v>0</v>
      </c>
      <c r="V127" s="47" t="n">
        <f aca="false">ROUND(Y126*(1+Sorted!$H$6),2)</f>
        <v>0</v>
      </c>
      <c r="W127" s="47" t="n">
        <f aca="false">MIN(V127,Sorted!$G$6)</f>
        <v>0</v>
      </c>
      <c r="X127" s="47" t="n">
        <f aca="false">MAX(0,MIN(V127-W127,$C127-(H127+L127+P127+T127)))</f>
        <v>0</v>
      </c>
      <c r="Y127" s="47" t="n">
        <f aca="false">ROUND(V127-W127-X127,2)</f>
        <v>0</v>
      </c>
      <c r="Z127" s="47" t="n">
        <f aca="false">ROUND(AC126*(1+Sorted!$H$7),2)</f>
        <v>0</v>
      </c>
      <c r="AA127" s="47" t="n">
        <f aca="false">MIN(Z127,Sorted!$G$7)</f>
        <v>0</v>
      </c>
      <c r="AB127" s="47" t="n">
        <f aca="false">MAX(0,MIN(Z127-AA127,$C127-(H127+L127+P127+T127+X127)))</f>
        <v>0</v>
      </c>
      <c r="AC127" s="47" t="n">
        <f aca="false">ROUND(Z127-AA127-AB127,2)</f>
        <v>0</v>
      </c>
      <c r="AD127" s="47" t="n">
        <f aca="false">ROUND(AG126*(1+Sorted!$H$8),2)</f>
        <v>0</v>
      </c>
      <c r="AE127" s="47" t="n">
        <f aca="false">MIN(AD127,Sorted!$G$8)</f>
        <v>0</v>
      </c>
      <c r="AF127" s="47" t="n">
        <f aca="false">MAX(0,MIN(AD127-AE127,$C127-(H127+L127+P127+T127+X127+AB127)))</f>
        <v>0</v>
      </c>
      <c r="AG127" s="47" t="n">
        <f aca="false">ROUND(AD127-AE127-AF127,2)</f>
        <v>0</v>
      </c>
      <c r="AH127" s="47" t="n">
        <f aca="false">ROUND(AK126*(1+Sorted!$H$9),2)</f>
        <v>0</v>
      </c>
      <c r="AI127" s="47" t="n">
        <f aca="false">MIN(AH127,Sorted!$G$9)</f>
        <v>0</v>
      </c>
      <c r="AJ127" s="47" t="n">
        <f aca="false">MAX(0,MIN(AH127-AI127,$C127-(H127+L127+P127+T127+X127+AB127+AF127)))</f>
        <v>0</v>
      </c>
      <c r="AK127" s="47" t="n">
        <f aca="false">ROUND(AH127-AI127-AJ127,2)</f>
        <v>0</v>
      </c>
      <c r="AL127" s="47" t="n">
        <f aca="false">ROUND(AO126*(1+Sorted!$H$10),2)</f>
        <v>0</v>
      </c>
      <c r="AM127" s="47" t="n">
        <f aca="false">MIN(AL127,Sorted!$G$10)</f>
        <v>0</v>
      </c>
      <c r="AN127" s="47" t="n">
        <f aca="false">MAX(0,MIN(AL127-AM127,$C127-(H127+L127+P127+T127+X127+AB127+AF127+AJ127)))</f>
        <v>0</v>
      </c>
      <c r="AO127" s="47" t="n">
        <f aca="false">ROUND(AL127-AM127-AN127,2)</f>
        <v>0</v>
      </c>
      <c r="AP127" s="47" t="n">
        <f aca="false">ROUND(AS126*(1+Sorted!$H$11),2)</f>
        <v>0</v>
      </c>
      <c r="AQ127" s="47" t="n">
        <f aca="false">MIN(AP127,Sorted!$G$11)</f>
        <v>0</v>
      </c>
      <c r="AR127" s="47" t="n">
        <f aca="false">MAX(0,MIN(AP127-AQ127,$C127-(H127+L127+P127+T127+X127+AB127+AF127+AJ127+AN127)))</f>
        <v>0</v>
      </c>
      <c r="AS127" s="47" t="n">
        <f aca="false">ROUND(AP127-AQ127-AR127,2)</f>
        <v>0</v>
      </c>
    </row>
    <row r="128" customFormat="false" ht="15" hidden="false" customHeight="false" outlineLevel="0" collapsed="false">
      <c r="A128" s="45" t="n">
        <v>125</v>
      </c>
      <c r="B128" s="46" t="n">
        <f aca="false">EDATE('My Debts'!$C$7,A128-1)</f>
        <v>50100</v>
      </c>
      <c r="C128" s="47" t="n">
        <f aca="false">MAX(0,'My Debts'!$E$6-(G128+K128+O128+S128+W128+AA128+AE128+AI128+AM128+AQ128))</f>
        <v>730</v>
      </c>
      <c r="D128" s="47" t="n">
        <f aca="false">(F128+J128+N128+R128+V128+Z128+AD128+AH128+AL128+AP128)-(I128+M128+Q128+U128+Y128+AC128+AG128+AK128+AO128+AS128)</f>
        <v>0</v>
      </c>
      <c r="E128" s="48" t="n">
        <f aca="false">I128+M128+Q128+U128+Y128+AC128+AG128+AK128+AO128+AS128</f>
        <v>0</v>
      </c>
      <c r="F128" s="47" t="n">
        <f aca="false">ROUND(I127*(1+Sorted!$H$2),2)</f>
        <v>0</v>
      </c>
      <c r="G128" s="47" t="n">
        <f aca="false">MIN(F128,Sorted!$G$2)</f>
        <v>0</v>
      </c>
      <c r="H128" s="47" t="n">
        <f aca="false">MAX(0,MIN(F128-G128,$C128-(0)))</f>
        <v>0</v>
      </c>
      <c r="I128" s="47" t="n">
        <f aca="false">ROUND(F128-G128-H128,2)</f>
        <v>0</v>
      </c>
      <c r="J128" s="47" t="n">
        <f aca="false">ROUND(M127*(1+Sorted!$H$3),2)</f>
        <v>0</v>
      </c>
      <c r="K128" s="47" t="n">
        <f aca="false">MIN(J128,Sorted!$G$3)</f>
        <v>0</v>
      </c>
      <c r="L128" s="47" t="n">
        <f aca="false">MAX(0,MIN(J128-K128,$C128-(H128)))</f>
        <v>0</v>
      </c>
      <c r="M128" s="47" t="n">
        <f aca="false">ROUND(J128-K128-L128,2)</f>
        <v>0</v>
      </c>
      <c r="N128" s="47" t="n">
        <f aca="false">ROUND(Q127*(1+Sorted!$H$4),2)</f>
        <v>0</v>
      </c>
      <c r="O128" s="47" t="n">
        <f aca="false">MIN(N128,Sorted!$G$4)</f>
        <v>0</v>
      </c>
      <c r="P128" s="47" t="n">
        <f aca="false">MAX(0,MIN(N128-O128,$C128-(H128+L128)))</f>
        <v>0</v>
      </c>
      <c r="Q128" s="47" t="n">
        <f aca="false">ROUND(N128-O128-P128,2)</f>
        <v>0</v>
      </c>
      <c r="R128" s="47" t="n">
        <f aca="false">ROUND(U127*(1+Sorted!$H$5),2)</f>
        <v>0</v>
      </c>
      <c r="S128" s="47" t="n">
        <f aca="false">MIN(R128,Sorted!$G$5)</f>
        <v>0</v>
      </c>
      <c r="T128" s="47" t="n">
        <f aca="false">MAX(0,MIN(R128-S128,$C128-(H128+L128+P128)))</f>
        <v>0</v>
      </c>
      <c r="U128" s="47" t="n">
        <f aca="false">ROUND(R128-S128-T128,2)</f>
        <v>0</v>
      </c>
      <c r="V128" s="47" t="n">
        <f aca="false">ROUND(Y127*(1+Sorted!$H$6),2)</f>
        <v>0</v>
      </c>
      <c r="W128" s="47" t="n">
        <f aca="false">MIN(V128,Sorted!$G$6)</f>
        <v>0</v>
      </c>
      <c r="X128" s="47" t="n">
        <f aca="false">MAX(0,MIN(V128-W128,$C128-(H128+L128+P128+T128)))</f>
        <v>0</v>
      </c>
      <c r="Y128" s="47" t="n">
        <f aca="false">ROUND(V128-W128-X128,2)</f>
        <v>0</v>
      </c>
      <c r="Z128" s="47" t="n">
        <f aca="false">ROUND(AC127*(1+Sorted!$H$7),2)</f>
        <v>0</v>
      </c>
      <c r="AA128" s="47" t="n">
        <f aca="false">MIN(Z128,Sorted!$G$7)</f>
        <v>0</v>
      </c>
      <c r="AB128" s="47" t="n">
        <f aca="false">MAX(0,MIN(Z128-AA128,$C128-(H128+L128+P128+T128+X128)))</f>
        <v>0</v>
      </c>
      <c r="AC128" s="47" t="n">
        <f aca="false">ROUND(Z128-AA128-AB128,2)</f>
        <v>0</v>
      </c>
      <c r="AD128" s="47" t="n">
        <f aca="false">ROUND(AG127*(1+Sorted!$H$8),2)</f>
        <v>0</v>
      </c>
      <c r="AE128" s="47" t="n">
        <f aca="false">MIN(AD128,Sorted!$G$8)</f>
        <v>0</v>
      </c>
      <c r="AF128" s="47" t="n">
        <f aca="false">MAX(0,MIN(AD128-AE128,$C128-(H128+L128+P128+T128+X128+AB128)))</f>
        <v>0</v>
      </c>
      <c r="AG128" s="47" t="n">
        <f aca="false">ROUND(AD128-AE128-AF128,2)</f>
        <v>0</v>
      </c>
      <c r="AH128" s="47" t="n">
        <f aca="false">ROUND(AK127*(1+Sorted!$H$9),2)</f>
        <v>0</v>
      </c>
      <c r="AI128" s="47" t="n">
        <f aca="false">MIN(AH128,Sorted!$G$9)</f>
        <v>0</v>
      </c>
      <c r="AJ128" s="47" t="n">
        <f aca="false">MAX(0,MIN(AH128-AI128,$C128-(H128+L128+P128+T128+X128+AB128+AF128)))</f>
        <v>0</v>
      </c>
      <c r="AK128" s="47" t="n">
        <f aca="false">ROUND(AH128-AI128-AJ128,2)</f>
        <v>0</v>
      </c>
      <c r="AL128" s="47" t="n">
        <f aca="false">ROUND(AO127*(1+Sorted!$H$10),2)</f>
        <v>0</v>
      </c>
      <c r="AM128" s="47" t="n">
        <f aca="false">MIN(AL128,Sorted!$G$10)</f>
        <v>0</v>
      </c>
      <c r="AN128" s="47" t="n">
        <f aca="false">MAX(0,MIN(AL128-AM128,$C128-(H128+L128+P128+T128+X128+AB128+AF128+AJ128)))</f>
        <v>0</v>
      </c>
      <c r="AO128" s="47" t="n">
        <f aca="false">ROUND(AL128-AM128-AN128,2)</f>
        <v>0</v>
      </c>
      <c r="AP128" s="47" t="n">
        <f aca="false">ROUND(AS127*(1+Sorted!$H$11),2)</f>
        <v>0</v>
      </c>
      <c r="AQ128" s="47" t="n">
        <f aca="false">MIN(AP128,Sorted!$G$11)</f>
        <v>0</v>
      </c>
      <c r="AR128" s="47" t="n">
        <f aca="false">MAX(0,MIN(AP128-AQ128,$C128-(H128+L128+P128+T128+X128+AB128+AF128+AJ128+AN128)))</f>
        <v>0</v>
      </c>
      <c r="AS128" s="47" t="n">
        <f aca="false">ROUND(AP128-AQ128-AR128,2)</f>
        <v>0</v>
      </c>
    </row>
    <row r="129" customFormat="false" ht="15" hidden="false" customHeight="false" outlineLevel="0" collapsed="false">
      <c r="A129" s="45" t="n">
        <v>126</v>
      </c>
      <c r="B129" s="46" t="n">
        <f aca="false">EDATE('My Debts'!$C$7,A129-1)</f>
        <v>50131</v>
      </c>
      <c r="C129" s="47" t="n">
        <f aca="false">MAX(0,'My Debts'!$E$6-(G129+K129+O129+S129+W129+AA129+AE129+AI129+AM129+AQ129))</f>
        <v>730</v>
      </c>
      <c r="D129" s="47" t="n">
        <f aca="false">(F129+J129+N129+R129+V129+Z129+AD129+AH129+AL129+AP129)-(I129+M129+Q129+U129+Y129+AC129+AG129+AK129+AO129+AS129)</f>
        <v>0</v>
      </c>
      <c r="E129" s="48" t="n">
        <f aca="false">I129+M129+Q129+U129+Y129+AC129+AG129+AK129+AO129+AS129</f>
        <v>0</v>
      </c>
      <c r="F129" s="47" t="n">
        <f aca="false">ROUND(I128*(1+Sorted!$H$2),2)</f>
        <v>0</v>
      </c>
      <c r="G129" s="47" t="n">
        <f aca="false">MIN(F129,Sorted!$G$2)</f>
        <v>0</v>
      </c>
      <c r="H129" s="47" t="n">
        <f aca="false">MAX(0,MIN(F129-G129,$C129-(0)))</f>
        <v>0</v>
      </c>
      <c r="I129" s="47" t="n">
        <f aca="false">ROUND(F129-G129-H129,2)</f>
        <v>0</v>
      </c>
      <c r="J129" s="47" t="n">
        <f aca="false">ROUND(M128*(1+Sorted!$H$3),2)</f>
        <v>0</v>
      </c>
      <c r="K129" s="47" t="n">
        <f aca="false">MIN(J129,Sorted!$G$3)</f>
        <v>0</v>
      </c>
      <c r="L129" s="47" t="n">
        <f aca="false">MAX(0,MIN(J129-K129,$C129-(H129)))</f>
        <v>0</v>
      </c>
      <c r="M129" s="47" t="n">
        <f aca="false">ROUND(J129-K129-L129,2)</f>
        <v>0</v>
      </c>
      <c r="N129" s="47" t="n">
        <f aca="false">ROUND(Q128*(1+Sorted!$H$4),2)</f>
        <v>0</v>
      </c>
      <c r="O129" s="47" t="n">
        <f aca="false">MIN(N129,Sorted!$G$4)</f>
        <v>0</v>
      </c>
      <c r="P129" s="47" t="n">
        <f aca="false">MAX(0,MIN(N129-O129,$C129-(H129+L129)))</f>
        <v>0</v>
      </c>
      <c r="Q129" s="47" t="n">
        <f aca="false">ROUND(N129-O129-P129,2)</f>
        <v>0</v>
      </c>
      <c r="R129" s="47" t="n">
        <f aca="false">ROUND(U128*(1+Sorted!$H$5),2)</f>
        <v>0</v>
      </c>
      <c r="S129" s="47" t="n">
        <f aca="false">MIN(R129,Sorted!$G$5)</f>
        <v>0</v>
      </c>
      <c r="T129" s="47" t="n">
        <f aca="false">MAX(0,MIN(R129-S129,$C129-(H129+L129+P129)))</f>
        <v>0</v>
      </c>
      <c r="U129" s="47" t="n">
        <f aca="false">ROUND(R129-S129-T129,2)</f>
        <v>0</v>
      </c>
      <c r="V129" s="47" t="n">
        <f aca="false">ROUND(Y128*(1+Sorted!$H$6),2)</f>
        <v>0</v>
      </c>
      <c r="W129" s="47" t="n">
        <f aca="false">MIN(V129,Sorted!$G$6)</f>
        <v>0</v>
      </c>
      <c r="X129" s="47" t="n">
        <f aca="false">MAX(0,MIN(V129-W129,$C129-(H129+L129+P129+T129)))</f>
        <v>0</v>
      </c>
      <c r="Y129" s="47" t="n">
        <f aca="false">ROUND(V129-W129-X129,2)</f>
        <v>0</v>
      </c>
      <c r="Z129" s="47" t="n">
        <f aca="false">ROUND(AC128*(1+Sorted!$H$7),2)</f>
        <v>0</v>
      </c>
      <c r="AA129" s="47" t="n">
        <f aca="false">MIN(Z129,Sorted!$G$7)</f>
        <v>0</v>
      </c>
      <c r="AB129" s="47" t="n">
        <f aca="false">MAX(0,MIN(Z129-AA129,$C129-(H129+L129+P129+T129+X129)))</f>
        <v>0</v>
      </c>
      <c r="AC129" s="47" t="n">
        <f aca="false">ROUND(Z129-AA129-AB129,2)</f>
        <v>0</v>
      </c>
      <c r="AD129" s="47" t="n">
        <f aca="false">ROUND(AG128*(1+Sorted!$H$8),2)</f>
        <v>0</v>
      </c>
      <c r="AE129" s="47" t="n">
        <f aca="false">MIN(AD129,Sorted!$G$8)</f>
        <v>0</v>
      </c>
      <c r="AF129" s="47" t="n">
        <f aca="false">MAX(0,MIN(AD129-AE129,$C129-(H129+L129+P129+T129+X129+AB129)))</f>
        <v>0</v>
      </c>
      <c r="AG129" s="47" t="n">
        <f aca="false">ROUND(AD129-AE129-AF129,2)</f>
        <v>0</v>
      </c>
      <c r="AH129" s="47" t="n">
        <f aca="false">ROUND(AK128*(1+Sorted!$H$9),2)</f>
        <v>0</v>
      </c>
      <c r="AI129" s="47" t="n">
        <f aca="false">MIN(AH129,Sorted!$G$9)</f>
        <v>0</v>
      </c>
      <c r="AJ129" s="47" t="n">
        <f aca="false">MAX(0,MIN(AH129-AI129,$C129-(H129+L129+P129+T129+X129+AB129+AF129)))</f>
        <v>0</v>
      </c>
      <c r="AK129" s="47" t="n">
        <f aca="false">ROUND(AH129-AI129-AJ129,2)</f>
        <v>0</v>
      </c>
      <c r="AL129" s="47" t="n">
        <f aca="false">ROUND(AO128*(1+Sorted!$H$10),2)</f>
        <v>0</v>
      </c>
      <c r="AM129" s="47" t="n">
        <f aca="false">MIN(AL129,Sorted!$G$10)</f>
        <v>0</v>
      </c>
      <c r="AN129" s="47" t="n">
        <f aca="false">MAX(0,MIN(AL129-AM129,$C129-(H129+L129+P129+T129+X129+AB129+AF129+AJ129)))</f>
        <v>0</v>
      </c>
      <c r="AO129" s="47" t="n">
        <f aca="false">ROUND(AL129-AM129-AN129,2)</f>
        <v>0</v>
      </c>
      <c r="AP129" s="47" t="n">
        <f aca="false">ROUND(AS128*(1+Sorted!$H$11),2)</f>
        <v>0</v>
      </c>
      <c r="AQ129" s="47" t="n">
        <f aca="false">MIN(AP129,Sorted!$G$11)</f>
        <v>0</v>
      </c>
      <c r="AR129" s="47" t="n">
        <f aca="false">MAX(0,MIN(AP129-AQ129,$C129-(H129+L129+P129+T129+X129+AB129+AF129+AJ129+AN129)))</f>
        <v>0</v>
      </c>
      <c r="AS129" s="47" t="n">
        <f aca="false">ROUND(AP129-AQ129-AR129,2)</f>
        <v>0</v>
      </c>
    </row>
    <row r="130" customFormat="false" ht="15" hidden="false" customHeight="false" outlineLevel="0" collapsed="false">
      <c r="A130" s="45" t="n">
        <v>127</v>
      </c>
      <c r="B130" s="46" t="n">
        <f aca="false">EDATE('My Debts'!$C$7,A130-1)</f>
        <v>50161</v>
      </c>
      <c r="C130" s="47" t="n">
        <f aca="false">MAX(0,'My Debts'!$E$6-(G130+K130+O130+S130+W130+AA130+AE130+AI130+AM130+AQ130))</f>
        <v>730</v>
      </c>
      <c r="D130" s="47" t="n">
        <f aca="false">(F130+J130+N130+R130+V130+Z130+AD130+AH130+AL130+AP130)-(I130+M130+Q130+U130+Y130+AC130+AG130+AK130+AO130+AS130)</f>
        <v>0</v>
      </c>
      <c r="E130" s="48" t="n">
        <f aca="false">I130+M130+Q130+U130+Y130+AC130+AG130+AK130+AO130+AS130</f>
        <v>0</v>
      </c>
      <c r="F130" s="47" t="n">
        <f aca="false">ROUND(I129*(1+Sorted!$H$2),2)</f>
        <v>0</v>
      </c>
      <c r="G130" s="47" t="n">
        <f aca="false">MIN(F130,Sorted!$G$2)</f>
        <v>0</v>
      </c>
      <c r="H130" s="47" t="n">
        <f aca="false">MAX(0,MIN(F130-G130,$C130-(0)))</f>
        <v>0</v>
      </c>
      <c r="I130" s="47" t="n">
        <f aca="false">ROUND(F130-G130-H130,2)</f>
        <v>0</v>
      </c>
      <c r="J130" s="47" t="n">
        <f aca="false">ROUND(M129*(1+Sorted!$H$3),2)</f>
        <v>0</v>
      </c>
      <c r="K130" s="47" t="n">
        <f aca="false">MIN(J130,Sorted!$G$3)</f>
        <v>0</v>
      </c>
      <c r="L130" s="47" t="n">
        <f aca="false">MAX(0,MIN(J130-K130,$C130-(H130)))</f>
        <v>0</v>
      </c>
      <c r="M130" s="47" t="n">
        <f aca="false">ROUND(J130-K130-L130,2)</f>
        <v>0</v>
      </c>
      <c r="N130" s="47" t="n">
        <f aca="false">ROUND(Q129*(1+Sorted!$H$4),2)</f>
        <v>0</v>
      </c>
      <c r="O130" s="47" t="n">
        <f aca="false">MIN(N130,Sorted!$G$4)</f>
        <v>0</v>
      </c>
      <c r="P130" s="47" t="n">
        <f aca="false">MAX(0,MIN(N130-O130,$C130-(H130+L130)))</f>
        <v>0</v>
      </c>
      <c r="Q130" s="47" t="n">
        <f aca="false">ROUND(N130-O130-P130,2)</f>
        <v>0</v>
      </c>
      <c r="R130" s="47" t="n">
        <f aca="false">ROUND(U129*(1+Sorted!$H$5),2)</f>
        <v>0</v>
      </c>
      <c r="S130" s="47" t="n">
        <f aca="false">MIN(R130,Sorted!$G$5)</f>
        <v>0</v>
      </c>
      <c r="T130" s="47" t="n">
        <f aca="false">MAX(0,MIN(R130-S130,$C130-(H130+L130+P130)))</f>
        <v>0</v>
      </c>
      <c r="U130" s="47" t="n">
        <f aca="false">ROUND(R130-S130-T130,2)</f>
        <v>0</v>
      </c>
      <c r="V130" s="47" t="n">
        <f aca="false">ROUND(Y129*(1+Sorted!$H$6),2)</f>
        <v>0</v>
      </c>
      <c r="W130" s="47" t="n">
        <f aca="false">MIN(V130,Sorted!$G$6)</f>
        <v>0</v>
      </c>
      <c r="X130" s="47" t="n">
        <f aca="false">MAX(0,MIN(V130-W130,$C130-(H130+L130+P130+T130)))</f>
        <v>0</v>
      </c>
      <c r="Y130" s="47" t="n">
        <f aca="false">ROUND(V130-W130-X130,2)</f>
        <v>0</v>
      </c>
      <c r="Z130" s="47" t="n">
        <f aca="false">ROUND(AC129*(1+Sorted!$H$7),2)</f>
        <v>0</v>
      </c>
      <c r="AA130" s="47" t="n">
        <f aca="false">MIN(Z130,Sorted!$G$7)</f>
        <v>0</v>
      </c>
      <c r="AB130" s="47" t="n">
        <f aca="false">MAX(0,MIN(Z130-AA130,$C130-(H130+L130+P130+T130+X130)))</f>
        <v>0</v>
      </c>
      <c r="AC130" s="47" t="n">
        <f aca="false">ROUND(Z130-AA130-AB130,2)</f>
        <v>0</v>
      </c>
      <c r="AD130" s="47" t="n">
        <f aca="false">ROUND(AG129*(1+Sorted!$H$8),2)</f>
        <v>0</v>
      </c>
      <c r="AE130" s="47" t="n">
        <f aca="false">MIN(AD130,Sorted!$G$8)</f>
        <v>0</v>
      </c>
      <c r="AF130" s="47" t="n">
        <f aca="false">MAX(0,MIN(AD130-AE130,$C130-(H130+L130+P130+T130+X130+AB130)))</f>
        <v>0</v>
      </c>
      <c r="AG130" s="47" t="n">
        <f aca="false">ROUND(AD130-AE130-AF130,2)</f>
        <v>0</v>
      </c>
      <c r="AH130" s="47" t="n">
        <f aca="false">ROUND(AK129*(1+Sorted!$H$9),2)</f>
        <v>0</v>
      </c>
      <c r="AI130" s="47" t="n">
        <f aca="false">MIN(AH130,Sorted!$G$9)</f>
        <v>0</v>
      </c>
      <c r="AJ130" s="47" t="n">
        <f aca="false">MAX(0,MIN(AH130-AI130,$C130-(H130+L130+P130+T130+X130+AB130+AF130)))</f>
        <v>0</v>
      </c>
      <c r="AK130" s="47" t="n">
        <f aca="false">ROUND(AH130-AI130-AJ130,2)</f>
        <v>0</v>
      </c>
      <c r="AL130" s="47" t="n">
        <f aca="false">ROUND(AO129*(1+Sorted!$H$10),2)</f>
        <v>0</v>
      </c>
      <c r="AM130" s="47" t="n">
        <f aca="false">MIN(AL130,Sorted!$G$10)</f>
        <v>0</v>
      </c>
      <c r="AN130" s="47" t="n">
        <f aca="false">MAX(0,MIN(AL130-AM130,$C130-(H130+L130+P130+T130+X130+AB130+AF130+AJ130)))</f>
        <v>0</v>
      </c>
      <c r="AO130" s="47" t="n">
        <f aca="false">ROUND(AL130-AM130-AN130,2)</f>
        <v>0</v>
      </c>
      <c r="AP130" s="47" t="n">
        <f aca="false">ROUND(AS129*(1+Sorted!$H$11),2)</f>
        <v>0</v>
      </c>
      <c r="AQ130" s="47" t="n">
        <f aca="false">MIN(AP130,Sorted!$G$11)</f>
        <v>0</v>
      </c>
      <c r="AR130" s="47" t="n">
        <f aca="false">MAX(0,MIN(AP130-AQ130,$C130-(H130+L130+P130+T130+X130+AB130+AF130+AJ130+AN130)))</f>
        <v>0</v>
      </c>
      <c r="AS130" s="47" t="n">
        <f aca="false">ROUND(AP130-AQ130-AR130,2)</f>
        <v>0</v>
      </c>
    </row>
    <row r="131" customFormat="false" ht="15" hidden="false" customHeight="false" outlineLevel="0" collapsed="false">
      <c r="A131" s="45" t="n">
        <v>128</v>
      </c>
      <c r="B131" s="46" t="n">
        <f aca="false">EDATE('My Debts'!$C$7,A131-1)</f>
        <v>50192</v>
      </c>
      <c r="C131" s="47" t="n">
        <f aca="false">MAX(0,'My Debts'!$E$6-(G131+K131+O131+S131+W131+AA131+AE131+AI131+AM131+AQ131))</f>
        <v>730</v>
      </c>
      <c r="D131" s="47" t="n">
        <f aca="false">(F131+J131+N131+R131+V131+Z131+AD131+AH131+AL131+AP131)-(I131+M131+Q131+U131+Y131+AC131+AG131+AK131+AO131+AS131)</f>
        <v>0</v>
      </c>
      <c r="E131" s="48" t="n">
        <f aca="false">I131+M131+Q131+U131+Y131+AC131+AG131+AK131+AO131+AS131</f>
        <v>0</v>
      </c>
      <c r="F131" s="47" t="n">
        <f aca="false">ROUND(I130*(1+Sorted!$H$2),2)</f>
        <v>0</v>
      </c>
      <c r="G131" s="47" t="n">
        <f aca="false">MIN(F131,Sorted!$G$2)</f>
        <v>0</v>
      </c>
      <c r="H131" s="47" t="n">
        <f aca="false">MAX(0,MIN(F131-G131,$C131-(0)))</f>
        <v>0</v>
      </c>
      <c r="I131" s="47" t="n">
        <f aca="false">ROUND(F131-G131-H131,2)</f>
        <v>0</v>
      </c>
      <c r="J131" s="47" t="n">
        <f aca="false">ROUND(M130*(1+Sorted!$H$3),2)</f>
        <v>0</v>
      </c>
      <c r="K131" s="47" t="n">
        <f aca="false">MIN(J131,Sorted!$G$3)</f>
        <v>0</v>
      </c>
      <c r="L131" s="47" t="n">
        <f aca="false">MAX(0,MIN(J131-K131,$C131-(H131)))</f>
        <v>0</v>
      </c>
      <c r="M131" s="47" t="n">
        <f aca="false">ROUND(J131-K131-L131,2)</f>
        <v>0</v>
      </c>
      <c r="N131" s="47" t="n">
        <f aca="false">ROUND(Q130*(1+Sorted!$H$4),2)</f>
        <v>0</v>
      </c>
      <c r="O131" s="47" t="n">
        <f aca="false">MIN(N131,Sorted!$G$4)</f>
        <v>0</v>
      </c>
      <c r="P131" s="47" t="n">
        <f aca="false">MAX(0,MIN(N131-O131,$C131-(H131+L131)))</f>
        <v>0</v>
      </c>
      <c r="Q131" s="47" t="n">
        <f aca="false">ROUND(N131-O131-P131,2)</f>
        <v>0</v>
      </c>
      <c r="R131" s="47" t="n">
        <f aca="false">ROUND(U130*(1+Sorted!$H$5),2)</f>
        <v>0</v>
      </c>
      <c r="S131" s="47" t="n">
        <f aca="false">MIN(R131,Sorted!$G$5)</f>
        <v>0</v>
      </c>
      <c r="T131" s="47" t="n">
        <f aca="false">MAX(0,MIN(R131-S131,$C131-(H131+L131+P131)))</f>
        <v>0</v>
      </c>
      <c r="U131" s="47" t="n">
        <f aca="false">ROUND(R131-S131-T131,2)</f>
        <v>0</v>
      </c>
      <c r="V131" s="47" t="n">
        <f aca="false">ROUND(Y130*(1+Sorted!$H$6),2)</f>
        <v>0</v>
      </c>
      <c r="W131" s="47" t="n">
        <f aca="false">MIN(V131,Sorted!$G$6)</f>
        <v>0</v>
      </c>
      <c r="X131" s="47" t="n">
        <f aca="false">MAX(0,MIN(V131-W131,$C131-(H131+L131+P131+T131)))</f>
        <v>0</v>
      </c>
      <c r="Y131" s="47" t="n">
        <f aca="false">ROUND(V131-W131-X131,2)</f>
        <v>0</v>
      </c>
      <c r="Z131" s="47" t="n">
        <f aca="false">ROUND(AC130*(1+Sorted!$H$7),2)</f>
        <v>0</v>
      </c>
      <c r="AA131" s="47" t="n">
        <f aca="false">MIN(Z131,Sorted!$G$7)</f>
        <v>0</v>
      </c>
      <c r="AB131" s="47" t="n">
        <f aca="false">MAX(0,MIN(Z131-AA131,$C131-(H131+L131+P131+T131+X131)))</f>
        <v>0</v>
      </c>
      <c r="AC131" s="47" t="n">
        <f aca="false">ROUND(Z131-AA131-AB131,2)</f>
        <v>0</v>
      </c>
      <c r="AD131" s="47" t="n">
        <f aca="false">ROUND(AG130*(1+Sorted!$H$8),2)</f>
        <v>0</v>
      </c>
      <c r="AE131" s="47" t="n">
        <f aca="false">MIN(AD131,Sorted!$G$8)</f>
        <v>0</v>
      </c>
      <c r="AF131" s="47" t="n">
        <f aca="false">MAX(0,MIN(AD131-AE131,$C131-(H131+L131+P131+T131+X131+AB131)))</f>
        <v>0</v>
      </c>
      <c r="AG131" s="47" t="n">
        <f aca="false">ROUND(AD131-AE131-AF131,2)</f>
        <v>0</v>
      </c>
      <c r="AH131" s="47" t="n">
        <f aca="false">ROUND(AK130*(1+Sorted!$H$9),2)</f>
        <v>0</v>
      </c>
      <c r="AI131" s="47" t="n">
        <f aca="false">MIN(AH131,Sorted!$G$9)</f>
        <v>0</v>
      </c>
      <c r="AJ131" s="47" t="n">
        <f aca="false">MAX(0,MIN(AH131-AI131,$C131-(H131+L131+P131+T131+X131+AB131+AF131)))</f>
        <v>0</v>
      </c>
      <c r="AK131" s="47" t="n">
        <f aca="false">ROUND(AH131-AI131-AJ131,2)</f>
        <v>0</v>
      </c>
      <c r="AL131" s="47" t="n">
        <f aca="false">ROUND(AO130*(1+Sorted!$H$10),2)</f>
        <v>0</v>
      </c>
      <c r="AM131" s="47" t="n">
        <f aca="false">MIN(AL131,Sorted!$G$10)</f>
        <v>0</v>
      </c>
      <c r="AN131" s="47" t="n">
        <f aca="false">MAX(0,MIN(AL131-AM131,$C131-(H131+L131+P131+T131+X131+AB131+AF131+AJ131)))</f>
        <v>0</v>
      </c>
      <c r="AO131" s="47" t="n">
        <f aca="false">ROUND(AL131-AM131-AN131,2)</f>
        <v>0</v>
      </c>
      <c r="AP131" s="47" t="n">
        <f aca="false">ROUND(AS130*(1+Sorted!$H$11),2)</f>
        <v>0</v>
      </c>
      <c r="AQ131" s="47" t="n">
        <f aca="false">MIN(AP131,Sorted!$G$11)</f>
        <v>0</v>
      </c>
      <c r="AR131" s="47" t="n">
        <f aca="false">MAX(0,MIN(AP131-AQ131,$C131-(H131+L131+P131+T131+X131+AB131+AF131+AJ131+AN131)))</f>
        <v>0</v>
      </c>
      <c r="AS131" s="47" t="n">
        <f aca="false">ROUND(AP131-AQ131-AR131,2)</f>
        <v>0</v>
      </c>
    </row>
    <row r="132" customFormat="false" ht="15" hidden="false" customHeight="false" outlineLevel="0" collapsed="false">
      <c r="A132" s="45" t="n">
        <v>129</v>
      </c>
      <c r="B132" s="46" t="n">
        <f aca="false">EDATE('My Debts'!$C$7,A132-1)</f>
        <v>50222</v>
      </c>
      <c r="C132" s="47" t="n">
        <f aca="false">MAX(0,'My Debts'!$E$6-(G132+K132+O132+S132+W132+AA132+AE132+AI132+AM132+AQ132))</f>
        <v>730</v>
      </c>
      <c r="D132" s="47" t="n">
        <f aca="false">(F132+J132+N132+R132+V132+Z132+AD132+AH132+AL132+AP132)-(I132+M132+Q132+U132+Y132+AC132+AG132+AK132+AO132+AS132)</f>
        <v>0</v>
      </c>
      <c r="E132" s="48" t="n">
        <f aca="false">I132+M132+Q132+U132+Y132+AC132+AG132+AK132+AO132+AS132</f>
        <v>0</v>
      </c>
      <c r="F132" s="47" t="n">
        <f aca="false">ROUND(I131*(1+Sorted!$H$2),2)</f>
        <v>0</v>
      </c>
      <c r="G132" s="47" t="n">
        <f aca="false">MIN(F132,Sorted!$G$2)</f>
        <v>0</v>
      </c>
      <c r="H132" s="47" t="n">
        <f aca="false">MAX(0,MIN(F132-G132,$C132-(0)))</f>
        <v>0</v>
      </c>
      <c r="I132" s="47" t="n">
        <f aca="false">ROUND(F132-G132-H132,2)</f>
        <v>0</v>
      </c>
      <c r="J132" s="47" t="n">
        <f aca="false">ROUND(M131*(1+Sorted!$H$3),2)</f>
        <v>0</v>
      </c>
      <c r="K132" s="47" t="n">
        <f aca="false">MIN(J132,Sorted!$G$3)</f>
        <v>0</v>
      </c>
      <c r="L132" s="47" t="n">
        <f aca="false">MAX(0,MIN(J132-K132,$C132-(H132)))</f>
        <v>0</v>
      </c>
      <c r="M132" s="47" t="n">
        <f aca="false">ROUND(J132-K132-L132,2)</f>
        <v>0</v>
      </c>
      <c r="N132" s="47" t="n">
        <f aca="false">ROUND(Q131*(1+Sorted!$H$4),2)</f>
        <v>0</v>
      </c>
      <c r="O132" s="47" t="n">
        <f aca="false">MIN(N132,Sorted!$G$4)</f>
        <v>0</v>
      </c>
      <c r="P132" s="47" t="n">
        <f aca="false">MAX(0,MIN(N132-O132,$C132-(H132+L132)))</f>
        <v>0</v>
      </c>
      <c r="Q132" s="47" t="n">
        <f aca="false">ROUND(N132-O132-P132,2)</f>
        <v>0</v>
      </c>
      <c r="R132" s="47" t="n">
        <f aca="false">ROUND(U131*(1+Sorted!$H$5),2)</f>
        <v>0</v>
      </c>
      <c r="S132" s="47" t="n">
        <f aca="false">MIN(R132,Sorted!$G$5)</f>
        <v>0</v>
      </c>
      <c r="T132" s="47" t="n">
        <f aca="false">MAX(0,MIN(R132-S132,$C132-(H132+L132+P132)))</f>
        <v>0</v>
      </c>
      <c r="U132" s="47" t="n">
        <f aca="false">ROUND(R132-S132-T132,2)</f>
        <v>0</v>
      </c>
      <c r="V132" s="47" t="n">
        <f aca="false">ROUND(Y131*(1+Sorted!$H$6),2)</f>
        <v>0</v>
      </c>
      <c r="W132" s="47" t="n">
        <f aca="false">MIN(V132,Sorted!$G$6)</f>
        <v>0</v>
      </c>
      <c r="X132" s="47" t="n">
        <f aca="false">MAX(0,MIN(V132-W132,$C132-(H132+L132+P132+T132)))</f>
        <v>0</v>
      </c>
      <c r="Y132" s="47" t="n">
        <f aca="false">ROUND(V132-W132-X132,2)</f>
        <v>0</v>
      </c>
      <c r="Z132" s="47" t="n">
        <f aca="false">ROUND(AC131*(1+Sorted!$H$7),2)</f>
        <v>0</v>
      </c>
      <c r="AA132" s="47" t="n">
        <f aca="false">MIN(Z132,Sorted!$G$7)</f>
        <v>0</v>
      </c>
      <c r="AB132" s="47" t="n">
        <f aca="false">MAX(0,MIN(Z132-AA132,$C132-(H132+L132+P132+T132+X132)))</f>
        <v>0</v>
      </c>
      <c r="AC132" s="47" t="n">
        <f aca="false">ROUND(Z132-AA132-AB132,2)</f>
        <v>0</v>
      </c>
      <c r="AD132" s="47" t="n">
        <f aca="false">ROUND(AG131*(1+Sorted!$H$8),2)</f>
        <v>0</v>
      </c>
      <c r="AE132" s="47" t="n">
        <f aca="false">MIN(AD132,Sorted!$G$8)</f>
        <v>0</v>
      </c>
      <c r="AF132" s="47" t="n">
        <f aca="false">MAX(0,MIN(AD132-AE132,$C132-(H132+L132+P132+T132+X132+AB132)))</f>
        <v>0</v>
      </c>
      <c r="AG132" s="47" t="n">
        <f aca="false">ROUND(AD132-AE132-AF132,2)</f>
        <v>0</v>
      </c>
      <c r="AH132" s="47" t="n">
        <f aca="false">ROUND(AK131*(1+Sorted!$H$9),2)</f>
        <v>0</v>
      </c>
      <c r="AI132" s="47" t="n">
        <f aca="false">MIN(AH132,Sorted!$G$9)</f>
        <v>0</v>
      </c>
      <c r="AJ132" s="47" t="n">
        <f aca="false">MAX(0,MIN(AH132-AI132,$C132-(H132+L132+P132+T132+X132+AB132+AF132)))</f>
        <v>0</v>
      </c>
      <c r="AK132" s="47" t="n">
        <f aca="false">ROUND(AH132-AI132-AJ132,2)</f>
        <v>0</v>
      </c>
      <c r="AL132" s="47" t="n">
        <f aca="false">ROUND(AO131*(1+Sorted!$H$10),2)</f>
        <v>0</v>
      </c>
      <c r="AM132" s="47" t="n">
        <f aca="false">MIN(AL132,Sorted!$G$10)</f>
        <v>0</v>
      </c>
      <c r="AN132" s="47" t="n">
        <f aca="false">MAX(0,MIN(AL132-AM132,$C132-(H132+L132+P132+T132+X132+AB132+AF132+AJ132)))</f>
        <v>0</v>
      </c>
      <c r="AO132" s="47" t="n">
        <f aca="false">ROUND(AL132-AM132-AN132,2)</f>
        <v>0</v>
      </c>
      <c r="AP132" s="47" t="n">
        <f aca="false">ROUND(AS131*(1+Sorted!$H$11),2)</f>
        <v>0</v>
      </c>
      <c r="AQ132" s="47" t="n">
        <f aca="false">MIN(AP132,Sorted!$G$11)</f>
        <v>0</v>
      </c>
      <c r="AR132" s="47" t="n">
        <f aca="false">MAX(0,MIN(AP132-AQ132,$C132-(H132+L132+P132+T132+X132+AB132+AF132+AJ132+AN132)))</f>
        <v>0</v>
      </c>
      <c r="AS132" s="47" t="n">
        <f aca="false">ROUND(AP132-AQ132-AR132,2)</f>
        <v>0</v>
      </c>
    </row>
    <row r="133" customFormat="false" ht="15" hidden="false" customHeight="false" outlineLevel="0" collapsed="false">
      <c r="A133" s="45" t="n">
        <v>130</v>
      </c>
      <c r="B133" s="46" t="n">
        <f aca="false">EDATE('My Debts'!$C$7,A133-1)</f>
        <v>50253</v>
      </c>
      <c r="C133" s="47" t="n">
        <f aca="false">MAX(0,'My Debts'!$E$6-(G133+K133+O133+S133+W133+AA133+AE133+AI133+AM133+AQ133))</f>
        <v>730</v>
      </c>
      <c r="D133" s="47" t="n">
        <f aca="false">(F133+J133+N133+R133+V133+Z133+AD133+AH133+AL133+AP133)-(I133+M133+Q133+U133+Y133+AC133+AG133+AK133+AO133+AS133)</f>
        <v>0</v>
      </c>
      <c r="E133" s="48" t="n">
        <f aca="false">I133+M133+Q133+U133+Y133+AC133+AG133+AK133+AO133+AS133</f>
        <v>0</v>
      </c>
      <c r="F133" s="47" t="n">
        <f aca="false">ROUND(I132*(1+Sorted!$H$2),2)</f>
        <v>0</v>
      </c>
      <c r="G133" s="47" t="n">
        <f aca="false">MIN(F133,Sorted!$G$2)</f>
        <v>0</v>
      </c>
      <c r="H133" s="47" t="n">
        <f aca="false">MAX(0,MIN(F133-G133,$C133-(0)))</f>
        <v>0</v>
      </c>
      <c r="I133" s="47" t="n">
        <f aca="false">ROUND(F133-G133-H133,2)</f>
        <v>0</v>
      </c>
      <c r="J133" s="47" t="n">
        <f aca="false">ROUND(M132*(1+Sorted!$H$3),2)</f>
        <v>0</v>
      </c>
      <c r="K133" s="47" t="n">
        <f aca="false">MIN(J133,Sorted!$G$3)</f>
        <v>0</v>
      </c>
      <c r="L133" s="47" t="n">
        <f aca="false">MAX(0,MIN(J133-K133,$C133-(H133)))</f>
        <v>0</v>
      </c>
      <c r="M133" s="47" t="n">
        <f aca="false">ROUND(J133-K133-L133,2)</f>
        <v>0</v>
      </c>
      <c r="N133" s="47" t="n">
        <f aca="false">ROUND(Q132*(1+Sorted!$H$4),2)</f>
        <v>0</v>
      </c>
      <c r="O133" s="47" t="n">
        <f aca="false">MIN(N133,Sorted!$G$4)</f>
        <v>0</v>
      </c>
      <c r="P133" s="47" t="n">
        <f aca="false">MAX(0,MIN(N133-O133,$C133-(H133+L133)))</f>
        <v>0</v>
      </c>
      <c r="Q133" s="47" t="n">
        <f aca="false">ROUND(N133-O133-P133,2)</f>
        <v>0</v>
      </c>
      <c r="R133" s="47" t="n">
        <f aca="false">ROUND(U132*(1+Sorted!$H$5),2)</f>
        <v>0</v>
      </c>
      <c r="S133" s="47" t="n">
        <f aca="false">MIN(R133,Sorted!$G$5)</f>
        <v>0</v>
      </c>
      <c r="T133" s="47" t="n">
        <f aca="false">MAX(0,MIN(R133-S133,$C133-(H133+L133+P133)))</f>
        <v>0</v>
      </c>
      <c r="U133" s="47" t="n">
        <f aca="false">ROUND(R133-S133-T133,2)</f>
        <v>0</v>
      </c>
      <c r="V133" s="47" t="n">
        <f aca="false">ROUND(Y132*(1+Sorted!$H$6),2)</f>
        <v>0</v>
      </c>
      <c r="W133" s="47" t="n">
        <f aca="false">MIN(V133,Sorted!$G$6)</f>
        <v>0</v>
      </c>
      <c r="X133" s="47" t="n">
        <f aca="false">MAX(0,MIN(V133-W133,$C133-(H133+L133+P133+T133)))</f>
        <v>0</v>
      </c>
      <c r="Y133" s="47" t="n">
        <f aca="false">ROUND(V133-W133-X133,2)</f>
        <v>0</v>
      </c>
      <c r="Z133" s="47" t="n">
        <f aca="false">ROUND(AC132*(1+Sorted!$H$7),2)</f>
        <v>0</v>
      </c>
      <c r="AA133" s="47" t="n">
        <f aca="false">MIN(Z133,Sorted!$G$7)</f>
        <v>0</v>
      </c>
      <c r="AB133" s="47" t="n">
        <f aca="false">MAX(0,MIN(Z133-AA133,$C133-(H133+L133+P133+T133+X133)))</f>
        <v>0</v>
      </c>
      <c r="AC133" s="47" t="n">
        <f aca="false">ROUND(Z133-AA133-AB133,2)</f>
        <v>0</v>
      </c>
      <c r="AD133" s="47" t="n">
        <f aca="false">ROUND(AG132*(1+Sorted!$H$8),2)</f>
        <v>0</v>
      </c>
      <c r="AE133" s="47" t="n">
        <f aca="false">MIN(AD133,Sorted!$G$8)</f>
        <v>0</v>
      </c>
      <c r="AF133" s="47" t="n">
        <f aca="false">MAX(0,MIN(AD133-AE133,$C133-(H133+L133+P133+T133+X133+AB133)))</f>
        <v>0</v>
      </c>
      <c r="AG133" s="47" t="n">
        <f aca="false">ROUND(AD133-AE133-AF133,2)</f>
        <v>0</v>
      </c>
      <c r="AH133" s="47" t="n">
        <f aca="false">ROUND(AK132*(1+Sorted!$H$9),2)</f>
        <v>0</v>
      </c>
      <c r="AI133" s="47" t="n">
        <f aca="false">MIN(AH133,Sorted!$G$9)</f>
        <v>0</v>
      </c>
      <c r="AJ133" s="47" t="n">
        <f aca="false">MAX(0,MIN(AH133-AI133,$C133-(H133+L133+P133+T133+X133+AB133+AF133)))</f>
        <v>0</v>
      </c>
      <c r="AK133" s="47" t="n">
        <f aca="false">ROUND(AH133-AI133-AJ133,2)</f>
        <v>0</v>
      </c>
      <c r="AL133" s="47" t="n">
        <f aca="false">ROUND(AO132*(1+Sorted!$H$10),2)</f>
        <v>0</v>
      </c>
      <c r="AM133" s="47" t="n">
        <f aca="false">MIN(AL133,Sorted!$G$10)</f>
        <v>0</v>
      </c>
      <c r="AN133" s="47" t="n">
        <f aca="false">MAX(0,MIN(AL133-AM133,$C133-(H133+L133+P133+T133+X133+AB133+AF133+AJ133)))</f>
        <v>0</v>
      </c>
      <c r="AO133" s="47" t="n">
        <f aca="false">ROUND(AL133-AM133-AN133,2)</f>
        <v>0</v>
      </c>
      <c r="AP133" s="47" t="n">
        <f aca="false">ROUND(AS132*(1+Sorted!$H$11),2)</f>
        <v>0</v>
      </c>
      <c r="AQ133" s="47" t="n">
        <f aca="false">MIN(AP133,Sorted!$G$11)</f>
        <v>0</v>
      </c>
      <c r="AR133" s="47" t="n">
        <f aca="false">MAX(0,MIN(AP133-AQ133,$C133-(H133+L133+P133+T133+X133+AB133+AF133+AJ133+AN133)))</f>
        <v>0</v>
      </c>
      <c r="AS133" s="47" t="n">
        <f aca="false">ROUND(AP133-AQ133-AR133,2)</f>
        <v>0</v>
      </c>
    </row>
    <row r="134" customFormat="false" ht="15" hidden="false" customHeight="false" outlineLevel="0" collapsed="false">
      <c r="A134" s="45" t="n">
        <v>131</v>
      </c>
      <c r="B134" s="46" t="n">
        <f aca="false">EDATE('My Debts'!$C$7,A134-1)</f>
        <v>50284</v>
      </c>
      <c r="C134" s="47" t="n">
        <f aca="false">MAX(0,'My Debts'!$E$6-(G134+K134+O134+S134+W134+AA134+AE134+AI134+AM134+AQ134))</f>
        <v>730</v>
      </c>
      <c r="D134" s="47" t="n">
        <f aca="false">(F134+J134+N134+R134+V134+Z134+AD134+AH134+AL134+AP134)-(I134+M134+Q134+U134+Y134+AC134+AG134+AK134+AO134+AS134)</f>
        <v>0</v>
      </c>
      <c r="E134" s="48" t="n">
        <f aca="false">I134+M134+Q134+U134+Y134+AC134+AG134+AK134+AO134+AS134</f>
        <v>0</v>
      </c>
      <c r="F134" s="47" t="n">
        <f aca="false">ROUND(I133*(1+Sorted!$H$2),2)</f>
        <v>0</v>
      </c>
      <c r="G134" s="47" t="n">
        <f aca="false">MIN(F134,Sorted!$G$2)</f>
        <v>0</v>
      </c>
      <c r="H134" s="47" t="n">
        <f aca="false">MAX(0,MIN(F134-G134,$C134-(0)))</f>
        <v>0</v>
      </c>
      <c r="I134" s="47" t="n">
        <f aca="false">ROUND(F134-G134-H134,2)</f>
        <v>0</v>
      </c>
      <c r="J134" s="47" t="n">
        <f aca="false">ROUND(M133*(1+Sorted!$H$3),2)</f>
        <v>0</v>
      </c>
      <c r="K134" s="47" t="n">
        <f aca="false">MIN(J134,Sorted!$G$3)</f>
        <v>0</v>
      </c>
      <c r="L134" s="47" t="n">
        <f aca="false">MAX(0,MIN(J134-K134,$C134-(H134)))</f>
        <v>0</v>
      </c>
      <c r="M134" s="47" t="n">
        <f aca="false">ROUND(J134-K134-L134,2)</f>
        <v>0</v>
      </c>
      <c r="N134" s="47" t="n">
        <f aca="false">ROUND(Q133*(1+Sorted!$H$4),2)</f>
        <v>0</v>
      </c>
      <c r="O134" s="47" t="n">
        <f aca="false">MIN(N134,Sorted!$G$4)</f>
        <v>0</v>
      </c>
      <c r="P134" s="47" t="n">
        <f aca="false">MAX(0,MIN(N134-O134,$C134-(H134+L134)))</f>
        <v>0</v>
      </c>
      <c r="Q134" s="47" t="n">
        <f aca="false">ROUND(N134-O134-P134,2)</f>
        <v>0</v>
      </c>
      <c r="R134" s="47" t="n">
        <f aca="false">ROUND(U133*(1+Sorted!$H$5),2)</f>
        <v>0</v>
      </c>
      <c r="S134" s="47" t="n">
        <f aca="false">MIN(R134,Sorted!$G$5)</f>
        <v>0</v>
      </c>
      <c r="T134" s="47" t="n">
        <f aca="false">MAX(0,MIN(R134-S134,$C134-(H134+L134+P134)))</f>
        <v>0</v>
      </c>
      <c r="U134" s="47" t="n">
        <f aca="false">ROUND(R134-S134-T134,2)</f>
        <v>0</v>
      </c>
      <c r="V134" s="47" t="n">
        <f aca="false">ROUND(Y133*(1+Sorted!$H$6),2)</f>
        <v>0</v>
      </c>
      <c r="W134" s="47" t="n">
        <f aca="false">MIN(V134,Sorted!$G$6)</f>
        <v>0</v>
      </c>
      <c r="X134" s="47" t="n">
        <f aca="false">MAX(0,MIN(V134-W134,$C134-(H134+L134+P134+T134)))</f>
        <v>0</v>
      </c>
      <c r="Y134" s="47" t="n">
        <f aca="false">ROUND(V134-W134-X134,2)</f>
        <v>0</v>
      </c>
      <c r="Z134" s="47" t="n">
        <f aca="false">ROUND(AC133*(1+Sorted!$H$7),2)</f>
        <v>0</v>
      </c>
      <c r="AA134" s="47" t="n">
        <f aca="false">MIN(Z134,Sorted!$G$7)</f>
        <v>0</v>
      </c>
      <c r="AB134" s="47" t="n">
        <f aca="false">MAX(0,MIN(Z134-AA134,$C134-(H134+L134+P134+T134+X134)))</f>
        <v>0</v>
      </c>
      <c r="AC134" s="47" t="n">
        <f aca="false">ROUND(Z134-AA134-AB134,2)</f>
        <v>0</v>
      </c>
      <c r="AD134" s="47" t="n">
        <f aca="false">ROUND(AG133*(1+Sorted!$H$8),2)</f>
        <v>0</v>
      </c>
      <c r="AE134" s="47" t="n">
        <f aca="false">MIN(AD134,Sorted!$G$8)</f>
        <v>0</v>
      </c>
      <c r="AF134" s="47" t="n">
        <f aca="false">MAX(0,MIN(AD134-AE134,$C134-(H134+L134+P134+T134+X134+AB134)))</f>
        <v>0</v>
      </c>
      <c r="AG134" s="47" t="n">
        <f aca="false">ROUND(AD134-AE134-AF134,2)</f>
        <v>0</v>
      </c>
      <c r="AH134" s="47" t="n">
        <f aca="false">ROUND(AK133*(1+Sorted!$H$9),2)</f>
        <v>0</v>
      </c>
      <c r="AI134" s="47" t="n">
        <f aca="false">MIN(AH134,Sorted!$G$9)</f>
        <v>0</v>
      </c>
      <c r="AJ134" s="47" t="n">
        <f aca="false">MAX(0,MIN(AH134-AI134,$C134-(H134+L134+P134+T134+X134+AB134+AF134)))</f>
        <v>0</v>
      </c>
      <c r="AK134" s="47" t="n">
        <f aca="false">ROUND(AH134-AI134-AJ134,2)</f>
        <v>0</v>
      </c>
      <c r="AL134" s="47" t="n">
        <f aca="false">ROUND(AO133*(1+Sorted!$H$10),2)</f>
        <v>0</v>
      </c>
      <c r="AM134" s="47" t="n">
        <f aca="false">MIN(AL134,Sorted!$G$10)</f>
        <v>0</v>
      </c>
      <c r="AN134" s="47" t="n">
        <f aca="false">MAX(0,MIN(AL134-AM134,$C134-(H134+L134+P134+T134+X134+AB134+AF134+AJ134)))</f>
        <v>0</v>
      </c>
      <c r="AO134" s="47" t="n">
        <f aca="false">ROUND(AL134-AM134-AN134,2)</f>
        <v>0</v>
      </c>
      <c r="AP134" s="47" t="n">
        <f aca="false">ROUND(AS133*(1+Sorted!$H$11),2)</f>
        <v>0</v>
      </c>
      <c r="AQ134" s="47" t="n">
        <f aca="false">MIN(AP134,Sorted!$G$11)</f>
        <v>0</v>
      </c>
      <c r="AR134" s="47" t="n">
        <f aca="false">MAX(0,MIN(AP134-AQ134,$C134-(H134+L134+P134+T134+X134+AB134+AF134+AJ134+AN134)))</f>
        <v>0</v>
      </c>
      <c r="AS134" s="47" t="n">
        <f aca="false">ROUND(AP134-AQ134-AR134,2)</f>
        <v>0</v>
      </c>
    </row>
    <row r="135" customFormat="false" ht="15" hidden="false" customHeight="false" outlineLevel="0" collapsed="false">
      <c r="A135" s="45" t="n">
        <v>132</v>
      </c>
      <c r="B135" s="46" t="n">
        <f aca="false">EDATE('My Debts'!$C$7,A135-1)</f>
        <v>50314</v>
      </c>
      <c r="C135" s="47" t="n">
        <f aca="false">MAX(0,'My Debts'!$E$6-(G135+K135+O135+S135+W135+AA135+AE135+AI135+AM135+AQ135))</f>
        <v>730</v>
      </c>
      <c r="D135" s="47" t="n">
        <f aca="false">(F135+J135+N135+R135+V135+Z135+AD135+AH135+AL135+AP135)-(I135+M135+Q135+U135+Y135+AC135+AG135+AK135+AO135+AS135)</f>
        <v>0</v>
      </c>
      <c r="E135" s="48" t="n">
        <f aca="false">I135+M135+Q135+U135+Y135+AC135+AG135+AK135+AO135+AS135</f>
        <v>0</v>
      </c>
      <c r="F135" s="47" t="n">
        <f aca="false">ROUND(I134*(1+Sorted!$H$2),2)</f>
        <v>0</v>
      </c>
      <c r="G135" s="47" t="n">
        <f aca="false">MIN(F135,Sorted!$G$2)</f>
        <v>0</v>
      </c>
      <c r="H135" s="47" t="n">
        <f aca="false">MAX(0,MIN(F135-G135,$C135-(0)))</f>
        <v>0</v>
      </c>
      <c r="I135" s="47" t="n">
        <f aca="false">ROUND(F135-G135-H135,2)</f>
        <v>0</v>
      </c>
      <c r="J135" s="47" t="n">
        <f aca="false">ROUND(M134*(1+Sorted!$H$3),2)</f>
        <v>0</v>
      </c>
      <c r="K135" s="47" t="n">
        <f aca="false">MIN(J135,Sorted!$G$3)</f>
        <v>0</v>
      </c>
      <c r="L135" s="47" t="n">
        <f aca="false">MAX(0,MIN(J135-K135,$C135-(H135)))</f>
        <v>0</v>
      </c>
      <c r="M135" s="47" t="n">
        <f aca="false">ROUND(J135-K135-L135,2)</f>
        <v>0</v>
      </c>
      <c r="N135" s="47" t="n">
        <f aca="false">ROUND(Q134*(1+Sorted!$H$4),2)</f>
        <v>0</v>
      </c>
      <c r="O135" s="47" t="n">
        <f aca="false">MIN(N135,Sorted!$G$4)</f>
        <v>0</v>
      </c>
      <c r="P135" s="47" t="n">
        <f aca="false">MAX(0,MIN(N135-O135,$C135-(H135+L135)))</f>
        <v>0</v>
      </c>
      <c r="Q135" s="47" t="n">
        <f aca="false">ROUND(N135-O135-P135,2)</f>
        <v>0</v>
      </c>
      <c r="R135" s="47" t="n">
        <f aca="false">ROUND(U134*(1+Sorted!$H$5),2)</f>
        <v>0</v>
      </c>
      <c r="S135" s="47" t="n">
        <f aca="false">MIN(R135,Sorted!$G$5)</f>
        <v>0</v>
      </c>
      <c r="T135" s="47" t="n">
        <f aca="false">MAX(0,MIN(R135-S135,$C135-(H135+L135+P135)))</f>
        <v>0</v>
      </c>
      <c r="U135" s="47" t="n">
        <f aca="false">ROUND(R135-S135-T135,2)</f>
        <v>0</v>
      </c>
      <c r="V135" s="47" t="n">
        <f aca="false">ROUND(Y134*(1+Sorted!$H$6),2)</f>
        <v>0</v>
      </c>
      <c r="W135" s="47" t="n">
        <f aca="false">MIN(V135,Sorted!$G$6)</f>
        <v>0</v>
      </c>
      <c r="X135" s="47" t="n">
        <f aca="false">MAX(0,MIN(V135-W135,$C135-(H135+L135+P135+T135)))</f>
        <v>0</v>
      </c>
      <c r="Y135" s="47" t="n">
        <f aca="false">ROUND(V135-W135-X135,2)</f>
        <v>0</v>
      </c>
      <c r="Z135" s="47" t="n">
        <f aca="false">ROUND(AC134*(1+Sorted!$H$7),2)</f>
        <v>0</v>
      </c>
      <c r="AA135" s="47" t="n">
        <f aca="false">MIN(Z135,Sorted!$G$7)</f>
        <v>0</v>
      </c>
      <c r="AB135" s="47" t="n">
        <f aca="false">MAX(0,MIN(Z135-AA135,$C135-(H135+L135+P135+T135+X135)))</f>
        <v>0</v>
      </c>
      <c r="AC135" s="47" t="n">
        <f aca="false">ROUND(Z135-AA135-AB135,2)</f>
        <v>0</v>
      </c>
      <c r="AD135" s="47" t="n">
        <f aca="false">ROUND(AG134*(1+Sorted!$H$8),2)</f>
        <v>0</v>
      </c>
      <c r="AE135" s="47" t="n">
        <f aca="false">MIN(AD135,Sorted!$G$8)</f>
        <v>0</v>
      </c>
      <c r="AF135" s="47" t="n">
        <f aca="false">MAX(0,MIN(AD135-AE135,$C135-(H135+L135+P135+T135+X135+AB135)))</f>
        <v>0</v>
      </c>
      <c r="AG135" s="47" t="n">
        <f aca="false">ROUND(AD135-AE135-AF135,2)</f>
        <v>0</v>
      </c>
      <c r="AH135" s="47" t="n">
        <f aca="false">ROUND(AK134*(1+Sorted!$H$9),2)</f>
        <v>0</v>
      </c>
      <c r="AI135" s="47" t="n">
        <f aca="false">MIN(AH135,Sorted!$G$9)</f>
        <v>0</v>
      </c>
      <c r="AJ135" s="47" t="n">
        <f aca="false">MAX(0,MIN(AH135-AI135,$C135-(H135+L135+P135+T135+X135+AB135+AF135)))</f>
        <v>0</v>
      </c>
      <c r="AK135" s="47" t="n">
        <f aca="false">ROUND(AH135-AI135-AJ135,2)</f>
        <v>0</v>
      </c>
      <c r="AL135" s="47" t="n">
        <f aca="false">ROUND(AO134*(1+Sorted!$H$10),2)</f>
        <v>0</v>
      </c>
      <c r="AM135" s="47" t="n">
        <f aca="false">MIN(AL135,Sorted!$G$10)</f>
        <v>0</v>
      </c>
      <c r="AN135" s="47" t="n">
        <f aca="false">MAX(0,MIN(AL135-AM135,$C135-(H135+L135+P135+T135+X135+AB135+AF135+AJ135)))</f>
        <v>0</v>
      </c>
      <c r="AO135" s="47" t="n">
        <f aca="false">ROUND(AL135-AM135-AN135,2)</f>
        <v>0</v>
      </c>
      <c r="AP135" s="47" t="n">
        <f aca="false">ROUND(AS134*(1+Sorted!$H$11),2)</f>
        <v>0</v>
      </c>
      <c r="AQ135" s="47" t="n">
        <f aca="false">MIN(AP135,Sorted!$G$11)</f>
        <v>0</v>
      </c>
      <c r="AR135" s="47" t="n">
        <f aca="false">MAX(0,MIN(AP135-AQ135,$C135-(H135+L135+P135+T135+X135+AB135+AF135+AJ135+AN135)))</f>
        <v>0</v>
      </c>
      <c r="AS135" s="47" t="n">
        <f aca="false">ROUND(AP135-AQ135-AR135,2)</f>
        <v>0</v>
      </c>
    </row>
    <row r="136" customFormat="false" ht="15" hidden="false" customHeight="false" outlineLevel="0" collapsed="false">
      <c r="A136" s="45" t="n">
        <v>133</v>
      </c>
      <c r="B136" s="46" t="n">
        <f aca="false">EDATE('My Debts'!$C$7,A136-1)</f>
        <v>50345</v>
      </c>
      <c r="C136" s="47" t="n">
        <f aca="false">MAX(0,'My Debts'!$E$6-(G136+K136+O136+S136+W136+AA136+AE136+AI136+AM136+AQ136))</f>
        <v>730</v>
      </c>
      <c r="D136" s="47" t="n">
        <f aca="false">(F136+J136+N136+R136+V136+Z136+AD136+AH136+AL136+AP136)-(I136+M136+Q136+U136+Y136+AC136+AG136+AK136+AO136+AS136)</f>
        <v>0</v>
      </c>
      <c r="E136" s="48" t="n">
        <f aca="false">I136+M136+Q136+U136+Y136+AC136+AG136+AK136+AO136+AS136</f>
        <v>0</v>
      </c>
      <c r="F136" s="47" t="n">
        <f aca="false">ROUND(I135*(1+Sorted!$H$2),2)</f>
        <v>0</v>
      </c>
      <c r="G136" s="47" t="n">
        <f aca="false">MIN(F136,Sorted!$G$2)</f>
        <v>0</v>
      </c>
      <c r="H136" s="47" t="n">
        <f aca="false">MAX(0,MIN(F136-G136,$C136-(0)))</f>
        <v>0</v>
      </c>
      <c r="I136" s="47" t="n">
        <f aca="false">ROUND(F136-G136-H136,2)</f>
        <v>0</v>
      </c>
      <c r="J136" s="47" t="n">
        <f aca="false">ROUND(M135*(1+Sorted!$H$3),2)</f>
        <v>0</v>
      </c>
      <c r="K136" s="47" t="n">
        <f aca="false">MIN(J136,Sorted!$G$3)</f>
        <v>0</v>
      </c>
      <c r="L136" s="47" t="n">
        <f aca="false">MAX(0,MIN(J136-K136,$C136-(H136)))</f>
        <v>0</v>
      </c>
      <c r="M136" s="47" t="n">
        <f aca="false">ROUND(J136-K136-L136,2)</f>
        <v>0</v>
      </c>
      <c r="N136" s="47" t="n">
        <f aca="false">ROUND(Q135*(1+Sorted!$H$4),2)</f>
        <v>0</v>
      </c>
      <c r="O136" s="47" t="n">
        <f aca="false">MIN(N136,Sorted!$G$4)</f>
        <v>0</v>
      </c>
      <c r="P136" s="47" t="n">
        <f aca="false">MAX(0,MIN(N136-O136,$C136-(H136+L136)))</f>
        <v>0</v>
      </c>
      <c r="Q136" s="47" t="n">
        <f aca="false">ROUND(N136-O136-P136,2)</f>
        <v>0</v>
      </c>
      <c r="R136" s="47" t="n">
        <f aca="false">ROUND(U135*(1+Sorted!$H$5),2)</f>
        <v>0</v>
      </c>
      <c r="S136" s="47" t="n">
        <f aca="false">MIN(R136,Sorted!$G$5)</f>
        <v>0</v>
      </c>
      <c r="T136" s="47" t="n">
        <f aca="false">MAX(0,MIN(R136-S136,$C136-(H136+L136+P136)))</f>
        <v>0</v>
      </c>
      <c r="U136" s="47" t="n">
        <f aca="false">ROUND(R136-S136-T136,2)</f>
        <v>0</v>
      </c>
      <c r="V136" s="47" t="n">
        <f aca="false">ROUND(Y135*(1+Sorted!$H$6),2)</f>
        <v>0</v>
      </c>
      <c r="W136" s="47" t="n">
        <f aca="false">MIN(V136,Sorted!$G$6)</f>
        <v>0</v>
      </c>
      <c r="X136" s="47" t="n">
        <f aca="false">MAX(0,MIN(V136-W136,$C136-(H136+L136+P136+T136)))</f>
        <v>0</v>
      </c>
      <c r="Y136" s="47" t="n">
        <f aca="false">ROUND(V136-W136-X136,2)</f>
        <v>0</v>
      </c>
      <c r="Z136" s="47" t="n">
        <f aca="false">ROUND(AC135*(1+Sorted!$H$7),2)</f>
        <v>0</v>
      </c>
      <c r="AA136" s="47" t="n">
        <f aca="false">MIN(Z136,Sorted!$G$7)</f>
        <v>0</v>
      </c>
      <c r="AB136" s="47" t="n">
        <f aca="false">MAX(0,MIN(Z136-AA136,$C136-(H136+L136+P136+T136+X136)))</f>
        <v>0</v>
      </c>
      <c r="AC136" s="47" t="n">
        <f aca="false">ROUND(Z136-AA136-AB136,2)</f>
        <v>0</v>
      </c>
      <c r="AD136" s="47" t="n">
        <f aca="false">ROUND(AG135*(1+Sorted!$H$8),2)</f>
        <v>0</v>
      </c>
      <c r="AE136" s="47" t="n">
        <f aca="false">MIN(AD136,Sorted!$G$8)</f>
        <v>0</v>
      </c>
      <c r="AF136" s="47" t="n">
        <f aca="false">MAX(0,MIN(AD136-AE136,$C136-(H136+L136+P136+T136+X136+AB136)))</f>
        <v>0</v>
      </c>
      <c r="AG136" s="47" t="n">
        <f aca="false">ROUND(AD136-AE136-AF136,2)</f>
        <v>0</v>
      </c>
      <c r="AH136" s="47" t="n">
        <f aca="false">ROUND(AK135*(1+Sorted!$H$9),2)</f>
        <v>0</v>
      </c>
      <c r="AI136" s="47" t="n">
        <f aca="false">MIN(AH136,Sorted!$G$9)</f>
        <v>0</v>
      </c>
      <c r="AJ136" s="47" t="n">
        <f aca="false">MAX(0,MIN(AH136-AI136,$C136-(H136+L136+P136+T136+X136+AB136+AF136)))</f>
        <v>0</v>
      </c>
      <c r="AK136" s="47" t="n">
        <f aca="false">ROUND(AH136-AI136-AJ136,2)</f>
        <v>0</v>
      </c>
      <c r="AL136" s="47" t="n">
        <f aca="false">ROUND(AO135*(1+Sorted!$H$10),2)</f>
        <v>0</v>
      </c>
      <c r="AM136" s="47" t="n">
        <f aca="false">MIN(AL136,Sorted!$G$10)</f>
        <v>0</v>
      </c>
      <c r="AN136" s="47" t="n">
        <f aca="false">MAX(0,MIN(AL136-AM136,$C136-(H136+L136+P136+T136+X136+AB136+AF136+AJ136)))</f>
        <v>0</v>
      </c>
      <c r="AO136" s="47" t="n">
        <f aca="false">ROUND(AL136-AM136-AN136,2)</f>
        <v>0</v>
      </c>
      <c r="AP136" s="47" t="n">
        <f aca="false">ROUND(AS135*(1+Sorted!$H$11),2)</f>
        <v>0</v>
      </c>
      <c r="AQ136" s="47" t="n">
        <f aca="false">MIN(AP136,Sorted!$G$11)</f>
        <v>0</v>
      </c>
      <c r="AR136" s="47" t="n">
        <f aca="false">MAX(0,MIN(AP136-AQ136,$C136-(H136+L136+P136+T136+X136+AB136+AF136+AJ136+AN136)))</f>
        <v>0</v>
      </c>
      <c r="AS136" s="47" t="n">
        <f aca="false">ROUND(AP136-AQ136-AR136,2)</f>
        <v>0</v>
      </c>
    </row>
    <row r="137" customFormat="false" ht="15" hidden="false" customHeight="false" outlineLevel="0" collapsed="false">
      <c r="A137" s="45" t="n">
        <v>134</v>
      </c>
      <c r="B137" s="46" t="n">
        <f aca="false">EDATE('My Debts'!$C$7,A137-1)</f>
        <v>50375</v>
      </c>
      <c r="C137" s="47" t="n">
        <f aca="false">MAX(0,'My Debts'!$E$6-(G137+K137+O137+S137+W137+AA137+AE137+AI137+AM137+AQ137))</f>
        <v>730</v>
      </c>
      <c r="D137" s="47" t="n">
        <f aca="false">(F137+J137+N137+R137+V137+Z137+AD137+AH137+AL137+AP137)-(I137+M137+Q137+U137+Y137+AC137+AG137+AK137+AO137+AS137)</f>
        <v>0</v>
      </c>
      <c r="E137" s="48" t="n">
        <f aca="false">I137+M137+Q137+U137+Y137+AC137+AG137+AK137+AO137+AS137</f>
        <v>0</v>
      </c>
      <c r="F137" s="47" t="n">
        <f aca="false">ROUND(I136*(1+Sorted!$H$2),2)</f>
        <v>0</v>
      </c>
      <c r="G137" s="47" t="n">
        <f aca="false">MIN(F137,Sorted!$G$2)</f>
        <v>0</v>
      </c>
      <c r="H137" s="47" t="n">
        <f aca="false">MAX(0,MIN(F137-G137,$C137-(0)))</f>
        <v>0</v>
      </c>
      <c r="I137" s="47" t="n">
        <f aca="false">ROUND(F137-G137-H137,2)</f>
        <v>0</v>
      </c>
      <c r="J137" s="47" t="n">
        <f aca="false">ROUND(M136*(1+Sorted!$H$3),2)</f>
        <v>0</v>
      </c>
      <c r="K137" s="47" t="n">
        <f aca="false">MIN(J137,Sorted!$G$3)</f>
        <v>0</v>
      </c>
      <c r="L137" s="47" t="n">
        <f aca="false">MAX(0,MIN(J137-K137,$C137-(H137)))</f>
        <v>0</v>
      </c>
      <c r="M137" s="47" t="n">
        <f aca="false">ROUND(J137-K137-L137,2)</f>
        <v>0</v>
      </c>
      <c r="N137" s="47" t="n">
        <f aca="false">ROUND(Q136*(1+Sorted!$H$4),2)</f>
        <v>0</v>
      </c>
      <c r="O137" s="47" t="n">
        <f aca="false">MIN(N137,Sorted!$G$4)</f>
        <v>0</v>
      </c>
      <c r="P137" s="47" t="n">
        <f aca="false">MAX(0,MIN(N137-O137,$C137-(H137+L137)))</f>
        <v>0</v>
      </c>
      <c r="Q137" s="47" t="n">
        <f aca="false">ROUND(N137-O137-P137,2)</f>
        <v>0</v>
      </c>
      <c r="R137" s="47" t="n">
        <f aca="false">ROUND(U136*(1+Sorted!$H$5),2)</f>
        <v>0</v>
      </c>
      <c r="S137" s="47" t="n">
        <f aca="false">MIN(R137,Sorted!$G$5)</f>
        <v>0</v>
      </c>
      <c r="T137" s="47" t="n">
        <f aca="false">MAX(0,MIN(R137-S137,$C137-(H137+L137+P137)))</f>
        <v>0</v>
      </c>
      <c r="U137" s="47" t="n">
        <f aca="false">ROUND(R137-S137-T137,2)</f>
        <v>0</v>
      </c>
      <c r="V137" s="47" t="n">
        <f aca="false">ROUND(Y136*(1+Sorted!$H$6),2)</f>
        <v>0</v>
      </c>
      <c r="W137" s="47" t="n">
        <f aca="false">MIN(V137,Sorted!$G$6)</f>
        <v>0</v>
      </c>
      <c r="X137" s="47" t="n">
        <f aca="false">MAX(0,MIN(V137-W137,$C137-(H137+L137+P137+T137)))</f>
        <v>0</v>
      </c>
      <c r="Y137" s="47" t="n">
        <f aca="false">ROUND(V137-W137-X137,2)</f>
        <v>0</v>
      </c>
      <c r="Z137" s="47" t="n">
        <f aca="false">ROUND(AC136*(1+Sorted!$H$7),2)</f>
        <v>0</v>
      </c>
      <c r="AA137" s="47" t="n">
        <f aca="false">MIN(Z137,Sorted!$G$7)</f>
        <v>0</v>
      </c>
      <c r="AB137" s="47" t="n">
        <f aca="false">MAX(0,MIN(Z137-AA137,$C137-(H137+L137+P137+T137+X137)))</f>
        <v>0</v>
      </c>
      <c r="AC137" s="47" t="n">
        <f aca="false">ROUND(Z137-AA137-AB137,2)</f>
        <v>0</v>
      </c>
      <c r="AD137" s="47" t="n">
        <f aca="false">ROUND(AG136*(1+Sorted!$H$8),2)</f>
        <v>0</v>
      </c>
      <c r="AE137" s="47" t="n">
        <f aca="false">MIN(AD137,Sorted!$G$8)</f>
        <v>0</v>
      </c>
      <c r="AF137" s="47" t="n">
        <f aca="false">MAX(0,MIN(AD137-AE137,$C137-(H137+L137+P137+T137+X137+AB137)))</f>
        <v>0</v>
      </c>
      <c r="AG137" s="47" t="n">
        <f aca="false">ROUND(AD137-AE137-AF137,2)</f>
        <v>0</v>
      </c>
      <c r="AH137" s="47" t="n">
        <f aca="false">ROUND(AK136*(1+Sorted!$H$9),2)</f>
        <v>0</v>
      </c>
      <c r="AI137" s="47" t="n">
        <f aca="false">MIN(AH137,Sorted!$G$9)</f>
        <v>0</v>
      </c>
      <c r="AJ137" s="47" t="n">
        <f aca="false">MAX(0,MIN(AH137-AI137,$C137-(H137+L137+P137+T137+X137+AB137+AF137)))</f>
        <v>0</v>
      </c>
      <c r="AK137" s="47" t="n">
        <f aca="false">ROUND(AH137-AI137-AJ137,2)</f>
        <v>0</v>
      </c>
      <c r="AL137" s="47" t="n">
        <f aca="false">ROUND(AO136*(1+Sorted!$H$10),2)</f>
        <v>0</v>
      </c>
      <c r="AM137" s="47" t="n">
        <f aca="false">MIN(AL137,Sorted!$G$10)</f>
        <v>0</v>
      </c>
      <c r="AN137" s="47" t="n">
        <f aca="false">MAX(0,MIN(AL137-AM137,$C137-(H137+L137+P137+T137+X137+AB137+AF137+AJ137)))</f>
        <v>0</v>
      </c>
      <c r="AO137" s="47" t="n">
        <f aca="false">ROUND(AL137-AM137-AN137,2)</f>
        <v>0</v>
      </c>
      <c r="AP137" s="47" t="n">
        <f aca="false">ROUND(AS136*(1+Sorted!$H$11),2)</f>
        <v>0</v>
      </c>
      <c r="AQ137" s="47" t="n">
        <f aca="false">MIN(AP137,Sorted!$G$11)</f>
        <v>0</v>
      </c>
      <c r="AR137" s="47" t="n">
        <f aca="false">MAX(0,MIN(AP137-AQ137,$C137-(H137+L137+P137+T137+X137+AB137+AF137+AJ137+AN137)))</f>
        <v>0</v>
      </c>
      <c r="AS137" s="47" t="n">
        <f aca="false">ROUND(AP137-AQ137-AR137,2)</f>
        <v>0</v>
      </c>
    </row>
    <row r="138" customFormat="false" ht="15" hidden="false" customHeight="false" outlineLevel="0" collapsed="false">
      <c r="A138" s="45" t="n">
        <v>135</v>
      </c>
      <c r="B138" s="46" t="n">
        <f aca="false">EDATE('My Debts'!$C$7,A138-1)</f>
        <v>50406</v>
      </c>
      <c r="C138" s="47" t="n">
        <f aca="false">MAX(0,'My Debts'!$E$6-(G138+K138+O138+S138+W138+AA138+AE138+AI138+AM138+AQ138))</f>
        <v>730</v>
      </c>
      <c r="D138" s="47" t="n">
        <f aca="false">(F138+J138+N138+R138+V138+Z138+AD138+AH138+AL138+AP138)-(I138+M138+Q138+U138+Y138+AC138+AG138+AK138+AO138+AS138)</f>
        <v>0</v>
      </c>
      <c r="E138" s="48" t="n">
        <f aca="false">I138+M138+Q138+U138+Y138+AC138+AG138+AK138+AO138+AS138</f>
        <v>0</v>
      </c>
      <c r="F138" s="47" t="n">
        <f aca="false">ROUND(I137*(1+Sorted!$H$2),2)</f>
        <v>0</v>
      </c>
      <c r="G138" s="47" t="n">
        <f aca="false">MIN(F138,Sorted!$G$2)</f>
        <v>0</v>
      </c>
      <c r="H138" s="47" t="n">
        <f aca="false">MAX(0,MIN(F138-G138,$C138-(0)))</f>
        <v>0</v>
      </c>
      <c r="I138" s="47" t="n">
        <f aca="false">ROUND(F138-G138-H138,2)</f>
        <v>0</v>
      </c>
      <c r="J138" s="47" t="n">
        <f aca="false">ROUND(M137*(1+Sorted!$H$3),2)</f>
        <v>0</v>
      </c>
      <c r="K138" s="47" t="n">
        <f aca="false">MIN(J138,Sorted!$G$3)</f>
        <v>0</v>
      </c>
      <c r="L138" s="47" t="n">
        <f aca="false">MAX(0,MIN(J138-K138,$C138-(H138)))</f>
        <v>0</v>
      </c>
      <c r="M138" s="47" t="n">
        <f aca="false">ROUND(J138-K138-L138,2)</f>
        <v>0</v>
      </c>
      <c r="N138" s="47" t="n">
        <f aca="false">ROUND(Q137*(1+Sorted!$H$4),2)</f>
        <v>0</v>
      </c>
      <c r="O138" s="47" t="n">
        <f aca="false">MIN(N138,Sorted!$G$4)</f>
        <v>0</v>
      </c>
      <c r="P138" s="47" t="n">
        <f aca="false">MAX(0,MIN(N138-O138,$C138-(H138+L138)))</f>
        <v>0</v>
      </c>
      <c r="Q138" s="47" t="n">
        <f aca="false">ROUND(N138-O138-P138,2)</f>
        <v>0</v>
      </c>
      <c r="R138" s="47" t="n">
        <f aca="false">ROUND(U137*(1+Sorted!$H$5),2)</f>
        <v>0</v>
      </c>
      <c r="S138" s="47" t="n">
        <f aca="false">MIN(R138,Sorted!$G$5)</f>
        <v>0</v>
      </c>
      <c r="T138" s="47" t="n">
        <f aca="false">MAX(0,MIN(R138-S138,$C138-(H138+L138+P138)))</f>
        <v>0</v>
      </c>
      <c r="U138" s="47" t="n">
        <f aca="false">ROUND(R138-S138-T138,2)</f>
        <v>0</v>
      </c>
      <c r="V138" s="47" t="n">
        <f aca="false">ROUND(Y137*(1+Sorted!$H$6),2)</f>
        <v>0</v>
      </c>
      <c r="W138" s="47" t="n">
        <f aca="false">MIN(V138,Sorted!$G$6)</f>
        <v>0</v>
      </c>
      <c r="X138" s="47" t="n">
        <f aca="false">MAX(0,MIN(V138-W138,$C138-(H138+L138+P138+T138)))</f>
        <v>0</v>
      </c>
      <c r="Y138" s="47" t="n">
        <f aca="false">ROUND(V138-W138-X138,2)</f>
        <v>0</v>
      </c>
      <c r="Z138" s="47" t="n">
        <f aca="false">ROUND(AC137*(1+Sorted!$H$7),2)</f>
        <v>0</v>
      </c>
      <c r="AA138" s="47" t="n">
        <f aca="false">MIN(Z138,Sorted!$G$7)</f>
        <v>0</v>
      </c>
      <c r="AB138" s="47" t="n">
        <f aca="false">MAX(0,MIN(Z138-AA138,$C138-(H138+L138+P138+T138+X138)))</f>
        <v>0</v>
      </c>
      <c r="AC138" s="47" t="n">
        <f aca="false">ROUND(Z138-AA138-AB138,2)</f>
        <v>0</v>
      </c>
      <c r="AD138" s="47" t="n">
        <f aca="false">ROUND(AG137*(1+Sorted!$H$8),2)</f>
        <v>0</v>
      </c>
      <c r="AE138" s="47" t="n">
        <f aca="false">MIN(AD138,Sorted!$G$8)</f>
        <v>0</v>
      </c>
      <c r="AF138" s="47" t="n">
        <f aca="false">MAX(0,MIN(AD138-AE138,$C138-(H138+L138+P138+T138+X138+AB138)))</f>
        <v>0</v>
      </c>
      <c r="AG138" s="47" t="n">
        <f aca="false">ROUND(AD138-AE138-AF138,2)</f>
        <v>0</v>
      </c>
      <c r="AH138" s="47" t="n">
        <f aca="false">ROUND(AK137*(1+Sorted!$H$9),2)</f>
        <v>0</v>
      </c>
      <c r="AI138" s="47" t="n">
        <f aca="false">MIN(AH138,Sorted!$G$9)</f>
        <v>0</v>
      </c>
      <c r="AJ138" s="47" t="n">
        <f aca="false">MAX(0,MIN(AH138-AI138,$C138-(H138+L138+P138+T138+X138+AB138+AF138)))</f>
        <v>0</v>
      </c>
      <c r="AK138" s="47" t="n">
        <f aca="false">ROUND(AH138-AI138-AJ138,2)</f>
        <v>0</v>
      </c>
      <c r="AL138" s="47" t="n">
        <f aca="false">ROUND(AO137*(1+Sorted!$H$10),2)</f>
        <v>0</v>
      </c>
      <c r="AM138" s="47" t="n">
        <f aca="false">MIN(AL138,Sorted!$G$10)</f>
        <v>0</v>
      </c>
      <c r="AN138" s="47" t="n">
        <f aca="false">MAX(0,MIN(AL138-AM138,$C138-(H138+L138+P138+T138+X138+AB138+AF138+AJ138)))</f>
        <v>0</v>
      </c>
      <c r="AO138" s="47" t="n">
        <f aca="false">ROUND(AL138-AM138-AN138,2)</f>
        <v>0</v>
      </c>
      <c r="AP138" s="47" t="n">
        <f aca="false">ROUND(AS137*(1+Sorted!$H$11),2)</f>
        <v>0</v>
      </c>
      <c r="AQ138" s="47" t="n">
        <f aca="false">MIN(AP138,Sorted!$G$11)</f>
        <v>0</v>
      </c>
      <c r="AR138" s="47" t="n">
        <f aca="false">MAX(0,MIN(AP138-AQ138,$C138-(H138+L138+P138+T138+X138+AB138+AF138+AJ138+AN138)))</f>
        <v>0</v>
      </c>
      <c r="AS138" s="47" t="n">
        <f aca="false">ROUND(AP138-AQ138-AR138,2)</f>
        <v>0</v>
      </c>
    </row>
    <row r="139" customFormat="false" ht="15" hidden="false" customHeight="false" outlineLevel="0" collapsed="false">
      <c r="A139" s="45" t="n">
        <v>136</v>
      </c>
      <c r="B139" s="46" t="n">
        <f aca="false">EDATE('My Debts'!$C$7,A139-1)</f>
        <v>50437</v>
      </c>
      <c r="C139" s="47" t="n">
        <f aca="false">MAX(0,'My Debts'!$E$6-(G139+K139+O139+S139+W139+AA139+AE139+AI139+AM139+AQ139))</f>
        <v>730</v>
      </c>
      <c r="D139" s="47" t="n">
        <f aca="false">(F139+J139+N139+R139+V139+Z139+AD139+AH139+AL139+AP139)-(I139+M139+Q139+U139+Y139+AC139+AG139+AK139+AO139+AS139)</f>
        <v>0</v>
      </c>
      <c r="E139" s="48" t="n">
        <f aca="false">I139+M139+Q139+U139+Y139+AC139+AG139+AK139+AO139+AS139</f>
        <v>0</v>
      </c>
      <c r="F139" s="47" t="n">
        <f aca="false">ROUND(I138*(1+Sorted!$H$2),2)</f>
        <v>0</v>
      </c>
      <c r="G139" s="47" t="n">
        <f aca="false">MIN(F139,Sorted!$G$2)</f>
        <v>0</v>
      </c>
      <c r="H139" s="47" t="n">
        <f aca="false">MAX(0,MIN(F139-G139,$C139-(0)))</f>
        <v>0</v>
      </c>
      <c r="I139" s="47" t="n">
        <f aca="false">ROUND(F139-G139-H139,2)</f>
        <v>0</v>
      </c>
      <c r="J139" s="47" t="n">
        <f aca="false">ROUND(M138*(1+Sorted!$H$3),2)</f>
        <v>0</v>
      </c>
      <c r="K139" s="47" t="n">
        <f aca="false">MIN(J139,Sorted!$G$3)</f>
        <v>0</v>
      </c>
      <c r="L139" s="47" t="n">
        <f aca="false">MAX(0,MIN(J139-K139,$C139-(H139)))</f>
        <v>0</v>
      </c>
      <c r="M139" s="47" t="n">
        <f aca="false">ROUND(J139-K139-L139,2)</f>
        <v>0</v>
      </c>
      <c r="N139" s="47" t="n">
        <f aca="false">ROUND(Q138*(1+Sorted!$H$4),2)</f>
        <v>0</v>
      </c>
      <c r="O139" s="47" t="n">
        <f aca="false">MIN(N139,Sorted!$G$4)</f>
        <v>0</v>
      </c>
      <c r="P139" s="47" t="n">
        <f aca="false">MAX(0,MIN(N139-O139,$C139-(H139+L139)))</f>
        <v>0</v>
      </c>
      <c r="Q139" s="47" t="n">
        <f aca="false">ROUND(N139-O139-P139,2)</f>
        <v>0</v>
      </c>
      <c r="R139" s="47" t="n">
        <f aca="false">ROUND(U138*(1+Sorted!$H$5),2)</f>
        <v>0</v>
      </c>
      <c r="S139" s="47" t="n">
        <f aca="false">MIN(R139,Sorted!$G$5)</f>
        <v>0</v>
      </c>
      <c r="T139" s="47" t="n">
        <f aca="false">MAX(0,MIN(R139-S139,$C139-(H139+L139+P139)))</f>
        <v>0</v>
      </c>
      <c r="U139" s="47" t="n">
        <f aca="false">ROUND(R139-S139-T139,2)</f>
        <v>0</v>
      </c>
      <c r="V139" s="47" t="n">
        <f aca="false">ROUND(Y138*(1+Sorted!$H$6),2)</f>
        <v>0</v>
      </c>
      <c r="W139" s="47" t="n">
        <f aca="false">MIN(V139,Sorted!$G$6)</f>
        <v>0</v>
      </c>
      <c r="X139" s="47" t="n">
        <f aca="false">MAX(0,MIN(V139-W139,$C139-(H139+L139+P139+T139)))</f>
        <v>0</v>
      </c>
      <c r="Y139" s="47" t="n">
        <f aca="false">ROUND(V139-W139-X139,2)</f>
        <v>0</v>
      </c>
      <c r="Z139" s="47" t="n">
        <f aca="false">ROUND(AC138*(1+Sorted!$H$7),2)</f>
        <v>0</v>
      </c>
      <c r="AA139" s="47" t="n">
        <f aca="false">MIN(Z139,Sorted!$G$7)</f>
        <v>0</v>
      </c>
      <c r="AB139" s="47" t="n">
        <f aca="false">MAX(0,MIN(Z139-AA139,$C139-(H139+L139+P139+T139+X139)))</f>
        <v>0</v>
      </c>
      <c r="AC139" s="47" t="n">
        <f aca="false">ROUND(Z139-AA139-AB139,2)</f>
        <v>0</v>
      </c>
      <c r="AD139" s="47" t="n">
        <f aca="false">ROUND(AG138*(1+Sorted!$H$8),2)</f>
        <v>0</v>
      </c>
      <c r="AE139" s="47" t="n">
        <f aca="false">MIN(AD139,Sorted!$G$8)</f>
        <v>0</v>
      </c>
      <c r="AF139" s="47" t="n">
        <f aca="false">MAX(0,MIN(AD139-AE139,$C139-(H139+L139+P139+T139+X139+AB139)))</f>
        <v>0</v>
      </c>
      <c r="AG139" s="47" t="n">
        <f aca="false">ROUND(AD139-AE139-AF139,2)</f>
        <v>0</v>
      </c>
      <c r="AH139" s="47" t="n">
        <f aca="false">ROUND(AK138*(1+Sorted!$H$9),2)</f>
        <v>0</v>
      </c>
      <c r="AI139" s="47" t="n">
        <f aca="false">MIN(AH139,Sorted!$G$9)</f>
        <v>0</v>
      </c>
      <c r="AJ139" s="47" t="n">
        <f aca="false">MAX(0,MIN(AH139-AI139,$C139-(H139+L139+P139+T139+X139+AB139+AF139)))</f>
        <v>0</v>
      </c>
      <c r="AK139" s="47" t="n">
        <f aca="false">ROUND(AH139-AI139-AJ139,2)</f>
        <v>0</v>
      </c>
      <c r="AL139" s="47" t="n">
        <f aca="false">ROUND(AO138*(1+Sorted!$H$10),2)</f>
        <v>0</v>
      </c>
      <c r="AM139" s="47" t="n">
        <f aca="false">MIN(AL139,Sorted!$G$10)</f>
        <v>0</v>
      </c>
      <c r="AN139" s="47" t="n">
        <f aca="false">MAX(0,MIN(AL139-AM139,$C139-(H139+L139+P139+T139+X139+AB139+AF139+AJ139)))</f>
        <v>0</v>
      </c>
      <c r="AO139" s="47" t="n">
        <f aca="false">ROUND(AL139-AM139-AN139,2)</f>
        <v>0</v>
      </c>
      <c r="AP139" s="47" t="n">
        <f aca="false">ROUND(AS138*(1+Sorted!$H$11),2)</f>
        <v>0</v>
      </c>
      <c r="AQ139" s="47" t="n">
        <f aca="false">MIN(AP139,Sorted!$G$11)</f>
        <v>0</v>
      </c>
      <c r="AR139" s="47" t="n">
        <f aca="false">MAX(0,MIN(AP139-AQ139,$C139-(H139+L139+P139+T139+X139+AB139+AF139+AJ139+AN139)))</f>
        <v>0</v>
      </c>
      <c r="AS139" s="47" t="n">
        <f aca="false">ROUND(AP139-AQ139-AR139,2)</f>
        <v>0</v>
      </c>
    </row>
    <row r="140" customFormat="false" ht="15" hidden="false" customHeight="false" outlineLevel="0" collapsed="false">
      <c r="A140" s="45" t="n">
        <v>137</v>
      </c>
      <c r="B140" s="46" t="n">
        <f aca="false">EDATE('My Debts'!$C$7,A140-1)</f>
        <v>50465</v>
      </c>
      <c r="C140" s="47" t="n">
        <f aca="false">MAX(0,'My Debts'!$E$6-(G140+K140+O140+S140+W140+AA140+AE140+AI140+AM140+AQ140))</f>
        <v>730</v>
      </c>
      <c r="D140" s="47" t="n">
        <f aca="false">(F140+J140+N140+R140+V140+Z140+AD140+AH140+AL140+AP140)-(I140+M140+Q140+U140+Y140+AC140+AG140+AK140+AO140+AS140)</f>
        <v>0</v>
      </c>
      <c r="E140" s="48" t="n">
        <f aca="false">I140+M140+Q140+U140+Y140+AC140+AG140+AK140+AO140+AS140</f>
        <v>0</v>
      </c>
      <c r="F140" s="47" t="n">
        <f aca="false">ROUND(I139*(1+Sorted!$H$2),2)</f>
        <v>0</v>
      </c>
      <c r="G140" s="47" t="n">
        <f aca="false">MIN(F140,Sorted!$G$2)</f>
        <v>0</v>
      </c>
      <c r="H140" s="47" t="n">
        <f aca="false">MAX(0,MIN(F140-G140,$C140-(0)))</f>
        <v>0</v>
      </c>
      <c r="I140" s="47" t="n">
        <f aca="false">ROUND(F140-G140-H140,2)</f>
        <v>0</v>
      </c>
      <c r="J140" s="47" t="n">
        <f aca="false">ROUND(M139*(1+Sorted!$H$3),2)</f>
        <v>0</v>
      </c>
      <c r="K140" s="47" t="n">
        <f aca="false">MIN(J140,Sorted!$G$3)</f>
        <v>0</v>
      </c>
      <c r="L140" s="47" t="n">
        <f aca="false">MAX(0,MIN(J140-K140,$C140-(H140)))</f>
        <v>0</v>
      </c>
      <c r="M140" s="47" t="n">
        <f aca="false">ROUND(J140-K140-L140,2)</f>
        <v>0</v>
      </c>
      <c r="N140" s="47" t="n">
        <f aca="false">ROUND(Q139*(1+Sorted!$H$4),2)</f>
        <v>0</v>
      </c>
      <c r="O140" s="47" t="n">
        <f aca="false">MIN(N140,Sorted!$G$4)</f>
        <v>0</v>
      </c>
      <c r="P140" s="47" t="n">
        <f aca="false">MAX(0,MIN(N140-O140,$C140-(H140+L140)))</f>
        <v>0</v>
      </c>
      <c r="Q140" s="47" t="n">
        <f aca="false">ROUND(N140-O140-P140,2)</f>
        <v>0</v>
      </c>
      <c r="R140" s="47" t="n">
        <f aca="false">ROUND(U139*(1+Sorted!$H$5),2)</f>
        <v>0</v>
      </c>
      <c r="S140" s="47" t="n">
        <f aca="false">MIN(R140,Sorted!$G$5)</f>
        <v>0</v>
      </c>
      <c r="T140" s="47" t="n">
        <f aca="false">MAX(0,MIN(R140-S140,$C140-(H140+L140+P140)))</f>
        <v>0</v>
      </c>
      <c r="U140" s="47" t="n">
        <f aca="false">ROUND(R140-S140-T140,2)</f>
        <v>0</v>
      </c>
      <c r="V140" s="47" t="n">
        <f aca="false">ROUND(Y139*(1+Sorted!$H$6),2)</f>
        <v>0</v>
      </c>
      <c r="W140" s="47" t="n">
        <f aca="false">MIN(V140,Sorted!$G$6)</f>
        <v>0</v>
      </c>
      <c r="X140" s="47" t="n">
        <f aca="false">MAX(0,MIN(V140-W140,$C140-(H140+L140+P140+T140)))</f>
        <v>0</v>
      </c>
      <c r="Y140" s="47" t="n">
        <f aca="false">ROUND(V140-W140-X140,2)</f>
        <v>0</v>
      </c>
      <c r="Z140" s="47" t="n">
        <f aca="false">ROUND(AC139*(1+Sorted!$H$7),2)</f>
        <v>0</v>
      </c>
      <c r="AA140" s="47" t="n">
        <f aca="false">MIN(Z140,Sorted!$G$7)</f>
        <v>0</v>
      </c>
      <c r="AB140" s="47" t="n">
        <f aca="false">MAX(0,MIN(Z140-AA140,$C140-(H140+L140+P140+T140+X140)))</f>
        <v>0</v>
      </c>
      <c r="AC140" s="47" t="n">
        <f aca="false">ROUND(Z140-AA140-AB140,2)</f>
        <v>0</v>
      </c>
      <c r="AD140" s="47" t="n">
        <f aca="false">ROUND(AG139*(1+Sorted!$H$8),2)</f>
        <v>0</v>
      </c>
      <c r="AE140" s="47" t="n">
        <f aca="false">MIN(AD140,Sorted!$G$8)</f>
        <v>0</v>
      </c>
      <c r="AF140" s="47" t="n">
        <f aca="false">MAX(0,MIN(AD140-AE140,$C140-(H140+L140+P140+T140+X140+AB140)))</f>
        <v>0</v>
      </c>
      <c r="AG140" s="47" t="n">
        <f aca="false">ROUND(AD140-AE140-AF140,2)</f>
        <v>0</v>
      </c>
      <c r="AH140" s="47" t="n">
        <f aca="false">ROUND(AK139*(1+Sorted!$H$9),2)</f>
        <v>0</v>
      </c>
      <c r="AI140" s="47" t="n">
        <f aca="false">MIN(AH140,Sorted!$G$9)</f>
        <v>0</v>
      </c>
      <c r="AJ140" s="47" t="n">
        <f aca="false">MAX(0,MIN(AH140-AI140,$C140-(H140+L140+P140+T140+X140+AB140+AF140)))</f>
        <v>0</v>
      </c>
      <c r="AK140" s="47" t="n">
        <f aca="false">ROUND(AH140-AI140-AJ140,2)</f>
        <v>0</v>
      </c>
      <c r="AL140" s="47" t="n">
        <f aca="false">ROUND(AO139*(1+Sorted!$H$10),2)</f>
        <v>0</v>
      </c>
      <c r="AM140" s="47" t="n">
        <f aca="false">MIN(AL140,Sorted!$G$10)</f>
        <v>0</v>
      </c>
      <c r="AN140" s="47" t="n">
        <f aca="false">MAX(0,MIN(AL140-AM140,$C140-(H140+L140+P140+T140+X140+AB140+AF140+AJ140)))</f>
        <v>0</v>
      </c>
      <c r="AO140" s="47" t="n">
        <f aca="false">ROUND(AL140-AM140-AN140,2)</f>
        <v>0</v>
      </c>
      <c r="AP140" s="47" t="n">
        <f aca="false">ROUND(AS139*(1+Sorted!$H$11),2)</f>
        <v>0</v>
      </c>
      <c r="AQ140" s="47" t="n">
        <f aca="false">MIN(AP140,Sorted!$G$11)</f>
        <v>0</v>
      </c>
      <c r="AR140" s="47" t="n">
        <f aca="false">MAX(0,MIN(AP140-AQ140,$C140-(H140+L140+P140+T140+X140+AB140+AF140+AJ140+AN140)))</f>
        <v>0</v>
      </c>
      <c r="AS140" s="47" t="n">
        <f aca="false">ROUND(AP140-AQ140-AR140,2)</f>
        <v>0</v>
      </c>
    </row>
    <row r="141" customFormat="false" ht="15" hidden="false" customHeight="false" outlineLevel="0" collapsed="false">
      <c r="A141" s="45" t="n">
        <v>138</v>
      </c>
      <c r="B141" s="46" t="n">
        <f aca="false">EDATE('My Debts'!$C$7,A141-1)</f>
        <v>50496</v>
      </c>
      <c r="C141" s="47" t="n">
        <f aca="false">MAX(0,'My Debts'!$E$6-(G141+K141+O141+S141+W141+AA141+AE141+AI141+AM141+AQ141))</f>
        <v>730</v>
      </c>
      <c r="D141" s="47" t="n">
        <f aca="false">(F141+J141+N141+R141+V141+Z141+AD141+AH141+AL141+AP141)-(I141+M141+Q141+U141+Y141+AC141+AG141+AK141+AO141+AS141)</f>
        <v>0</v>
      </c>
      <c r="E141" s="48" t="n">
        <f aca="false">I141+M141+Q141+U141+Y141+AC141+AG141+AK141+AO141+AS141</f>
        <v>0</v>
      </c>
      <c r="F141" s="47" t="n">
        <f aca="false">ROUND(I140*(1+Sorted!$H$2),2)</f>
        <v>0</v>
      </c>
      <c r="G141" s="47" t="n">
        <f aca="false">MIN(F141,Sorted!$G$2)</f>
        <v>0</v>
      </c>
      <c r="H141" s="47" t="n">
        <f aca="false">MAX(0,MIN(F141-G141,$C141-(0)))</f>
        <v>0</v>
      </c>
      <c r="I141" s="47" t="n">
        <f aca="false">ROUND(F141-G141-H141,2)</f>
        <v>0</v>
      </c>
      <c r="J141" s="47" t="n">
        <f aca="false">ROUND(M140*(1+Sorted!$H$3),2)</f>
        <v>0</v>
      </c>
      <c r="K141" s="47" t="n">
        <f aca="false">MIN(J141,Sorted!$G$3)</f>
        <v>0</v>
      </c>
      <c r="L141" s="47" t="n">
        <f aca="false">MAX(0,MIN(J141-K141,$C141-(H141)))</f>
        <v>0</v>
      </c>
      <c r="M141" s="47" t="n">
        <f aca="false">ROUND(J141-K141-L141,2)</f>
        <v>0</v>
      </c>
      <c r="N141" s="47" t="n">
        <f aca="false">ROUND(Q140*(1+Sorted!$H$4),2)</f>
        <v>0</v>
      </c>
      <c r="O141" s="47" t="n">
        <f aca="false">MIN(N141,Sorted!$G$4)</f>
        <v>0</v>
      </c>
      <c r="P141" s="47" t="n">
        <f aca="false">MAX(0,MIN(N141-O141,$C141-(H141+L141)))</f>
        <v>0</v>
      </c>
      <c r="Q141" s="47" t="n">
        <f aca="false">ROUND(N141-O141-P141,2)</f>
        <v>0</v>
      </c>
      <c r="R141" s="47" t="n">
        <f aca="false">ROUND(U140*(1+Sorted!$H$5),2)</f>
        <v>0</v>
      </c>
      <c r="S141" s="47" t="n">
        <f aca="false">MIN(R141,Sorted!$G$5)</f>
        <v>0</v>
      </c>
      <c r="T141" s="47" t="n">
        <f aca="false">MAX(0,MIN(R141-S141,$C141-(H141+L141+P141)))</f>
        <v>0</v>
      </c>
      <c r="U141" s="47" t="n">
        <f aca="false">ROUND(R141-S141-T141,2)</f>
        <v>0</v>
      </c>
      <c r="V141" s="47" t="n">
        <f aca="false">ROUND(Y140*(1+Sorted!$H$6),2)</f>
        <v>0</v>
      </c>
      <c r="W141" s="47" t="n">
        <f aca="false">MIN(V141,Sorted!$G$6)</f>
        <v>0</v>
      </c>
      <c r="X141" s="47" t="n">
        <f aca="false">MAX(0,MIN(V141-W141,$C141-(H141+L141+P141+T141)))</f>
        <v>0</v>
      </c>
      <c r="Y141" s="47" t="n">
        <f aca="false">ROUND(V141-W141-X141,2)</f>
        <v>0</v>
      </c>
      <c r="Z141" s="47" t="n">
        <f aca="false">ROUND(AC140*(1+Sorted!$H$7),2)</f>
        <v>0</v>
      </c>
      <c r="AA141" s="47" t="n">
        <f aca="false">MIN(Z141,Sorted!$G$7)</f>
        <v>0</v>
      </c>
      <c r="AB141" s="47" t="n">
        <f aca="false">MAX(0,MIN(Z141-AA141,$C141-(H141+L141+P141+T141+X141)))</f>
        <v>0</v>
      </c>
      <c r="AC141" s="47" t="n">
        <f aca="false">ROUND(Z141-AA141-AB141,2)</f>
        <v>0</v>
      </c>
      <c r="AD141" s="47" t="n">
        <f aca="false">ROUND(AG140*(1+Sorted!$H$8),2)</f>
        <v>0</v>
      </c>
      <c r="AE141" s="47" t="n">
        <f aca="false">MIN(AD141,Sorted!$G$8)</f>
        <v>0</v>
      </c>
      <c r="AF141" s="47" t="n">
        <f aca="false">MAX(0,MIN(AD141-AE141,$C141-(H141+L141+P141+T141+X141+AB141)))</f>
        <v>0</v>
      </c>
      <c r="AG141" s="47" t="n">
        <f aca="false">ROUND(AD141-AE141-AF141,2)</f>
        <v>0</v>
      </c>
      <c r="AH141" s="47" t="n">
        <f aca="false">ROUND(AK140*(1+Sorted!$H$9),2)</f>
        <v>0</v>
      </c>
      <c r="AI141" s="47" t="n">
        <f aca="false">MIN(AH141,Sorted!$G$9)</f>
        <v>0</v>
      </c>
      <c r="AJ141" s="47" t="n">
        <f aca="false">MAX(0,MIN(AH141-AI141,$C141-(H141+L141+P141+T141+X141+AB141+AF141)))</f>
        <v>0</v>
      </c>
      <c r="AK141" s="47" t="n">
        <f aca="false">ROUND(AH141-AI141-AJ141,2)</f>
        <v>0</v>
      </c>
      <c r="AL141" s="47" t="n">
        <f aca="false">ROUND(AO140*(1+Sorted!$H$10),2)</f>
        <v>0</v>
      </c>
      <c r="AM141" s="47" t="n">
        <f aca="false">MIN(AL141,Sorted!$G$10)</f>
        <v>0</v>
      </c>
      <c r="AN141" s="47" t="n">
        <f aca="false">MAX(0,MIN(AL141-AM141,$C141-(H141+L141+P141+T141+X141+AB141+AF141+AJ141)))</f>
        <v>0</v>
      </c>
      <c r="AO141" s="47" t="n">
        <f aca="false">ROUND(AL141-AM141-AN141,2)</f>
        <v>0</v>
      </c>
      <c r="AP141" s="47" t="n">
        <f aca="false">ROUND(AS140*(1+Sorted!$H$11),2)</f>
        <v>0</v>
      </c>
      <c r="AQ141" s="47" t="n">
        <f aca="false">MIN(AP141,Sorted!$G$11)</f>
        <v>0</v>
      </c>
      <c r="AR141" s="47" t="n">
        <f aca="false">MAX(0,MIN(AP141-AQ141,$C141-(H141+L141+P141+T141+X141+AB141+AF141+AJ141+AN141)))</f>
        <v>0</v>
      </c>
      <c r="AS141" s="47" t="n">
        <f aca="false">ROUND(AP141-AQ141-AR141,2)</f>
        <v>0</v>
      </c>
    </row>
    <row r="142" customFormat="false" ht="15" hidden="false" customHeight="false" outlineLevel="0" collapsed="false">
      <c r="A142" s="45" t="n">
        <v>139</v>
      </c>
      <c r="B142" s="46" t="n">
        <f aca="false">EDATE('My Debts'!$C$7,A142-1)</f>
        <v>50526</v>
      </c>
      <c r="C142" s="47" t="n">
        <f aca="false">MAX(0,'My Debts'!$E$6-(G142+K142+O142+S142+W142+AA142+AE142+AI142+AM142+AQ142))</f>
        <v>730</v>
      </c>
      <c r="D142" s="47" t="n">
        <f aca="false">(F142+J142+N142+R142+V142+Z142+AD142+AH142+AL142+AP142)-(I142+M142+Q142+U142+Y142+AC142+AG142+AK142+AO142+AS142)</f>
        <v>0</v>
      </c>
      <c r="E142" s="48" t="n">
        <f aca="false">I142+M142+Q142+U142+Y142+AC142+AG142+AK142+AO142+AS142</f>
        <v>0</v>
      </c>
      <c r="F142" s="47" t="n">
        <f aca="false">ROUND(I141*(1+Sorted!$H$2),2)</f>
        <v>0</v>
      </c>
      <c r="G142" s="47" t="n">
        <f aca="false">MIN(F142,Sorted!$G$2)</f>
        <v>0</v>
      </c>
      <c r="H142" s="47" t="n">
        <f aca="false">MAX(0,MIN(F142-G142,$C142-(0)))</f>
        <v>0</v>
      </c>
      <c r="I142" s="47" t="n">
        <f aca="false">ROUND(F142-G142-H142,2)</f>
        <v>0</v>
      </c>
      <c r="J142" s="47" t="n">
        <f aca="false">ROUND(M141*(1+Sorted!$H$3),2)</f>
        <v>0</v>
      </c>
      <c r="K142" s="47" t="n">
        <f aca="false">MIN(J142,Sorted!$G$3)</f>
        <v>0</v>
      </c>
      <c r="L142" s="47" t="n">
        <f aca="false">MAX(0,MIN(J142-K142,$C142-(H142)))</f>
        <v>0</v>
      </c>
      <c r="M142" s="47" t="n">
        <f aca="false">ROUND(J142-K142-L142,2)</f>
        <v>0</v>
      </c>
      <c r="N142" s="47" t="n">
        <f aca="false">ROUND(Q141*(1+Sorted!$H$4),2)</f>
        <v>0</v>
      </c>
      <c r="O142" s="47" t="n">
        <f aca="false">MIN(N142,Sorted!$G$4)</f>
        <v>0</v>
      </c>
      <c r="P142" s="47" t="n">
        <f aca="false">MAX(0,MIN(N142-O142,$C142-(H142+L142)))</f>
        <v>0</v>
      </c>
      <c r="Q142" s="47" t="n">
        <f aca="false">ROUND(N142-O142-P142,2)</f>
        <v>0</v>
      </c>
      <c r="R142" s="47" t="n">
        <f aca="false">ROUND(U141*(1+Sorted!$H$5),2)</f>
        <v>0</v>
      </c>
      <c r="S142" s="47" t="n">
        <f aca="false">MIN(R142,Sorted!$G$5)</f>
        <v>0</v>
      </c>
      <c r="T142" s="47" t="n">
        <f aca="false">MAX(0,MIN(R142-S142,$C142-(H142+L142+P142)))</f>
        <v>0</v>
      </c>
      <c r="U142" s="47" t="n">
        <f aca="false">ROUND(R142-S142-T142,2)</f>
        <v>0</v>
      </c>
      <c r="V142" s="47" t="n">
        <f aca="false">ROUND(Y141*(1+Sorted!$H$6),2)</f>
        <v>0</v>
      </c>
      <c r="W142" s="47" t="n">
        <f aca="false">MIN(V142,Sorted!$G$6)</f>
        <v>0</v>
      </c>
      <c r="X142" s="47" t="n">
        <f aca="false">MAX(0,MIN(V142-W142,$C142-(H142+L142+P142+T142)))</f>
        <v>0</v>
      </c>
      <c r="Y142" s="47" t="n">
        <f aca="false">ROUND(V142-W142-X142,2)</f>
        <v>0</v>
      </c>
      <c r="Z142" s="47" t="n">
        <f aca="false">ROUND(AC141*(1+Sorted!$H$7),2)</f>
        <v>0</v>
      </c>
      <c r="AA142" s="47" t="n">
        <f aca="false">MIN(Z142,Sorted!$G$7)</f>
        <v>0</v>
      </c>
      <c r="AB142" s="47" t="n">
        <f aca="false">MAX(0,MIN(Z142-AA142,$C142-(H142+L142+P142+T142+X142)))</f>
        <v>0</v>
      </c>
      <c r="AC142" s="47" t="n">
        <f aca="false">ROUND(Z142-AA142-AB142,2)</f>
        <v>0</v>
      </c>
      <c r="AD142" s="47" t="n">
        <f aca="false">ROUND(AG141*(1+Sorted!$H$8),2)</f>
        <v>0</v>
      </c>
      <c r="AE142" s="47" t="n">
        <f aca="false">MIN(AD142,Sorted!$G$8)</f>
        <v>0</v>
      </c>
      <c r="AF142" s="47" t="n">
        <f aca="false">MAX(0,MIN(AD142-AE142,$C142-(H142+L142+P142+T142+X142+AB142)))</f>
        <v>0</v>
      </c>
      <c r="AG142" s="47" t="n">
        <f aca="false">ROUND(AD142-AE142-AF142,2)</f>
        <v>0</v>
      </c>
      <c r="AH142" s="47" t="n">
        <f aca="false">ROUND(AK141*(1+Sorted!$H$9),2)</f>
        <v>0</v>
      </c>
      <c r="AI142" s="47" t="n">
        <f aca="false">MIN(AH142,Sorted!$G$9)</f>
        <v>0</v>
      </c>
      <c r="AJ142" s="47" t="n">
        <f aca="false">MAX(0,MIN(AH142-AI142,$C142-(H142+L142+P142+T142+X142+AB142+AF142)))</f>
        <v>0</v>
      </c>
      <c r="AK142" s="47" t="n">
        <f aca="false">ROUND(AH142-AI142-AJ142,2)</f>
        <v>0</v>
      </c>
      <c r="AL142" s="47" t="n">
        <f aca="false">ROUND(AO141*(1+Sorted!$H$10),2)</f>
        <v>0</v>
      </c>
      <c r="AM142" s="47" t="n">
        <f aca="false">MIN(AL142,Sorted!$G$10)</f>
        <v>0</v>
      </c>
      <c r="AN142" s="47" t="n">
        <f aca="false">MAX(0,MIN(AL142-AM142,$C142-(H142+L142+P142+T142+X142+AB142+AF142+AJ142)))</f>
        <v>0</v>
      </c>
      <c r="AO142" s="47" t="n">
        <f aca="false">ROUND(AL142-AM142-AN142,2)</f>
        <v>0</v>
      </c>
      <c r="AP142" s="47" t="n">
        <f aca="false">ROUND(AS141*(1+Sorted!$H$11),2)</f>
        <v>0</v>
      </c>
      <c r="AQ142" s="47" t="n">
        <f aca="false">MIN(AP142,Sorted!$G$11)</f>
        <v>0</v>
      </c>
      <c r="AR142" s="47" t="n">
        <f aca="false">MAX(0,MIN(AP142-AQ142,$C142-(H142+L142+P142+T142+X142+AB142+AF142+AJ142+AN142)))</f>
        <v>0</v>
      </c>
      <c r="AS142" s="47" t="n">
        <f aca="false">ROUND(AP142-AQ142-AR142,2)</f>
        <v>0</v>
      </c>
    </row>
    <row r="143" customFormat="false" ht="15" hidden="false" customHeight="false" outlineLevel="0" collapsed="false">
      <c r="A143" s="45" t="n">
        <v>140</v>
      </c>
      <c r="B143" s="46" t="n">
        <f aca="false">EDATE('My Debts'!$C$7,A143-1)</f>
        <v>50557</v>
      </c>
      <c r="C143" s="47" t="n">
        <f aca="false">MAX(0,'My Debts'!$E$6-(G143+K143+O143+S143+W143+AA143+AE143+AI143+AM143+AQ143))</f>
        <v>730</v>
      </c>
      <c r="D143" s="47" t="n">
        <f aca="false">(F143+J143+N143+R143+V143+Z143+AD143+AH143+AL143+AP143)-(I143+M143+Q143+U143+Y143+AC143+AG143+AK143+AO143+AS143)</f>
        <v>0</v>
      </c>
      <c r="E143" s="48" t="n">
        <f aca="false">I143+M143+Q143+U143+Y143+AC143+AG143+AK143+AO143+AS143</f>
        <v>0</v>
      </c>
      <c r="F143" s="47" t="n">
        <f aca="false">ROUND(I142*(1+Sorted!$H$2),2)</f>
        <v>0</v>
      </c>
      <c r="G143" s="47" t="n">
        <f aca="false">MIN(F143,Sorted!$G$2)</f>
        <v>0</v>
      </c>
      <c r="H143" s="47" t="n">
        <f aca="false">MAX(0,MIN(F143-G143,$C143-(0)))</f>
        <v>0</v>
      </c>
      <c r="I143" s="47" t="n">
        <f aca="false">ROUND(F143-G143-H143,2)</f>
        <v>0</v>
      </c>
      <c r="J143" s="47" t="n">
        <f aca="false">ROUND(M142*(1+Sorted!$H$3),2)</f>
        <v>0</v>
      </c>
      <c r="K143" s="47" t="n">
        <f aca="false">MIN(J143,Sorted!$G$3)</f>
        <v>0</v>
      </c>
      <c r="L143" s="47" t="n">
        <f aca="false">MAX(0,MIN(J143-K143,$C143-(H143)))</f>
        <v>0</v>
      </c>
      <c r="M143" s="47" t="n">
        <f aca="false">ROUND(J143-K143-L143,2)</f>
        <v>0</v>
      </c>
      <c r="N143" s="47" t="n">
        <f aca="false">ROUND(Q142*(1+Sorted!$H$4),2)</f>
        <v>0</v>
      </c>
      <c r="O143" s="47" t="n">
        <f aca="false">MIN(N143,Sorted!$G$4)</f>
        <v>0</v>
      </c>
      <c r="P143" s="47" t="n">
        <f aca="false">MAX(0,MIN(N143-O143,$C143-(H143+L143)))</f>
        <v>0</v>
      </c>
      <c r="Q143" s="47" t="n">
        <f aca="false">ROUND(N143-O143-P143,2)</f>
        <v>0</v>
      </c>
      <c r="R143" s="47" t="n">
        <f aca="false">ROUND(U142*(1+Sorted!$H$5),2)</f>
        <v>0</v>
      </c>
      <c r="S143" s="47" t="n">
        <f aca="false">MIN(R143,Sorted!$G$5)</f>
        <v>0</v>
      </c>
      <c r="T143" s="47" t="n">
        <f aca="false">MAX(0,MIN(R143-S143,$C143-(H143+L143+P143)))</f>
        <v>0</v>
      </c>
      <c r="U143" s="47" t="n">
        <f aca="false">ROUND(R143-S143-T143,2)</f>
        <v>0</v>
      </c>
      <c r="V143" s="47" t="n">
        <f aca="false">ROUND(Y142*(1+Sorted!$H$6),2)</f>
        <v>0</v>
      </c>
      <c r="W143" s="47" t="n">
        <f aca="false">MIN(V143,Sorted!$G$6)</f>
        <v>0</v>
      </c>
      <c r="X143" s="47" t="n">
        <f aca="false">MAX(0,MIN(V143-W143,$C143-(H143+L143+P143+T143)))</f>
        <v>0</v>
      </c>
      <c r="Y143" s="47" t="n">
        <f aca="false">ROUND(V143-W143-X143,2)</f>
        <v>0</v>
      </c>
      <c r="Z143" s="47" t="n">
        <f aca="false">ROUND(AC142*(1+Sorted!$H$7),2)</f>
        <v>0</v>
      </c>
      <c r="AA143" s="47" t="n">
        <f aca="false">MIN(Z143,Sorted!$G$7)</f>
        <v>0</v>
      </c>
      <c r="AB143" s="47" t="n">
        <f aca="false">MAX(0,MIN(Z143-AA143,$C143-(H143+L143+P143+T143+X143)))</f>
        <v>0</v>
      </c>
      <c r="AC143" s="47" t="n">
        <f aca="false">ROUND(Z143-AA143-AB143,2)</f>
        <v>0</v>
      </c>
      <c r="AD143" s="47" t="n">
        <f aca="false">ROUND(AG142*(1+Sorted!$H$8),2)</f>
        <v>0</v>
      </c>
      <c r="AE143" s="47" t="n">
        <f aca="false">MIN(AD143,Sorted!$G$8)</f>
        <v>0</v>
      </c>
      <c r="AF143" s="47" t="n">
        <f aca="false">MAX(0,MIN(AD143-AE143,$C143-(H143+L143+P143+T143+X143+AB143)))</f>
        <v>0</v>
      </c>
      <c r="AG143" s="47" t="n">
        <f aca="false">ROUND(AD143-AE143-AF143,2)</f>
        <v>0</v>
      </c>
      <c r="AH143" s="47" t="n">
        <f aca="false">ROUND(AK142*(1+Sorted!$H$9),2)</f>
        <v>0</v>
      </c>
      <c r="AI143" s="47" t="n">
        <f aca="false">MIN(AH143,Sorted!$G$9)</f>
        <v>0</v>
      </c>
      <c r="AJ143" s="47" t="n">
        <f aca="false">MAX(0,MIN(AH143-AI143,$C143-(H143+L143+P143+T143+X143+AB143+AF143)))</f>
        <v>0</v>
      </c>
      <c r="AK143" s="47" t="n">
        <f aca="false">ROUND(AH143-AI143-AJ143,2)</f>
        <v>0</v>
      </c>
      <c r="AL143" s="47" t="n">
        <f aca="false">ROUND(AO142*(1+Sorted!$H$10),2)</f>
        <v>0</v>
      </c>
      <c r="AM143" s="47" t="n">
        <f aca="false">MIN(AL143,Sorted!$G$10)</f>
        <v>0</v>
      </c>
      <c r="AN143" s="47" t="n">
        <f aca="false">MAX(0,MIN(AL143-AM143,$C143-(H143+L143+P143+T143+X143+AB143+AF143+AJ143)))</f>
        <v>0</v>
      </c>
      <c r="AO143" s="47" t="n">
        <f aca="false">ROUND(AL143-AM143-AN143,2)</f>
        <v>0</v>
      </c>
      <c r="AP143" s="47" t="n">
        <f aca="false">ROUND(AS142*(1+Sorted!$H$11),2)</f>
        <v>0</v>
      </c>
      <c r="AQ143" s="47" t="n">
        <f aca="false">MIN(AP143,Sorted!$G$11)</f>
        <v>0</v>
      </c>
      <c r="AR143" s="47" t="n">
        <f aca="false">MAX(0,MIN(AP143-AQ143,$C143-(H143+L143+P143+T143+X143+AB143+AF143+AJ143+AN143)))</f>
        <v>0</v>
      </c>
      <c r="AS143" s="47" t="n">
        <f aca="false">ROUND(AP143-AQ143-AR143,2)</f>
        <v>0</v>
      </c>
    </row>
    <row r="144" customFormat="false" ht="15" hidden="false" customHeight="false" outlineLevel="0" collapsed="false">
      <c r="A144" s="45" t="n">
        <v>141</v>
      </c>
      <c r="B144" s="46" t="n">
        <f aca="false">EDATE('My Debts'!$C$7,A144-1)</f>
        <v>50587</v>
      </c>
      <c r="C144" s="47" t="n">
        <f aca="false">MAX(0,'My Debts'!$E$6-(G144+K144+O144+S144+W144+AA144+AE144+AI144+AM144+AQ144))</f>
        <v>730</v>
      </c>
      <c r="D144" s="47" t="n">
        <f aca="false">(F144+J144+N144+R144+V144+Z144+AD144+AH144+AL144+AP144)-(I144+M144+Q144+U144+Y144+AC144+AG144+AK144+AO144+AS144)</f>
        <v>0</v>
      </c>
      <c r="E144" s="48" t="n">
        <f aca="false">I144+M144+Q144+U144+Y144+AC144+AG144+AK144+AO144+AS144</f>
        <v>0</v>
      </c>
      <c r="F144" s="47" t="n">
        <f aca="false">ROUND(I143*(1+Sorted!$H$2),2)</f>
        <v>0</v>
      </c>
      <c r="G144" s="47" t="n">
        <f aca="false">MIN(F144,Sorted!$G$2)</f>
        <v>0</v>
      </c>
      <c r="H144" s="47" t="n">
        <f aca="false">MAX(0,MIN(F144-G144,$C144-(0)))</f>
        <v>0</v>
      </c>
      <c r="I144" s="47" t="n">
        <f aca="false">ROUND(F144-G144-H144,2)</f>
        <v>0</v>
      </c>
      <c r="J144" s="47" t="n">
        <f aca="false">ROUND(M143*(1+Sorted!$H$3),2)</f>
        <v>0</v>
      </c>
      <c r="K144" s="47" t="n">
        <f aca="false">MIN(J144,Sorted!$G$3)</f>
        <v>0</v>
      </c>
      <c r="L144" s="47" t="n">
        <f aca="false">MAX(0,MIN(J144-K144,$C144-(H144)))</f>
        <v>0</v>
      </c>
      <c r="M144" s="47" t="n">
        <f aca="false">ROUND(J144-K144-L144,2)</f>
        <v>0</v>
      </c>
      <c r="N144" s="47" t="n">
        <f aca="false">ROUND(Q143*(1+Sorted!$H$4),2)</f>
        <v>0</v>
      </c>
      <c r="O144" s="47" t="n">
        <f aca="false">MIN(N144,Sorted!$G$4)</f>
        <v>0</v>
      </c>
      <c r="P144" s="47" t="n">
        <f aca="false">MAX(0,MIN(N144-O144,$C144-(H144+L144)))</f>
        <v>0</v>
      </c>
      <c r="Q144" s="47" t="n">
        <f aca="false">ROUND(N144-O144-P144,2)</f>
        <v>0</v>
      </c>
      <c r="R144" s="47" t="n">
        <f aca="false">ROUND(U143*(1+Sorted!$H$5),2)</f>
        <v>0</v>
      </c>
      <c r="S144" s="47" t="n">
        <f aca="false">MIN(R144,Sorted!$G$5)</f>
        <v>0</v>
      </c>
      <c r="T144" s="47" t="n">
        <f aca="false">MAX(0,MIN(R144-S144,$C144-(H144+L144+P144)))</f>
        <v>0</v>
      </c>
      <c r="U144" s="47" t="n">
        <f aca="false">ROUND(R144-S144-T144,2)</f>
        <v>0</v>
      </c>
      <c r="V144" s="47" t="n">
        <f aca="false">ROUND(Y143*(1+Sorted!$H$6),2)</f>
        <v>0</v>
      </c>
      <c r="W144" s="47" t="n">
        <f aca="false">MIN(V144,Sorted!$G$6)</f>
        <v>0</v>
      </c>
      <c r="X144" s="47" t="n">
        <f aca="false">MAX(0,MIN(V144-W144,$C144-(H144+L144+P144+T144)))</f>
        <v>0</v>
      </c>
      <c r="Y144" s="47" t="n">
        <f aca="false">ROUND(V144-W144-X144,2)</f>
        <v>0</v>
      </c>
      <c r="Z144" s="47" t="n">
        <f aca="false">ROUND(AC143*(1+Sorted!$H$7),2)</f>
        <v>0</v>
      </c>
      <c r="AA144" s="47" t="n">
        <f aca="false">MIN(Z144,Sorted!$G$7)</f>
        <v>0</v>
      </c>
      <c r="AB144" s="47" t="n">
        <f aca="false">MAX(0,MIN(Z144-AA144,$C144-(H144+L144+P144+T144+X144)))</f>
        <v>0</v>
      </c>
      <c r="AC144" s="47" t="n">
        <f aca="false">ROUND(Z144-AA144-AB144,2)</f>
        <v>0</v>
      </c>
      <c r="AD144" s="47" t="n">
        <f aca="false">ROUND(AG143*(1+Sorted!$H$8),2)</f>
        <v>0</v>
      </c>
      <c r="AE144" s="47" t="n">
        <f aca="false">MIN(AD144,Sorted!$G$8)</f>
        <v>0</v>
      </c>
      <c r="AF144" s="47" t="n">
        <f aca="false">MAX(0,MIN(AD144-AE144,$C144-(H144+L144+P144+T144+X144+AB144)))</f>
        <v>0</v>
      </c>
      <c r="AG144" s="47" t="n">
        <f aca="false">ROUND(AD144-AE144-AF144,2)</f>
        <v>0</v>
      </c>
      <c r="AH144" s="47" t="n">
        <f aca="false">ROUND(AK143*(1+Sorted!$H$9),2)</f>
        <v>0</v>
      </c>
      <c r="AI144" s="47" t="n">
        <f aca="false">MIN(AH144,Sorted!$G$9)</f>
        <v>0</v>
      </c>
      <c r="AJ144" s="47" t="n">
        <f aca="false">MAX(0,MIN(AH144-AI144,$C144-(H144+L144+P144+T144+X144+AB144+AF144)))</f>
        <v>0</v>
      </c>
      <c r="AK144" s="47" t="n">
        <f aca="false">ROUND(AH144-AI144-AJ144,2)</f>
        <v>0</v>
      </c>
      <c r="AL144" s="47" t="n">
        <f aca="false">ROUND(AO143*(1+Sorted!$H$10),2)</f>
        <v>0</v>
      </c>
      <c r="AM144" s="47" t="n">
        <f aca="false">MIN(AL144,Sorted!$G$10)</f>
        <v>0</v>
      </c>
      <c r="AN144" s="47" t="n">
        <f aca="false">MAX(0,MIN(AL144-AM144,$C144-(H144+L144+P144+T144+X144+AB144+AF144+AJ144)))</f>
        <v>0</v>
      </c>
      <c r="AO144" s="47" t="n">
        <f aca="false">ROUND(AL144-AM144-AN144,2)</f>
        <v>0</v>
      </c>
      <c r="AP144" s="47" t="n">
        <f aca="false">ROUND(AS143*(1+Sorted!$H$11),2)</f>
        <v>0</v>
      </c>
      <c r="AQ144" s="47" t="n">
        <f aca="false">MIN(AP144,Sorted!$G$11)</f>
        <v>0</v>
      </c>
      <c r="AR144" s="47" t="n">
        <f aca="false">MAX(0,MIN(AP144-AQ144,$C144-(H144+L144+P144+T144+X144+AB144+AF144+AJ144+AN144)))</f>
        <v>0</v>
      </c>
      <c r="AS144" s="47" t="n">
        <f aca="false">ROUND(AP144-AQ144-AR144,2)</f>
        <v>0</v>
      </c>
    </row>
    <row r="145" customFormat="false" ht="15" hidden="false" customHeight="false" outlineLevel="0" collapsed="false">
      <c r="A145" s="45" t="n">
        <v>142</v>
      </c>
      <c r="B145" s="46" t="n">
        <f aca="false">EDATE('My Debts'!$C$7,A145-1)</f>
        <v>50618</v>
      </c>
      <c r="C145" s="47" t="n">
        <f aca="false">MAX(0,'My Debts'!$E$6-(G145+K145+O145+S145+W145+AA145+AE145+AI145+AM145+AQ145))</f>
        <v>730</v>
      </c>
      <c r="D145" s="47" t="n">
        <f aca="false">(F145+J145+N145+R145+V145+Z145+AD145+AH145+AL145+AP145)-(I145+M145+Q145+U145+Y145+AC145+AG145+AK145+AO145+AS145)</f>
        <v>0</v>
      </c>
      <c r="E145" s="48" t="n">
        <f aca="false">I145+M145+Q145+U145+Y145+AC145+AG145+AK145+AO145+AS145</f>
        <v>0</v>
      </c>
      <c r="F145" s="47" t="n">
        <f aca="false">ROUND(I144*(1+Sorted!$H$2),2)</f>
        <v>0</v>
      </c>
      <c r="G145" s="47" t="n">
        <f aca="false">MIN(F145,Sorted!$G$2)</f>
        <v>0</v>
      </c>
      <c r="H145" s="47" t="n">
        <f aca="false">MAX(0,MIN(F145-G145,$C145-(0)))</f>
        <v>0</v>
      </c>
      <c r="I145" s="47" t="n">
        <f aca="false">ROUND(F145-G145-H145,2)</f>
        <v>0</v>
      </c>
      <c r="J145" s="47" t="n">
        <f aca="false">ROUND(M144*(1+Sorted!$H$3),2)</f>
        <v>0</v>
      </c>
      <c r="K145" s="47" t="n">
        <f aca="false">MIN(J145,Sorted!$G$3)</f>
        <v>0</v>
      </c>
      <c r="L145" s="47" t="n">
        <f aca="false">MAX(0,MIN(J145-K145,$C145-(H145)))</f>
        <v>0</v>
      </c>
      <c r="M145" s="47" t="n">
        <f aca="false">ROUND(J145-K145-L145,2)</f>
        <v>0</v>
      </c>
      <c r="N145" s="47" t="n">
        <f aca="false">ROUND(Q144*(1+Sorted!$H$4),2)</f>
        <v>0</v>
      </c>
      <c r="O145" s="47" t="n">
        <f aca="false">MIN(N145,Sorted!$G$4)</f>
        <v>0</v>
      </c>
      <c r="P145" s="47" t="n">
        <f aca="false">MAX(0,MIN(N145-O145,$C145-(H145+L145)))</f>
        <v>0</v>
      </c>
      <c r="Q145" s="47" t="n">
        <f aca="false">ROUND(N145-O145-P145,2)</f>
        <v>0</v>
      </c>
      <c r="R145" s="47" t="n">
        <f aca="false">ROUND(U144*(1+Sorted!$H$5),2)</f>
        <v>0</v>
      </c>
      <c r="S145" s="47" t="n">
        <f aca="false">MIN(R145,Sorted!$G$5)</f>
        <v>0</v>
      </c>
      <c r="T145" s="47" t="n">
        <f aca="false">MAX(0,MIN(R145-S145,$C145-(H145+L145+P145)))</f>
        <v>0</v>
      </c>
      <c r="U145" s="47" t="n">
        <f aca="false">ROUND(R145-S145-T145,2)</f>
        <v>0</v>
      </c>
      <c r="V145" s="47" t="n">
        <f aca="false">ROUND(Y144*(1+Sorted!$H$6),2)</f>
        <v>0</v>
      </c>
      <c r="W145" s="47" t="n">
        <f aca="false">MIN(V145,Sorted!$G$6)</f>
        <v>0</v>
      </c>
      <c r="X145" s="47" t="n">
        <f aca="false">MAX(0,MIN(V145-W145,$C145-(H145+L145+P145+T145)))</f>
        <v>0</v>
      </c>
      <c r="Y145" s="47" t="n">
        <f aca="false">ROUND(V145-W145-X145,2)</f>
        <v>0</v>
      </c>
      <c r="Z145" s="47" t="n">
        <f aca="false">ROUND(AC144*(1+Sorted!$H$7),2)</f>
        <v>0</v>
      </c>
      <c r="AA145" s="47" t="n">
        <f aca="false">MIN(Z145,Sorted!$G$7)</f>
        <v>0</v>
      </c>
      <c r="AB145" s="47" t="n">
        <f aca="false">MAX(0,MIN(Z145-AA145,$C145-(H145+L145+P145+T145+X145)))</f>
        <v>0</v>
      </c>
      <c r="AC145" s="47" t="n">
        <f aca="false">ROUND(Z145-AA145-AB145,2)</f>
        <v>0</v>
      </c>
      <c r="AD145" s="47" t="n">
        <f aca="false">ROUND(AG144*(1+Sorted!$H$8),2)</f>
        <v>0</v>
      </c>
      <c r="AE145" s="47" t="n">
        <f aca="false">MIN(AD145,Sorted!$G$8)</f>
        <v>0</v>
      </c>
      <c r="AF145" s="47" t="n">
        <f aca="false">MAX(0,MIN(AD145-AE145,$C145-(H145+L145+P145+T145+X145+AB145)))</f>
        <v>0</v>
      </c>
      <c r="AG145" s="47" t="n">
        <f aca="false">ROUND(AD145-AE145-AF145,2)</f>
        <v>0</v>
      </c>
      <c r="AH145" s="47" t="n">
        <f aca="false">ROUND(AK144*(1+Sorted!$H$9),2)</f>
        <v>0</v>
      </c>
      <c r="AI145" s="47" t="n">
        <f aca="false">MIN(AH145,Sorted!$G$9)</f>
        <v>0</v>
      </c>
      <c r="AJ145" s="47" t="n">
        <f aca="false">MAX(0,MIN(AH145-AI145,$C145-(H145+L145+P145+T145+X145+AB145+AF145)))</f>
        <v>0</v>
      </c>
      <c r="AK145" s="47" t="n">
        <f aca="false">ROUND(AH145-AI145-AJ145,2)</f>
        <v>0</v>
      </c>
      <c r="AL145" s="47" t="n">
        <f aca="false">ROUND(AO144*(1+Sorted!$H$10),2)</f>
        <v>0</v>
      </c>
      <c r="AM145" s="47" t="n">
        <f aca="false">MIN(AL145,Sorted!$G$10)</f>
        <v>0</v>
      </c>
      <c r="AN145" s="47" t="n">
        <f aca="false">MAX(0,MIN(AL145-AM145,$C145-(H145+L145+P145+T145+X145+AB145+AF145+AJ145)))</f>
        <v>0</v>
      </c>
      <c r="AO145" s="47" t="n">
        <f aca="false">ROUND(AL145-AM145-AN145,2)</f>
        <v>0</v>
      </c>
      <c r="AP145" s="47" t="n">
        <f aca="false">ROUND(AS144*(1+Sorted!$H$11),2)</f>
        <v>0</v>
      </c>
      <c r="AQ145" s="47" t="n">
        <f aca="false">MIN(AP145,Sorted!$G$11)</f>
        <v>0</v>
      </c>
      <c r="AR145" s="47" t="n">
        <f aca="false">MAX(0,MIN(AP145-AQ145,$C145-(H145+L145+P145+T145+X145+AB145+AF145+AJ145+AN145)))</f>
        <v>0</v>
      </c>
      <c r="AS145" s="47" t="n">
        <f aca="false">ROUND(AP145-AQ145-AR145,2)</f>
        <v>0</v>
      </c>
    </row>
    <row r="146" customFormat="false" ht="15" hidden="false" customHeight="false" outlineLevel="0" collapsed="false">
      <c r="A146" s="45" t="n">
        <v>143</v>
      </c>
      <c r="B146" s="46" t="n">
        <f aca="false">EDATE('My Debts'!$C$7,A146-1)</f>
        <v>50649</v>
      </c>
      <c r="C146" s="47" t="n">
        <f aca="false">MAX(0,'My Debts'!$E$6-(G146+K146+O146+S146+W146+AA146+AE146+AI146+AM146+AQ146))</f>
        <v>730</v>
      </c>
      <c r="D146" s="47" t="n">
        <f aca="false">(F146+J146+N146+R146+V146+Z146+AD146+AH146+AL146+AP146)-(I146+M146+Q146+U146+Y146+AC146+AG146+AK146+AO146+AS146)</f>
        <v>0</v>
      </c>
      <c r="E146" s="48" t="n">
        <f aca="false">I146+M146+Q146+U146+Y146+AC146+AG146+AK146+AO146+AS146</f>
        <v>0</v>
      </c>
      <c r="F146" s="47" t="n">
        <f aca="false">ROUND(I145*(1+Sorted!$H$2),2)</f>
        <v>0</v>
      </c>
      <c r="G146" s="47" t="n">
        <f aca="false">MIN(F146,Sorted!$G$2)</f>
        <v>0</v>
      </c>
      <c r="H146" s="47" t="n">
        <f aca="false">MAX(0,MIN(F146-G146,$C146-(0)))</f>
        <v>0</v>
      </c>
      <c r="I146" s="47" t="n">
        <f aca="false">ROUND(F146-G146-H146,2)</f>
        <v>0</v>
      </c>
      <c r="J146" s="47" t="n">
        <f aca="false">ROUND(M145*(1+Sorted!$H$3),2)</f>
        <v>0</v>
      </c>
      <c r="K146" s="47" t="n">
        <f aca="false">MIN(J146,Sorted!$G$3)</f>
        <v>0</v>
      </c>
      <c r="L146" s="47" t="n">
        <f aca="false">MAX(0,MIN(J146-K146,$C146-(H146)))</f>
        <v>0</v>
      </c>
      <c r="M146" s="47" t="n">
        <f aca="false">ROUND(J146-K146-L146,2)</f>
        <v>0</v>
      </c>
      <c r="N146" s="47" t="n">
        <f aca="false">ROUND(Q145*(1+Sorted!$H$4),2)</f>
        <v>0</v>
      </c>
      <c r="O146" s="47" t="n">
        <f aca="false">MIN(N146,Sorted!$G$4)</f>
        <v>0</v>
      </c>
      <c r="P146" s="47" t="n">
        <f aca="false">MAX(0,MIN(N146-O146,$C146-(H146+L146)))</f>
        <v>0</v>
      </c>
      <c r="Q146" s="47" t="n">
        <f aca="false">ROUND(N146-O146-P146,2)</f>
        <v>0</v>
      </c>
      <c r="R146" s="47" t="n">
        <f aca="false">ROUND(U145*(1+Sorted!$H$5),2)</f>
        <v>0</v>
      </c>
      <c r="S146" s="47" t="n">
        <f aca="false">MIN(R146,Sorted!$G$5)</f>
        <v>0</v>
      </c>
      <c r="T146" s="47" t="n">
        <f aca="false">MAX(0,MIN(R146-S146,$C146-(H146+L146+P146)))</f>
        <v>0</v>
      </c>
      <c r="U146" s="47" t="n">
        <f aca="false">ROUND(R146-S146-T146,2)</f>
        <v>0</v>
      </c>
      <c r="V146" s="47" t="n">
        <f aca="false">ROUND(Y145*(1+Sorted!$H$6),2)</f>
        <v>0</v>
      </c>
      <c r="W146" s="47" t="n">
        <f aca="false">MIN(V146,Sorted!$G$6)</f>
        <v>0</v>
      </c>
      <c r="X146" s="47" t="n">
        <f aca="false">MAX(0,MIN(V146-W146,$C146-(H146+L146+P146+T146)))</f>
        <v>0</v>
      </c>
      <c r="Y146" s="47" t="n">
        <f aca="false">ROUND(V146-W146-X146,2)</f>
        <v>0</v>
      </c>
      <c r="Z146" s="47" t="n">
        <f aca="false">ROUND(AC145*(1+Sorted!$H$7),2)</f>
        <v>0</v>
      </c>
      <c r="AA146" s="47" t="n">
        <f aca="false">MIN(Z146,Sorted!$G$7)</f>
        <v>0</v>
      </c>
      <c r="AB146" s="47" t="n">
        <f aca="false">MAX(0,MIN(Z146-AA146,$C146-(H146+L146+P146+T146+X146)))</f>
        <v>0</v>
      </c>
      <c r="AC146" s="47" t="n">
        <f aca="false">ROUND(Z146-AA146-AB146,2)</f>
        <v>0</v>
      </c>
      <c r="AD146" s="47" t="n">
        <f aca="false">ROUND(AG145*(1+Sorted!$H$8),2)</f>
        <v>0</v>
      </c>
      <c r="AE146" s="47" t="n">
        <f aca="false">MIN(AD146,Sorted!$G$8)</f>
        <v>0</v>
      </c>
      <c r="AF146" s="47" t="n">
        <f aca="false">MAX(0,MIN(AD146-AE146,$C146-(H146+L146+P146+T146+X146+AB146)))</f>
        <v>0</v>
      </c>
      <c r="AG146" s="47" t="n">
        <f aca="false">ROUND(AD146-AE146-AF146,2)</f>
        <v>0</v>
      </c>
      <c r="AH146" s="47" t="n">
        <f aca="false">ROUND(AK145*(1+Sorted!$H$9),2)</f>
        <v>0</v>
      </c>
      <c r="AI146" s="47" t="n">
        <f aca="false">MIN(AH146,Sorted!$G$9)</f>
        <v>0</v>
      </c>
      <c r="AJ146" s="47" t="n">
        <f aca="false">MAX(0,MIN(AH146-AI146,$C146-(H146+L146+P146+T146+X146+AB146+AF146)))</f>
        <v>0</v>
      </c>
      <c r="AK146" s="47" t="n">
        <f aca="false">ROUND(AH146-AI146-AJ146,2)</f>
        <v>0</v>
      </c>
      <c r="AL146" s="47" t="n">
        <f aca="false">ROUND(AO145*(1+Sorted!$H$10),2)</f>
        <v>0</v>
      </c>
      <c r="AM146" s="47" t="n">
        <f aca="false">MIN(AL146,Sorted!$G$10)</f>
        <v>0</v>
      </c>
      <c r="AN146" s="47" t="n">
        <f aca="false">MAX(0,MIN(AL146-AM146,$C146-(H146+L146+P146+T146+X146+AB146+AF146+AJ146)))</f>
        <v>0</v>
      </c>
      <c r="AO146" s="47" t="n">
        <f aca="false">ROUND(AL146-AM146-AN146,2)</f>
        <v>0</v>
      </c>
      <c r="AP146" s="47" t="n">
        <f aca="false">ROUND(AS145*(1+Sorted!$H$11),2)</f>
        <v>0</v>
      </c>
      <c r="AQ146" s="47" t="n">
        <f aca="false">MIN(AP146,Sorted!$G$11)</f>
        <v>0</v>
      </c>
      <c r="AR146" s="47" t="n">
        <f aca="false">MAX(0,MIN(AP146-AQ146,$C146-(H146+L146+P146+T146+X146+AB146+AF146+AJ146+AN146)))</f>
        <v>0</v>
      </c>
      <c r="AS146" s="47" t="n">
        <f aca="false">ROUND(AP146-AQ146-AR146,2)</f>
        <v>0</v>
      </c>
    </row>
    <row r="147" customFormat="false" ht="15" hidden="false" customHeight="false" outlineLevel="0" collapsed="false">
      <c r="A147" s="45" t="n">
        <v>144</v>
      </c>
      <c r="B147" s="46" t="n">
        <f aca="false">EDATE('My Debts'!$C$7,A147-1)</f>
        <v>50679</v>
      </c>
      <c r="C147" s="47" t="n">
        <f aca="false">MAX(0,'My Debts'!$E$6-(G147+K147+O147+S147+W147+AA147+AE147+AI147+AM147+AQ147))</f>
        <v>730</v>
      </c>
      <c r="D147" s="47" t="n">
        <f aca="false">(F147+J147+N147+R147+V147+Z147+AD147+AH147+AL147+AP147)-(I147+M147+Q147+U147+Y147+AC147+AG147+AK147+AO147+AS147)</f>
        <v>0</v>
      </c>
      <c r="E147" s="48" t="n">
        <f aca="false">I147+M147+Q147+U147+Y147+AC147+AG147+AK147+AO147+AS147</f>
        <v>0</v>
      </c>
      <c r="F147" s="47" t="n">
        <f aca="false">ROUND(I146*(1+Sorted!$H$2),2)</f>
        <v>0</v>
      </c>
      <c r="G147" s="47" t="n">
        <f aca="false">MIN(F147,Sorted!$G$2)</f>
        <v>0</v>
      </c>
      <c r="H147" s="47" t="n">
        <f aca="false">MAX(0,MIN(F147-G147,$C147-(0)))</f>
        <v>0</v>
      </c>
      <c r="I147" s="47" t="n">
        <f aca="false">ROUND(F147-G147-H147,2)</f>
        <v>0</v>
      </c>
      <c r="J147" s="47" t="n">
        <f aca="false">ROUND(M146*(1+Sorted!$H$3),2)</f>
        <v>0</v>
      </c>
      <c r="K147" s="47" t="n">
        <f aca="false">MIN(J147,Sorted!$G$3)</f>
        <v>0</v>
      </c>
      <c r="L147" s="47" t="n">
        <f aca="false">MAX(0,MIN(J147-K147,$C147-(H147)))</f>
        <v>0</v>
      </c>
      <c r="M147" s="47" t="n">
        <f aca="false">ROUND(J147-K147-L147,2)</f>
        <v>0</v>
      </c>
      <c r="N147" s="47" t="n">
        <f aca="false">ROUND(Q146*(1+Sorted!$H$4),2)</f>
        <v>0</v>
      </c>
      <c r="O147" s="47" t="n">
        <f aca="false">MIN(N147,Sorted!$G$4)</f>
        <v>0</v>
      </c>
      <c r="P147" s="47" t="n">
        <f aca="false">MAX(0,MIN(N147-O147,$C147-(H147+L147)))</f>
        <v>0</v>
      </c>
      <c r="Q147" s="47" t="n">
        <f aca="false">ROUND(N147-O147-P147,2)</f>
        <v>0</v>
      </c>
      <c r="R147" s="47" t="n">
        <f aca="false">ROUND(U146*(1+Sorted!$H$5),2)</f>
        <v>0</v>
      </c>
      <c r="S147" s="47" t="n">
        <f aca="false">MIN(R147,Sorted!$G$5)</f>
        <v>0</v>
      </c>
      <c r="T147" s="47" t="n">
        <f aca="false">MAX(0,MIN(R147-S147,$C147-(H147+L147+P147)))</f>
        <v>0</v>
      </c>
      <c r="U147" s="47" t="n">
        <f aca="false">ROUND(R147-S147-T147,2)</f>
        <v>0</v>
      </c>
      <c r="V147" s="47" t="n">
        <f aca="false">ROUND(Y146*(1+Sorted!$H$6),2)</f>
        <v>0</v>
      </c>
      <c r="W147" s="47" t="n">
        <f aca="false">MIN(V147,Sorted!$G$6)</f>
        <v>0</v>
      </c>
      <c r="X147" s="47" t="n">
        <f aca="false">MAX(0,MIN(V147-W147,$C147-(H147+L147+P147+T147)))</f>
        <v>0</v>
      </c>
      <c r="Y147" s="47" t="n">
        <f aca="false">ROUND(V147-W147-X147,2)</f>
        <v>0</v>
      </c>
      <c r="Z147" s="47" t="n">
        <f aca="false">ROUND(AC146*(1+Sorted!$H$7),2)</f>
        <v>0</v>
      </c>
      <c r="AA147" s="47" t="n">
        <f aca="false">MIN(Z147,Sorted!$G$7)</f>
        <v>0</v>
      </c>
      <c r="AB147" s="47" t="n">
        <f aca="false">MAX(0,MIN(Z147-AA147,$C147-(H147+L147+P147+T147+X147)))</f>
        <v>0</v>
      </c>
      <c r="AC147" s="47" t="n">
        <f aca="false">ROUND(Z147-AA147-AB147,2)</f>
        <v>0</v>
      </c>
      <c r="AD147" s="47" t="n">
        <f aca="false">ROUND(AG146*(1+Sorted!$H$8),2)</f>
        <v>0</v>
      </c>
      <c r="AE147" s="47" t="n">
        <f aca="false">MIN(AD147,Sorted!$G$8)</f>
        <v>0</v>
      </c>
      <c r="AF147" s="47" t="n">
        <f aca="false">MAX(0,MIN(AD147-AE147,$C147-(H147+L147+P147+T147+X147+AB147)))</f>
        <v>0</v>
      </c>
      <c r="AG147" s="47" t="n">
        <f aca="false">ROUND(AD147-AE147-AF147,2)</f>
        <v>0</v>
      </c>
      <c r="AH147" s="47" t="n">
        <f aca="false">ROUND(AK146*(1+Sorted!$H$9),2)</f>
        <v>0</v>
      </c>
      <c r="AI147" s="47" t="n">
        <f aca="false">MIN(AH147,Sorted!$G$9)</f>
        <v>0</v>
      </c>
      <c r="AJ147" s="47" t="n">
        <f aca="false">MAX(0,MIN(AH147-AI147,$C147-(H147+L147+P147+T147+X147+AB147+AF147)))</f>
        <v>0</v>
      </c>
      <c r="AK147" s="47" t="n">
        <f aca="false">ROUND(AH147-AI147-AJ147,2)</f>
        <v>0</v>
      </c>
      <c r="AL147" s="47" t="n">
        <f aca="false">ROUND(AO146*(1+Sorted!$H$10),2)</f>
        <v>0</v>
      </c>
      <c r="AM147" s="47" t="n">
        <f aca="false">MIN(AL147,Sorted!$G$10)</f>
        <v>0</v>
      </c>
      <c r="AN147" s="47" t="n">
        <f aca="false">MAX(0,MIN(AL147-AM147,$C147-(H147+L147+P147+T147+X147+AB147+AF147+AJ147)))</f>
        <v>0</v>
      </c>
      <c r="AO147" s="47" t="n">
        <f aca="false">ROUND(AL147-AM147-AN147,2)</f>
        <v>0</v>
      </c>
      <c r="AP147" s="47" t="n">
        <f aca="false">ROUND(AS146*(1+Sorted!$H$11),2)</f>
        <v>0</v>
      </c>
      <c r="AQ147" s="47" t="n">
        <f aca="false">MIN(AP147,Sorted!$G$11)</f>
        <v>0</v>
      </c>
      <c r="AR147" s="47" t="n">
        <f aca="false">MAX(0,MIN(AP147-AQ147,$C147-(H147+L147+P147+T147+X147+AB147+AF147+AJ147+AN147)))</f>
        <v>0</v>
      </c>
      <c r="AS147" s="47" t="n">
        <f aca="false">ROUND(AP147-AQ147-AR147,2)</f>
        <v>0</v>
      </c>
    </row>
    <row r="148" customFormat="false" ht="15" hidden="false" customHeight="false" outlineLevel="0" collapsed="false">
      <c r="A148" s="45" t="n">
        <v>145</v>
      </c>
      <c r="B148" s="46" t="n">
        <f aca="false">EDATE('My Debts'!$C$7,A148-1)</f>
        <v>50710</v>
      </c>
      <c r="C148" s="47" t="n">
        <f aca="false">MAX(0,'My Debts'!$E$6-(G148+K148+O148+S148+W148+AA148+AE148+AI148+AM148+AQ148))</f>
        <v>730</v>
      </c>
      <c r="D148" s="47" t="n">
        <f aca="false">(F148+J148+N148+R148+V148+Z148+AD148+AH148+AL148+AP148)-(I148+M148+Q148+U148+Y148+AC148+AG148+AK148+AO148+AS148)</f>
        <v>0</v>
      </c>
      <c r="E148" s="48" t="n">
        <f aca="false">I148+M148+Q148+U148+Y148+AC148+AG148+AK148+AO148+AS148</f>
        <v>0</v>
      </c>
      <c r="F148" s="47" t="n">
        <f aca="false">ROUND(I147*(1+Sorted!$H$2),2)</f>
        <v>0</v>
      </c>
      <c r="G148" s="47" t="n">
        <f aca="false">MIN(F148,Sorted!$G$2)</f>
        <v>0</v>
      </c>
      <c r="H148" s="47" t="n">
        <f aca="false">MAX(0,MIN(F148-G148,$C148-(0)))</f>
        <v>0</v>
      </c>
      <c r="I148" s="47" t="n">
        <f aca="false">ROUND(F148-G148-H148,2)</f>
        <v>0</v>
      </c>
      <c r="J148" s="47" t="n">
        <f aca="false">ROUND(M147*(1+Sorted!$H$3),2)</f>
        <v>0</v>
      </c>
      <c r="K148" s="47" t="n">
        <f aca="false">MIN(J148,Sorted!$G$3)</f>
        <v>0</v>
      </c>
      <c r="L148" s="47" t="n">
        <f aca="false">MAX(0,MIN(J148-K148,$C148-(H148)))</f>
        <v>0</v>
      </c>
      <c r="M148" s="47" t="n">
        <f aca="false">ROUND(J148-K148-L148,2)</f>
        <v>0</v>
      </c>
      <c r="N148" s="47" t="n">
        <f aca="false">ROUND(Q147*(1+Sorted!$H$4),2)</f>
        <v>0</v>
      </c>
      <c r="O148" s="47" t="n">
        <f aca="false">MIN(N148,Sorted!$G$4)</f>
        <v>0</v>
      </c>
      <c r="P148" s="47" t="n">
        <f aca="false">MAX(0,MIN(N148-O148,$C148-(H148+L148)))</f>
        <v>0</v>
      </c>
      <c r="Q148" s="47" t="n">
        <f aca="false">ROUND(N148-O148-P148,2)</f>
        <v>0</v>
      </c>
      <c r="R148" s="47" t="n">
        <f aca="false">ROUND(U147*(1+Sorted!$H$5),2)</f>
        <v>0</v>
      </c>
      <c r="S148" s="47" t="n">
        <f aca="false">MIN(R148,Sorted!$G$5)</f>
        <v>0</v>
      </c>
      <c r="T148" s="47" t="n">
        <f aca="false">MAX(0,MIN(R148-S148,$C148-(H148+L148+P148)))</f>
        <v>0</v>
      </c>
      <c r="U148" s="47" t="n">
        <f aca="false">ROUND(R148-S148-T148,2)</f>
        <v>0</v>
      </c>
      <c r="V148" s="47" t="n">
        <f aca="false">ROUND(Y147*(1+Sorted!$H$6),2)</f>
        <v>0</v>
      </c>
      <c r="W148" s="47" t="n">
        <f aca="false">MIN(V148,Sorted!$G$6)</f>
        <v>0</v>
      </c>
      <c r="X148" s="47" t="n">
        <f aca="false">MAX(0,MIN(V148-W148,$C148-(H148+L148+P148+T148)))</f>
        <v>0</v>
      </c>
      <c r="Y148" s="47" t="n">
        <f aca="false">ROUND(V148-W148-X148,2)</f>
        <v>0</v>
      </c>
      <c r="Z148" s="47" t="n">
        <f aca="false">ROUND(AC147*(1+Sorted!$H$7),2)</f>
        <v>0</v>
      </c>
      <c r="AA148" s="47" t="n">
        <f aca="false">MIN(Z148,Sorted!$G$7)</f>
        <v>0</v>
      </c>
      <c r="AB148" s="47" t="n">
        <f aca="false">MAX(0,MIN(Z148-AA148,$C148-(H148+L148+P148+T148+X148)))</f>
        <v>0</v>
      </c>
      <c r="AC148" s="47" t="n">
        <f aca="false">ROUND(Z148-AA148-AB148,2)</f>
        <v>0</v>
      </c>
      <c r="AD148" s="47" t="n">
        <f aca="false">ROUND(AG147*(1+Sorted!$H$8),2)</f>
        <v>0</v>
      </c>
      <c r="AE148" s="47" t="n">
        <f aca="false">MIN(AD148,Sorted!$G$8)</f>
        <v>0</v>
      </c>
      <c r="AF148" s="47" t="n">
        <f aca="false">MAX(0,MIN(AD148-AE148,$C148-(H148+L148+P148+T148+X148+AB148)))</f>
        <v>0</v>
      </c>
      <c r="AG148" s="47" t="n">
        <f aca="false">ROUND(AD148-AE148-AF148,2)</f>
        <v>0</v>
      </c>
      <c r="AH148" s="47" t="n">
        <f aca="false">ROUND(AK147*(1+Sorted!$H$9),2)</f>
        <v>0</v>
      </c>
      <c r="AI148" s="47" t="n">
        <f aca="false">MIN(AH148,Sorted!$G$9)</f>
        <v>0</v>
      </c>
      <c r="AJ148" s="47" t="n">
        <f aca="false">MAX(0,MIN(AH148-AI148,$C148-(H148+L148+P148+T148+X148+AB148+AF148)))</f>
        <v>0</v>
      </c>
      <c r="AK148" s="47" t="n">
        <f aca="false">ROUND(AH148-AI148-AJ148,2)</f>
        <v>0</v>
      </c>
      <c r="AL148" s="47" t="n">
        <f aca="false">ROUND(AO147*(1+Sorted!$H$10),2)</f>
        <v>0</v>
      </c>
      <c r="AM148" s="47" t="n">
        <f aca="false">MIN(AL148,Sorted!$G$10)</f>
        <v>0</v>
      </c>
      <c r="AN148" s="47" t="n">
        <f aca="false">MAX(0,MIN(AL148-AM148,$C148-(H148+L148+P148+T148+X148+AB148+AF148+AJ148)))</f>
        <v>0</v>
      </c>
      <c r="AO148" s="47" t="n">
        <f aca="false">ROUND(AL148-AM148-AN148,2)</f>
        <v>0</v>
      </c>
      <c r="AP148" s="47" t="n">
        <f aca="false">ROUND(AS147*(1+Sorted!$H$11),2)</f>
        <v>0</v>
      </c>
      <c r="AQ148" s="47" t="n">
        <f aca="false">MIN(AP148,Sorted!$G$11)</f>
        <v>0</v>
      </c>
      <c r="AR148" s="47" t="n">
        <f aca="false">MAX(0,MIN(AP148-AQ148,$C148-(H148+L148+P148+T148+X148+AB148+AF148+AJ148+AN148)))</f>
        <v>0</v>
      </c>
      <c r="AS148" s="47" t="n">
        <f aca="false">ROUND(AP148-AQ148-AR148,2)</f>
        <v>0</v>
      </c>
    </row>
    <row r="149" customFormat="false" ht="15" hidden="false" customHeight="false" outlineLevel="0" collapsed="false">
      <c r="A149" s="45" t="n">
        <v>146</v>
      </c>
      <c r="B149" s="46" t="n">
        <f aca="false">EDATE('My Debts'!$C$7,A149-1)</f>
        <v>50740</v>
      </c>
      <c r="C149" s="47" t="n">
        <f aca="false">MAX(0,'My Debts'!$E$6-(G149+K149+O149+S149+W149+AA149+AE149+AI149+AM149+AQ149))</f>
        <v>730</v>
      </c>
      <c r="D149" s="47" t="n">
        <f aca="false">(F149+J149+N149+R149+V149+Z149+AD149+AH149+AL149+AP149)-(I149+M149+Q149+U149+Y149+AC149+AG149+AK149+AO149+AS149)</f>
        <v>0</v>
      </c>
      <c r="E149" s="48" t="n">
        <f aca="false">I149+M149+Q149+U149+Y149+AC149+AG149+AK149+AO149+AS149</f>
        <v>0</v>
      </c>
      <c r="F149" s="47" t="n">
        <f aca="false">ROUND(I148*(1+Sorted!$H$2),2)</f>
        <v>0</v>
      </c>
      <c r="G149" s="47" t="n">
        <f aca="false">MIN(F149,Sorted!$G$2)</f>
        <v>0</v>
      </c>
      <c r="H149" s="47" t="n">
        <f aca="false">MAX(0,MIN(F149-G149,$C149-(0)))</f>
        <v>0</v>
      </c>
      <c r="I149" s="47" t="n">
        <f aca="false">ROUND(F149-G149-H149,2)</f>
        <v>0</v>
      </c>
      <c r="J149" s="47" t="n">
        <f aca="false">ROUND(M148*(1+Sorted!$H$3),2)</f>
        <v>0</v>
      </c>
      <c r="K149" s="47" t="n">
        <f aca="false">MIN(J149,Sorted!$G$3)</f>
        <v>0</v>
      </c>
      <c r="L149" s="47" t="n">
        <f aca="false">MAX(0,MIN(J149-K149,$C149-(H149)))</f>
        <v>0</v>
      </c>
      <c r="M149" s="47" t="n">
        <f aca="false">ROUND(J149-K149-L149,2)</f>
        <v>0</v>
      </c>
      <c r="N149" s="47" t="n">
        <f aca="false">ROUND(Q148*(1+Sorted!$H$4),2)</f>
        <v>0</v>
      </c>
      <c r="O149" s="47" t="n">
        <f aca="false">MIN(N149,Sorted!$G$4)</f>
        <v>0</v>
      </c>
      <c r="P149" s="47" t="n">
        <f aca="false">MAX(0,MIN(N149-O149,$C149-(H149+L149)))</f>
        <v>0</v>
      </c>
      <c r="Q149" s="47" t="n">
        <f aca="false">ROUND(N149-O149-P149,2)</f>
        <v>0</v>
      </c>
      <c r="R149" s="47" t="n">
        <f aca="false">ROUND(U148*(1+Sorted!$H$5),2)</f>
        <v>0</v>
      </c>
      <c r="S149" s="47" t="n">
        <f aca="false">MIN(R149,Sorted!$G$5)</f>
        <v>0</v>
      </c>
      <c r="T149" s="47" t="n">
        <f aca="false">MAX(0,MIN(R149-S149,$C149-(H149+L149+P149)))</f>
        <v>0</v>
      </c>
      <c r="U149" s="47" t="n">
        <f aca="false">ROUND(R149-S149-T149,2)</f>
        <v>0</v>
      </c>
      <c r="V149" s="47" t="n">
        <f aca="false">ROUND(Y148*(1+Sorted!$H$6),2)</f>
        <v>0</v>
      </c>
      <c r="W149" s="47" t="n">
        <f aca="false">MIN(V149,Sorted!$G$6)</f>
        <v>0</v>
      </c>
      <c r="X149" s="47" t="n">
        <f aca="false">MAX(0,MIN(V149-W149,$C149-(H149+L149+P149+T149)))</f>
        <v>0</v>
      </c>
      <c r="Y149" s="47" t="n">
        <f aca="false">ROUND(V149-W149-X149,2)</f>
        <v>0</v>
      </c>
      <c r="Z149" s="47" t="n">
        <f aca="false">ROUND(AC148*(1+Sorted!$H$7),2)</f>
        <v>0</v>
      </c>
      <c r="AA149" s="47" t="n">
        <f aca="false">MIN(Z149,Sorted!$G$7)</f>
        <v>0</v>
      </c>
      <c r="AB149" s="47" t="n">
        <f aca="false">MAX(0,MIN(Z149-AA149,$C149-(H149+L149+P149+T149+X149)))</f>
        <v>0</v>
      </c>
      <c r="AC149" s="47" t="n">
        <f aca="false">ROUND(Z149-AA149-AB149,2)</f>
        <v>0</v>
      </c>
      <c r="AD149" s="47" t="n">
        <f aca="false">ROUND(AG148*(1+Sorted!$H$8),2)</f>
        <v>0</v>
      </c>
      <c r="AE149" s="47" t="n">
        <f aca="false">MIN(AD149,Sorted!$G$8)</f>
        <v>0</v>
      </c>
      <c r="AF149" s="47" t="n">
        <f aca="false">MAX(0,MIN(AD149-AE149,$C149-(H149+L149+P149+T149+X149+AB149)))</f>
        <v>0</v>
      </c>
      <c r="AG149" s="47" t="n">
        <f aca="false">ROUND(AD149-AE149-AF149,2)</f>
        <v>0</v>
      </c>
      <c r="AH149" s="47" t="n">
        <f aca="false">ROUND(AK148*(1+Sorted!$H$9),2)</f>
        <v>0</v>
      </c>
      <c r="AI149" s="47" t="n">
        <f aca="false">MIN(AH149,Sorted!$G$9)</f>
        <v>0</v>
      </c>
      <c r="AJ149" s="47" t="n">
        <f aca="false">MAX(0,MIN(AH149-AI149,$C149-(H149+L149+P149+T149+X149+AB149+AF149)))</f>
        <v>0</v>
      </c>
      <c r="AK149" s="47" t="n">
        <f aca="false">ROUND(AH149-AI149-AJ149,2)</f>
        <v>0</v>
      </c>
      <c r="AL149" s="47" t="n">
        <f aca="false">ROUND(AO148*(1+Sorted!$H$10),2)</f>
        <v>0</v>
      </c>
      <c r="AM149" s="47" t="n">
        <f aca="false">MIN(AL149,Sorted!$G$10)</f>
        <v>0</v>
      </c>
      <c r="AN149" s="47" t="n">
        <f aca="false">MAX(0,MIN(AL149-AM149,$C149-(H149+L149+P149+T149+X149+AB149+AF149+AJ149)))</f>
        <v>0</v>
      </c>
      <c r="AO149" s="47" t="n">
        <f aca="false">ROUND(AL149-AM149-AN149,2)</f>
        <v>0</v>
      </c>
      <c r="AP149" s="47" t="n">
        <f aca="false">ROUND(AS148*(1+Sorted!$H$11),2)</f>
        <v>0</v>
      </c>
      <c r="AQ149" s="47" t="n">
        <f aca="false">MIN(AP149,Sorted!$G$11)</f>
        <v>0</v>
      </c>
      <c r="AR149" s="47" t="n">
        <f aca="false">MAX(0,MIN(AP149-AQ149,$C149-(H149+L149+P149+T149+X149+AB149+AF149+AJ149+AN149)))</f>
        <v>0</v>
      </c>
      <c r="AS149" s="47" t="n">
        <f aca="false">ROUND(AP149-AQ149-AR149,2)</f>
        <v>0</v>
      </c>
    </row>
    <row r="150" customFormat="false" ht="15" hidden="false" customHeight="false" outlineLevel="0" collapsed="false">
      <c r="A150" s="45" t="n">
        <v>147</v>
      </c>
      <c r="B150" s="46" t="n">
        <f aca="false">EDATE('My Debts'!$C$7,A150-1)</f>
        <v>50771</v>
      </c>
      <c r="C150" s="47" t="n">
        <f aca="false">MAX(0,'My Debts'!$E$6-(G150+K150+O150+S150+W150+AA150+AE150+AI150+AM150+AQ150))</f>
        <v>730</v>
      </c>
      <c r="D150" s="47" t="n">
        <f aca="false">(F150+J150+N150+R150+V150+Z150+AD150+AH150+AL150+AP150)-(I150+M150+Q150+U150+Y150+AC150+AG150+AK150+AO150+AS150)</f>
        <v>0</v>
      </c>
      <c r="E150" s="48" t="n">
        <f aca="false">I150+M150+Q150+U150+Y150+AC150+AG150+AK150+AO150+AS150</f>
        <v>0</v>
      </c>
      <c r="F150" s="47" t="n">
        <f aca="false">ROUND(I149*(1+Sorted!$H$2),2)</f>
        <v>0</v>
      </c>
      <c r="G150" s="47" t="n">
        <f aca="false">MIN(F150,Sorted!$G$2)</f>
        <v>0</v>
      </c>
      <c r="H150" s="47" t="n">
        <f aca="false">MAX(0,MIN(F150-G150,$C150-(0)))</f>
        <v>0</v>
      </c>
      <c r="I150" s="47" t="n">
        <f aca="false">ROUND(F150-G150-H150,2)</f>
        <v>0</v>
      </c>
      <c r="J150" s="47" t="n">
        <f aca="false">ROUND(M149*(1+Sorted!$H$3),2)</f>
        <v>0</v>
      </c>
      <c r="K150" s="47" t="n">
        <f aca="false">MIN(J150,Sorted!$G$3)</f>
        <v>0</v>
      </c>
      <c r="L150" s="47" t="n">
        <f aca="false">MAX(0,MIN(J150-K150,$C150-(H150)))</f>
        <v>0</v>
      </c>
      <c r="M150" s="47" t="n">
        <f aca="false">ROUND(J150-K150-L150,2)</f>
        <v>0</v>
      </c>
      <c r="N150" s="47" t="n">
        <f aca="false">ROUND(Q149*(1+Sorted!$H$4),2)</f>
        <v>0</v>
      </c>
      <c r="O150" s="47" t="n">
        <f aca="false">MIN(N150,Sorted!$G$4)</f>
        <v>0</v>
      </c>
      <c r="P150" s="47" t="n">
        <f aca="false">MAX(0,MIN(N150-O150,$C150-(H150+L150)))</f>
        <v>0</v>
      </c>
      <c r="Q150" s="47" t="n">
        <f aca="false">ROUND(N150-O150-P150,2)</f>
        <v>0</v>
      </c>
      <c r="R150" s="47" t="n">
        <f aca="false">ROUND(U149*(1+Sorted!$H$5),2)</f>
        <v>0</v>
      </c>
      <c r="S150" s="47" t="n">
        <f aca="false">MIN(R150,Sorted!$G$5)</f>
        <v>0</v>
      </c>
      <c r="T150" s="47" t="n">
        <f aca="false">MAX(0,MIN(R150-S150,$C150-(H150+L150+P150)))</f>
        <v>0</v>
      </c>
      <c r="U150" s="47" t="n">
        <f aca="false">ROUND(R150-S150-T150,2)</f>
        <v>0</v>
      </c>
      <c r="V150" s="47" t="n">
        <f aca="false">ROUND(Y149*(1+Sorted!$H$6),2)</f>
        <v>0</v>
      </c>
      <c r="W150" s="47" t="n">
        <f aca="false">MIN(V150,Sorted!$G$6)</f>
        <v>0</v>
      </c>
      <c r="X150" s="47" t="n">
        <f aca="false">MAX(0,MIN(V150-W150,$C150-(H150+L150+P150+T150)))</f>
        <v>0</v>
      </c>
      <c r="Y150" s="47" t="n">
        <f aca="false">ROUND(V150-W150-X150,2)</f>
        <v>0</v>
      </c>
      <c r="Z150" s="47" t="n">
        <f aca="false">ROUND(AC149*(1+Sorted!$H$7),2)</f>
        <v>0</v>
      </c>
      <c r="AA150" s="47" t="n">
        <f aca="false">MIN(Z150,Sorted!$G$7)</f>
        <v>0</v>
      </c>
      <c r="AB150" s="47" t="n">
        <f aca="false">MAX(0,MIN(Z150-AA150,$C150-(H150+L150+P150+T150+X150)))</f>
        <v>0</v>
      </c>
      <c r="AC150" s="47" t="n">
        <f aca="false">ROUND(Z150-AA150-AB150,2)</f>
        <v>0</v>
      </c>
      <c r="AD150" s="47" t="n">
        <f aca="false">ROUND(AG149*(1+Sorted!$H$8),2)</f>
        <v>0</v>
      </c>
      <c r="AE150" s="47" t="n">
        <f aca="false">MIN(AD150,Sorted!$G$8)</f>
        <v>0</v>
      </c>
      <c r="AF150" s="47" t="n">
        <f aca="false">MAX(0,MIN(AD150-AE150,$C150-(H150+L150+P150+T150+X150+AB150)))</f>
        <v>0</v>
      </c>
      <c r="AG150" s="47" t="n">
        <f aca="false">ROUND(AD150-AE150-AF150,2)</f>
        <v>0</v>
      </c>
      <c r="AH150" s="47" t="n">
        <f aca="false">ROUND(AK149*(1+Sorted!$H$9),2)</f>
        <v>0</v>
      </c>
      <c r="AI150" s="47" t="n">
        <f aca="false">MIN(AH150,Sorted!$G$9)</f>
        <v>0</v>
      </c>
      <c r="AJ150" s="47" t="n">
        <f aca="false">MAX(0,MIN(AH150-AI150,$C150-(H150+L150+P150+T150+X150+AB150+AF150)))</f>
        <v>0</v>
      </c>
      <c r="AK150" s="47" t="n">
        <f aca="false">ROUND(AH150-AI150-AJ150,2)</f>
        <v>0</v>
      </c>
      <c r="AL150" s="47" t="n">
        <f aca="false">ROUND(AO149*(1+Sorted!$H$10),2)</f>
        <v>0</v>
      </c>
      <c r="AM150" s="47" t="n">
        <f aca="false">MIN(AL150,Sorted!$G$10)</f>
        <v>0</v>
      </c>
      <c r="AN150" s="47" t="n">
        <f aca="false">MAX(0,MIN(AL150-AM150,$C150-(H150+L150+P150+T150+X150+AB150+AF150+AJ150)))</f>
        <v>0</v>
      </c>
      <c r="AO150" s="47" t="n">
        <f aca="false">ROUND(AL150-AM150-AN150,2)</f>
        <v>0</v>
      </c>
      <c r="AP150" s="47" t="n">
        <f aca="false">ROUND(AS149*(1+Sorted!$H$11),2)</f>
        <v>0</v>
      </c>
      <c r="AQ150" s="47" t="n">
        <f aca="false">MIN(AP150,Sorted!$G$11)</f>
        <v>0</v>
      </c>
      <c r="AR150" s="47" t="n">
        <f aca="false">MAX(0,MIN(AP150-AQ150,$C150-(H150+L150+P150+T150+X150+AB150+AF150+AJ150+AN150)))</f>
        <v>0</v>
      </c>
      <c r="AS150" s="47" t="n">
        <f aca="false">ROUND(AP150-AQ150-AR150,2)</f>
        <v>0</v>
      </c>
    </row>
    <row r="151" customFormat="false" ht="15" hidden="false" customHeight="false" outlineLevel="0" collapsed="false">
      <c r="A151" s="45" t="n">
        <v>148</v>
      </c>
      <c r="B151" s="46" t="n">
        <f aca="false">EDATE('My Debts'!$C$7,A151-1)</f>
        <v>50802</v>
      </c>
      <c r="C151" s="47" t="n">
        <f aca="false">MAX(0,'My Debts'!$E$6-(G151+K151+O151+S151+W151+AA151+AE151+AI151+AM151+AQ151))</f>
        <v>730</v>
      </c>
      <c r="D151" s="47" t="n">
        <f aca="false">(F151+J151+N151+R151+V151+Z151+AD151+AH151+AL151+AP151)-(I151+M151+Q151+U151+Y151+AC151+AG151+AK151+AO151+AS151)</f>
        <v>0</v>
      </c>
      <c r="E151" s="48" t="n">
        <f aca="false">I151+M151+Q151+U151+Y151+AC151+AG151+AK151+AO151+AS151</f>
        <v>0</v>
      </c>
      <c r="F151" s="47" t="n">
        <f aca="false">ROUND(I150*(1+Sorted!$H$2),2)</f>
        <v>0</v>
      </c>
      <c r="G151" s="47" t="n">
        <f aca="false">MIN(F151,Sorted!$G$2)</f>
        <v>0</v>
      </c>
      <c r="H151" s="47" t="n">
        <f aca="false">MAX(0,MIN(F151-G151,$C151-(0)))</f>
        <v>0</v>
      </c>
      <c r="I151" s="47" t="n">
        <f aca="false">ROUND(F151-G151-H151,2)</f>
        <v>0</v>
      </c>
      <c r="J151" s="47" t="n">
        <f aca="false">ROUND(M150*(1+Sorted!$H$3),2)</f>
        <v>0</v>
      </c>
      <c r="K151" s="47" t="n">
        <f aca="false">MIN(J151,Sorted!$G$3)</f>
        <v>0</v>
      </c>
      <c r="L151" s="47" t="n">
        <f aca="false">MAX(0,MIN(J151-K151,$C151-(H151)))</f>
        <v>0</v>
      </c>
      <c r="M151" s="47" t="n">
        <f aca="false">ROUND(J151-K151-L151,2)</f>
        <v>0</v>
      </c>
      <c r="N151" s="47" t="n">
        <f aca="false">ROUND(Q150*(1+Sorted!$H$4),2)</f>
        <v>0</v>
      </c>
      <c r="O151" s="47" t="n">
        <f aca="false">MIN(N151,Sorted!$G$4)</f>
        <v>0</v>
      </c>
      <c r="P151" s="47" t="n">
        <f aca="false">MAX(0,MIN(N151-O151,$C151-(H151+L151)))</f>
        <v>0</v>
      </c>
      <c r="Q151" s="47" t="n">
        <f aca="false">ROUND(N151-O151-P151,2)</f>
        <v>0</v>
      </c>
      <c r="R151" s="47" t="n">
        <f aca="false">ROUND(U150*(1+Sorted!$H$5),2)</f>
        <v>0</v>
      </c>
      <c r="S151" s="47" t="n">
        <f aca="false">MIN(R151,Sorted!$G$5)</f>
        <v>0</v>
      </c>
      <c r="T151" s="47" t="n">
        <f aca="false">MAX(0,MIN(R151-S151,$C151-(H151+L151+P151)))</f>
        <v>0</v>
      </c>
      <c r="U151" s="47" t="n">
        <f aca="false">ROUND(R151-S151-T151,2)</f>
        <v>0</v>
      </c>
      <c r="V151" s="47" t="n">
        <f aca="false">ROUND(Y150*(1+Sorted!$H$6),2)</f>
        <v>0</v>
      </c>
      <c r="W151" s="47" t="n">
        <f aca="false">MIN(V151,Sorted!$G$6)</f>
        <v>0</v>
      </c>
      <c r="X151" s="47" t="n">
        <f aca="false">MAX(0,MIN(V151-W151,$C151-(H151+L151+P151+T151)))</f>
        <v>0</v>
      </c>
      <c r="Y151" s="47" t="n">
        <f aca="false">ROUND(V151-W151-X151,2)</f>
        <v>0</v>
      </c>
      <c r="Z151" s="47" t="n">
        <f aca="false">ROUND(AC150*(1+Sorted!$H$7),2)</f>
        <v>0</v>
      </c>
      <c r="AA151" s="47" t="n">
        <f aca="false">MIN(Z151,Sorted!$G$7)</f>
        <v>0</v>
      </c>
      <c r="AB151" s="47" t="n">
        <f aca="false">MAX(0,MIN(Z151-AA151,$C151-(H151+L151+P151+T151+X151)))</f>
        <v>0</v>
      </c>
      <c r="AC151" s="47" t="n">
        <f aca="false">ROUND(Z151-AA151-AB151,2)</f>
        <v>0</v>
      </c>
      <c r="AD151" s="47" t="n">
        <f aca="false">ROUND(AG150*(1+Sorted!$H$8),2)</f>
        <v>0</v>
      </c>
      <c r="AE151" s="47" t="n">
        <f aca="false">MIN(AD151,Sorted!$G$8)</f>
        <v>0</v>
      </c>
      <c r="AF151" s="47" t="n">
        <f aca="false">MAX(0,MIN(AD151-AE151,$C151-(H151+L151+P151+T151+X151+AB151)))</f>
        <v>0</v>
      </c>
      <c r="AG151" s="47" t="n">
        <f aca="false">ROUND(AD151-AE151-AF151,2)</f>
        <v>0</v>
      </c>
      <c r="AH151" s="47" t="n">
        <f aca="false">ROUND(AK150*(1+Sorted!$H$9),2)</f>
        <v>0</v>
      </c>
      <c r="AI151" s="47" t="n">
        <f aca="false">MIN(AH151,Sorted!$G$9)</f>
        <v>0</v>
      </c>
      <c r="AJ151" s="47" t="n">
        <f aca="false">MAX(0,MIN(AH151-AI151,$C151-(H151+L151+P151+T151+X151+AB151+AF151)))</f>
        <v>0</v>
      </c>
      <c r="AK151" s="47" t="n">
        <f aca="false">ROUND(AH151-AI151-AJ151,2)</f>
        <v>0</v>
      </c>
      <c r="AL151" s="47" t="n">
        <f aca="false">ROUND(AO150*(1+Sorted!$H$10),2)</f>
        <v>0</v>
      </c>
      <c r="AM151" s="47" t="n">
        <f aca="false">MIN(AL151,Sorted!$G$10)</f>
        <v>0</v>
      </c>
      <c r="AN151" s="47" t="n">
        <f aca="false">MAX(0,MIN(AL151-AM151,$C151-(H151+L151+P151+T151+X151+AB151+AF151+AJ151)))</f>
        <v>0</v>
      </c>
      <c r="AO151" s="47" t="n">
        <f aca="false">ROUND(AL151-AM151-AN151,2)</f>
        <v>0</v>
      </c>
      <c r="AP151" s="47" t="n">
        <f aca="false">ROUND(AS150*(1+Sorted!$H$11),2)</f>
        <v>0</v>
      </c>
      <c r="AQ151" s="47" t="n">
        <f aca="false">MIN(AP151,Sorted!$G$11)</f>
        <v>0</v>
      </c>
      <c r="AR151" s="47" t="n">
        <f aca="false">MAX(0,MIN(AP151-AQ151,$C151-(H151+L151+P151+T151+X151+AB151+AF151+AJ151+AN151)))</f>
        <v>0</v>
      </c>
      <c r="AS151" s="47" t="n">
        <f aca="false">ROUND(AP151-AQ151-AR151,2)</f>
        <v>0</v>
      </c>
    </row>
    <row r="152" customFormat="false" ht="15" hidden="false" customHeight="false" outlineLevel="0" collapsed="false">
      <c r="A152" s="45" t="n">
        <v>149</v>
      </c>
      <c r="B152" s="46" t="n">
        <f aca="false">EDATE('My Debts'!$C$7,A152-1)</f>
        <v>50830</v>
      </c>
      <c r="C152" s="47" t="n">
        <f aca="false">MAX(0,'My Debts'!$E$6-(G152+K152+O152+S152+W152+AA152+AE152+AI152+AM152+AQ152))</f>
        <v>730</v>
      </c>
      <c r="D152" s="47" t="n">
        <f aca="false">(F152+J152+N152+R152+V152+Z152+AD152+AH152+AL152+AP152)-(I152+M152+Q152+U152+Y152+AC152+AG152+AK152+AO152+AS152)</f>
        <v>0</v>
      </c>
      <c r="E152" s="48" t="n">
        <f aca="false">I152+M152+Q152+U152+Y152+AC152+AG152+AK152+AO152+AS152</f>
        <v>0</v>
      </c>
      <c r="F152" s="47" t="n">
        <f aca="false">ROUND(I151*(1+Sorted!$H$2),2)</f>
        <v>0</v>
      </c>
      <c r="G152" s="47" t="n">
        <f aca="false">MIN(F152,Sorted!$G$2)</f>
        <v>0</v>
      </c>
      <c r="H152" s="47" t="n">
        <f aca="false">MAX(0,MIN(F152-G152,$C152-(0)))</f>
        <v>0</v>
      </c>
      <c r="I152" s="47" t="n">
        <f aca="false">ROUND(F152-G152-H152,2)</f>
        <v>0</v>
      </c>
      <c r="J152" s="47" t="n">
        <f aca="false">ROUND(M151*(1+Sorted!$H$3),2)</f>
        <v>0</v>
      </c>
      <c r="K152" s="47" t="n">
        <f aca="false">MIN(J152,Sorted!$G$3)</f>
        <v>0</v>
      </c>
      <c r="L152" s="47" t="n">
        <f aca="false">MAX(0,MIN(J152-K152,$C152-(H152)))</f>
        <v>0</v>
      </c>
      <c r="M152" s="47" t="n">
        <f aca="false">ROUND(J152-K152-L152,2)</f>
        <v>0</v>
      </c>
      <c r="N152" s="47" t="n">
        <f aca="false">ROUND(Q151*(1+Sorted!$H$4),2)</f>
        <v>0</v>
      </c>
      <c r="O152" s="47" t="n">
        <f aca="false">MIN(N152,Sorted!$G$4)</f>
        <v>0</v>
      </c>
      <c r="P152" s="47" t="n">
        <f aca="false">MAX(0,MIN(N152-O152,$C152-(H152+L152)))</f>
        <v>0</v>
      </c>
      <c r="Q152" s="47" t="n">
        <f aca="false">ROUND(N152-O152-P152,2)</f>
        <v>0</v>
      </c>
      <c r="R152" s="47" t="n">
        <f aca="false">ROUND(U151*(1+Sorted!$H$5),2)</f>
        <v>0</v>
      </c>
      <c r="S152" s="47" t="n">
        <f aca="false">MIN(R152,Sorted!$G$5)</f>
        <v>0</v>
      </c>
      <c r="T152" s="47" t="n">
        <f aca="false">MAX(0,MIN(R152-S152,$C152-(H152+L152+P152)))</f>
        <v>0</v>
      </c>
      <c r="U152" s="47" t="n">
        <f aca="false">ROUND(R152-S152-T152,2)</f>
        <v>0</v>
      </c>
      <c r="V152" s="47" t="n">
        <f aca="false">ROUND(Y151*(1+Sorted!$H$6),2)</f>
        <v>0</v>
      </c>
      <c r="W152" s="47" t="n">
        <f aca="false">MIN(V152,Sorted!$G$6)</f>
        <v>0</v>
      </c>
      <c r="X152" s="47" t="n">
        <f aca="false">MAX(0,MIN(V152-W152,$C152-(H152+L152+P152+T152)))</f>
        <v>0</v>
      </c>
      <c r="Y152" s="47" t="n">
        <f aca="false">ROUND(V152-W152-X152,2)</f>
        <v>0</v>
      </c>
      <c r="Z152" s="47" t="n">
        <f aca="false">ROUND(AC151*(1+Sorted!$H$7),2)</f>
        <v>0</v>
      </c>
      <c r="AA152" s="47" t="n">
        <f aca="false">MIN(Z152,Sorted!$G$7)</f>
        <v>0</v>
      </c>
      <c r="AB152" s="47" t="n">
        <f aca="false">MAX(0,MIN(Z152-AA152,$C152-(H152+L152+P152+T152+X152)))</f>
        <v>0</v>
      </c>
      <c r="AC152" s="47" t="n">
        <f aca="false">ROUND(Z152-AA152-AB152,2)</f>
        <v>0</v>
      </c>
      <c r="AD152" s="47" t="n">
        <f aca="false">ROUND(AG151*(1+Sorted!$H$8),2)</f>
        <v>0</v>
      </c>
      <c r="AE152" s="47" t="n">
        <f aca="false">MIN(AD152,Sorted!$G$8)</f>
        <v>0</v>
      </c>
      <c r="AF152" s="47" t="n">
        <f aca="false">MAX(0,MIN(AD152-AE152,$C152-(H152+L152+P152+T152+X152+AB152)))</f>
        <v>0</v>
      </c>
      <c r="AG152" s="47" t="n">
        <f aca="false">ROUND(AD152-AE152-AF152,2)</f>
        <v>0</v>
      </c>
      <c r="AH152" s="47" t="n">
        <f aca="false">ROUND(AK151*(1+Sorted!$H$9),2)</f>
        <v>0</v>
      </c>
      <c r="AI152" s="47" t="n">
        <f aca="false">MIN(AH152,Sorted!$G$9)</f>
        <v>0</v>
      </c>
      <c r="AJ152" s="47" t="n">
        <f aca="false">MAX(0,MIN(AH152-AI152,$C152-(H152+L152+P152+T152+X152+AB152+AF152)))</f>
        <v>0</v>
      </c>
      <c r="AK152" s="47" t="n">
        <f aca="false">ROUND(AH152-AI152-AJ152,2)</f>
        <v>0</v>
      </c>
      <c r="AL152" s="47" t="n">
        <f aca="false">ROUND(AO151*(1+Sorted!$H$10),2)</f>
        <v>0</v>
      </c>
      <c r="AM152" s="47" t="n">
        <f aca="false">MIN(AL152,Sorted!$G$10)</f>
        <v>0</v>
      </c>
      <c r="AN152" s="47" t="n">
        <f aca="false">MAX(0,MIN(AL152-AM152,$C152-(H152+L152+P152+T152+X152+AB152+AF152+AJ152)))</f>
        <v>0</v>
      </c>
      <c r="AO152" s="47" t="n">
        <f aca="false">ROUND(AL152-AM152-AN152,2)</f>
        <v>0</v>
      </c>
      <c r="AP152" s="47" t="n">
        <f aca="false">ROUND(AS151*(1+Sorted!$H$11),2)</f>
        <v>0</v>
      </c>
      <c r="AQ152" s="47" t="n">
        <f aca="false">MIN(AP152,Sorted!$G$11)</f>
        <v>0</v>
      </c>
      <c r="AR152" s="47" t="n">
        <f aca="false">MAX(0,MIN(AP152-AQ152,$C152-(H152+L152+P152+T152+X152+AB152+AF152+AJ152+AN152)))</f>
        <v>0</v>
      </c>
      <c r="AS152" s="47" t="n">
        <f aca="false">ROUND(AP152-AQ152-AR152,2)</f>
        <v>0</v>
      </c>
    </row>
    <row r="153" customFormat="false" ht="15" hidden="false" customHeight="false" outlineLevel="0" collapsed="false">
      <c r="A153" s="45" t="n">
        <v>150</v>
      </c>
      <c r="B153" s="46" t="n">
        <f aca="false">EDATE('My Debts'!$C$7,A153-1)</f>
        <v>50861</v>
      </c>
      <c r="C153" s="47" t="n">
        <f aca="false">MAX(0,'My Debts'!$E$6-(G153+K153+O153+S153+W153+AA153+AE153+AI153+AM153+AQ153))</f>
        <v>730</v>
      </c>
      <c r="D153" s="47" t="n">
        <f aca="false">(F153+J153+N153+R153+V153+Z153+AD153+AH153+AL153+AP153)-(I153+M153+Q153+U153+Y153+AC153+AG153+AK153+AO153+AS153)</f>
        <v>0</v>
      </c>
      <c r="E153" s="48" t="n">
        <f aca="false">I153+M153+Q153+U153+Y153+AC153+AG153+AK153+AO153+AS153</f>
        <v>0</v>
      </c>
      <c r="F153" s="47" t="n">
        <f aca="false">ROUND(I152*(1+Sorted!$H$2),2)</f>
        <v>0</v>
      </c>
      <c r="G153" s="47" t="n">
        <f aca="false">MIN(F153,Sorted!$G$2)</f>
        <v>0</v>
      </c>
      <c r="H153" s="47" t="n">
        <f aca="false">MAX(0,MIN(F153-G153,$C153-(0)))</f>
        <v>0</v>
      </c>
      <c r="I153" s="47" t="n">
        <f aca="false">ROUND(F153-G153-H153,2)</f>
        <v>0</v>
      </c>
      <c r="J153" s="47" t="n">
        <f aca="false">ROUND(M152*(1+Sorted!$H$3),2)</f>
        <v>0</v>
      </c>
      <c r="K153" s="47" t="n">
        <f aca="false">MIN(J153,Sorted!$G$3)</f>
        <v>0</v>
      </c>
      <c r="L153" s="47" t="n">
        <f aca="false">MAX(0,MIN(J153-K153,$C153-(H153)))</f>
        <v>0</v>
      </c>
      <c r="M153" s="47" t="n">
        <f aca="false">ROUND(J153-K153-L153,2)</f>
        <v>0</v>
      </c>
      <c r="N153" s="47" t="n">
        <f aca="false">ROUND(Q152*(1+Sorted!$H$4),2)</f>
        <v>0</v>
      </c>
      <c r="O153" s="47" t="n">
        <f aca="false">MIN(N153,Sorted!$G$4)</f>
        <v>0</v>
      </c>
      <c r="P153" s="47" t="n">
        <f aca="false">MAX(0,MIN(N153-O153,$C153-(H153+L153)))</f>
        <v>0</v>
      </c>
      <c r="Q153" s="47" t="n">
        <f aca="false">ROUND(N153-O153-P153,2)</f>
        <v>0</v>
      </c>
      <c r="R153" s="47" t="n">
        <f aca="false">ROUND(U152*(1+Sorted!$H$5),2)</f>
        <v>0</v>
      </c>
      <c r="S153" s="47" t="n">
        <f aca="false">MIN(R153,Sorted!$G$5)</f>
        <v>0</v>
      </c>
      <c r="T153" s="47" t="n">
        <f aca="false">MAX(0,MIN(R153-S153,$C153-(H153+L153+P153)))</f>
        <v>0</v>
      </c>
      <c r="U153" s="47" t="n">
        <f aca="false">ROUND(R153-S153-T153,2)</f>
        <v>0</v>
      </c>
      <c r="V153" s="47" t="n">
        <f aca="false">ROUND(Y152*(1+Sorted!$H$6),2)</f>
        <v>0</v>
      </c>
      <c r="W153" s="47" t="n">
        <f aca="false">MIN(V153,Sorted!$G$6)</f>
        <v>0</v>
      </c>
      <c r="X153" s="47" t="n">
        <f aca="false">MAX(0,MIN(V153-W153,$C153-(H153+L153+P153+T153)))</f>
        <v>0</v>
      </c>
      <c r="Y153" s="47" t="n">
        <f aca="false">ROUND(V153-W153-X153,2)</f>
        <v>0</v>
      </c>
      <c r="Z153" s="47" t="n">
        <f aca="false">ROUND(AC152*(1+Sorted!$H$7),2)</f>
        <v>0</v>
      </c>
      <c r="AA153" s="47" t="n">
        <f aca="false">MIN(Z153,Sorted!$G$7)</f>
        <v>0</v>
      </c>
      <c r="AB153" s="47" t="n">
        <f aca="false">MAX(0,MIN(Z153-AA153,$C153-(H153+L153+P153+T153+X153)))</f>
        <v>0</v>
      </c>
      <c r="AC153" s="47" t="n">
        <f aca="false">ROUND(Z153-AA153-AB153,2)</f>
        <v>0</v>
      </c>
      <c r="AD153" s="47" t="n">
        <f aca="false">ROUND(AG152*(1+Sorted!$H$8),2)</f>
        <v>0</v>
      </c>
      <c r="AE153" s="47" t="n">
        <f aca="false">MIN(AD153,Sorted!$G$8)</f>
        <v>0</v>
      </c>
      <c r="AF153" s="47" t="n">
        <f aca="false">MAX(0,MIN(AD153-AE153,$C153-(H153+L153+P153+T153+X153+AB153)))</f>
        <v>0</v>
      </c>
      <c r="AG153" s="47" t="n">
        <f aca="false">ROUND(AD153-AE153-AF153,2)</f>
        <v>0</v>
      </c>
      <c r="AH153" s="47" t="n">
        <f aca="false">ROUND(AK152*(1+Sorted!$H$9),2)</f>
        <v>0</v>
      </c>
      <c r="AI153" s="47" t="n">
        <f aca="false">MIN(AH153,Sorted!$G$9)</f>
        <v>0</v>
      </c>
      <c r="AJ153" s="47" t="n">
        <f aca="false">MAX(0,MIN(AH153-AI153,$C153-(H153+L153+P153+T153+X153+AB153+AF153)))</f>
        <v>0</v>
      </c>
      <c r="AK153" s="47" t="n">
        <f aca="false">ROUND(AH153-AI153-AJ153,2)</f>
        <v>0</v>
      </c>
      <c r="AL153" s="47" t="n">
        <f aca="false">ROUND(AO152*(1+Sorted!$H$10),2)</f>
        <v>0</v>
      </c>
      <c r="AM153" s="47" t="n">
        <f aca="false">MIN(AL153,Sorted!$G$10)</f>
        <v>0</v>
      </c>
      <c r="AN153" s="47" t="n">
        <f aca="false">MAX(0,MIN(AL153-AM153,$C153-(H153+L153+P153+T153+X153+AB153+AF153+AJ153)))</f>
        <v>0</v>
      </c>
      <c r="AO153" s="47" t="n">
        <f aca="false">ROUND(AL153-AM153-AN153,2)</f>
        <v>0</v>
      </c>
      <c r="AP153" s="47" t="n">
        <f aca="false">ROUND(AS152*(1+Sorted!$H$11),2)</f>
        <v>0</v>
      </c>
      <c r="AQ153" s="47" t="n">
        <f aca="false">MIN(AP153,Sorted!$G$11)</f>
        <v>0</v>
      </c>
      <c r="AR153" s="47" t="n">
        <f aca="false">MAX(0,MIN(AP153-AQ153,$C153-(H153+L153+P153+T153+X153+AB153+AF153+AJ153+AN153)))</f>
        <v>0</v>
      </c>
      <c r="AS153" s="47" t="n">
        <f aca="false">ROUND(AP153-AQ153-AR153,2)</f>
        <v>0</v>
      </c>
    </row>
    <row r="154" customFormat="false" ht="15" hidden="false" customHeight="false" outlineLevel="0" collapsed="false">
      <c r="A154" s="45" t="n">
        <v>151</v>
      </c>
      <c r="B154" s="46" t="n">
        <f aca="false">EDATE('My Debts'!$C$7,A154-1)</f>
        <v>50891</v>
      </c>
      <c r="C154" s="47" t="n">
        <f aca="false">MAX(0,'My Debts'!$E$6-(G154+K154+O154+S154+W154+AA154+AE154+AI154+AM154+AQ154))</f>
        <v>730</v>
      </c>
      <c r="D154" s="47" t="n">
        <f aca="false">(F154+J154+N154+R154+V154+Z154+AD154+AH154+AL154+AP154)-(I154+M154+Q154+U154+Y154+AC154+AG154+AK154+AO154+AS154)</f>
        <v>0</v>
      </c>
      <c r="E154" s="48" t="n">
        <f aca="false">I154+M154+Q154+U154+Y154+AC154+AG154+AK154+AO154+AS154</f>
        <v>0</v>
      </c>
      <c r="F154" s="47" t="n">
        <f aca="false">ROUND(I153*(1+Sorted!$H$2),2)</f>
        <v>0</v>
      </c>
      <c r="G154" s="47" t="n">
        <f aca="false">MIN(F154,Sorted!$G$2)</f>
        <v>0</v>
      </c>
      <c r="H154" s="47" t="n">
        <f aca="false">MAX(0,MIN(F154-G154,$C154-(0)))</f>
        <v>0</v>
      </c>
      <c r="I154" s="47" t="n">
        <f aca="false">ROUND(F154-G154-H154,2)</f>
        <v>0</v>
      </c>
      <c r="J154" s="47" t="n">
        <f aca="false">ROUND(M153*(1+Sorted!$H$3),2)</f>
        <v>0</v>
      </c>
      <c r="K154" s="47" t="n">
        <f aca="false">MIN(J154,Sorted!$G$3)</f>
        <v>0</v>
      </c>
      <c r="L154" s="47" t="n">
        <f aca="false">MAX(0,MIN(J154-K154,$C154-(H154)))</f>
        <v>0</v>
      </c>
      <c r="M154" s="47" t="n">
        <f aca="false">ROUND(J154-K154-L154,2)</f>
        <v>0</v>
      </c>
      <c r="N154" s="47" t="n">
        <f aca="false">ROUND(Q153*(1+Sorted!$H$4),2)</f>
        <v>0</v>
      </c>
      <c r="O154" s="47" t="n">
        <f aca="false">MIN(N154,Sorted!$G$4)</f>
        <v>0</v>
      </c>
      <c r="P154" s="47" t="n">
        <f aca="false">MAX(0,MIN(N154-O154,$C154-(H154+L154)))</f>
        <v>0</v>
      </c>
      <c r="Q154" s="47" t="n">
        <f aca="false">ROUND(N154-O154-P154,2)</f>
        <v>0</v>
      </c>
      <c r="R154" s="47" t="n">
        <f aca="false">ROUND(U153*(1+Sorted!$H$5),2)</f>
        <v>0</v>
      </c>
      <c r="S154" s="47" t="n">
        <f aca="false">MIN(R154,Sorted!$G$5)</f>
        <v>0</v>
      </c>
      <c r="T154" s="47" t="n">
        <f aca="false">MAX(0,MIN(R154-S154,$C154-(H154+L154+P154)))</f>
        <v>0</v>
      </c>
      <c r="U154" s="47" t="n">
        <f aca="false">ROUND(R154-S154-T154,2)</f>
        <v>0</v>
      </c>
      <c r="V154" s="47" t="n">
        <f aca="false">ROUND(Y153*(1+Sorted!$H$6),2)</f>
        <v>0</v>
      </c>
      <c r="W154" s="47" t="n">
        <f aca="false">MIN(V154,Sorted!$G$6)</f>
        <v>0</v>
      </c>
      <c r="X154" s="47" t="n">
        <f aca="false">MAX(0,MIN(V154-W154,$C154-(H154+L154+P154+T154)))</f>
        <v>0</v>
      </c>
      <c r="Y154" s="47" t="n">
        <f aca="false">ROUND(V154-W154-X154,2)</f>
        <v>0</v>
      </c>
      <c r="Z154" s="47" t="n">
        <f aca="false">ROUND(AC153*(1+Sorted!$H$7),2)</f>
        <v>0</v>
      </c>
      <c r="AA154" s="47" t="n">
        <f aca="false">MIN(Z154,Sorted!$G$7)</f>
        <v>0</v>
      </c>
      <c r="AB154" s="47" t="n">
        <f aca="false">MAX(0,MIN(Z154-AA154,$C154-(H154+L154+P154+T154+X154)))</f>
        <v>0</v>
      </c>
      <c r="AC154" s="47" t="n">
        <f aca="false">ROUND(Z154-AA154-AB154,2)</f>
        <v>0</v>
      </c>
      <c r="AD154" s="47" t="n">
        <f aca="false">ROUND(AG153*(1+Sorted!$H$8),2)</f>
        <v>0</v>
      </c>
      <c r="AE154" s="47" t="n">
        <f aca="false">MIN(AD154,Sorted!$G$8)</f>
        <v>0</v>
      </c>
      <c r="AF154" s="47" t="n">
        <f aca="false">MAX(0,MIN(AD154-AE154,$C154-(H154+L154+P154+T154+X154+AB154)))</f>
        <v>0</v>
      </c>
      <c r="AG154" s="47" t="n">
        <f aca="false">ROUND(AD154-AE154-AF154,2)</f>
        <v>0</v>
      </c>
      <c r="AH154" s="47" t="n">
        <f aca="false">ROUND(AK153*(1+Sorted!$H$9),2)</f>
        <v>0</v>
      </c>
      <c r="AI154" s="47" t="n">
        <f aca="false">MIN(AH154,Sorted!$G$9)</f>
        <v>0</v>
      </c>
      <c r="AJ154" s="47" t="n">
        <f aca="false">MAX(0,MIN(AH154-AI154,$C154-(H154+L154+P154+T154+X154+AB154+AF154)))</f>
        <v>0</v>
      </c>
      <c r="AK154" s="47" t="n">
        <f aca="false">ROUND(AH154-AI154-AJ154,2)</f>
        <v>0</v>
      </c>
      <c r="AL154" s="47" t="n">
        <f aca="false">ROUND(AO153*(1+Sorted!$H$10),2)</f>
        <v>0</v>
      </c>
      <c r="AM154" s="47" t="n">
        <f aca="false">MIN(AL154,Sorted!$G$10)</f>
        <v>0</v>
      </c>
      <c r="AN154" s="47" t="n">
        <f aca="false">MAX(0,MIN(AL154-AM154,$C154-(H154+L154+P154+T154+X154+AB154+AF154+AJ154)))</f>
        <v>0</v>
      </c>
      <c r="AO154" s="47" t="n">
        <f aca="false">ROUND(AL154-AM154-AN154,2)</f>
        <v>0</v>
      </c>
      <c r="AP154" s="47" t="n">
        <f aca="false">ROUND(AS153*(1+Sorted!$H$11),2)</f>
        <v>0</v>
      </c>
      <c r="AQ154" s="47" t="n">
        <f aca="false">MIN(AP154,Sorted!$G$11)</f>
        <v>0</v>
      </c>
      <c r="AR154" s="47" t="n">
        <f aca="false">MAX(0,MIN(AP154-AQ154,$C154-(H154+L154+P154+T154+X154+AB154+AF154+AJ154+AN154)))</f>
        <v>0</v>
      </c>
      <c r="AS154" s="47" t="n">
        <f aca="false">ROUND(AP154-AQ154-AR154,2)</f>
        <v>0</v>
      </c>
    </row>
    <row r="155" customFormat="false" ht="15" hidden="false" customHeight="false" outlineLevel="0" collapsed="false">
      <c r="A155" s="45" t="n">
        <v>152</v>
      </c>
      <c r="B155" s="46" t="n">
        <f aca="false">EDATE('My Debts'!$C$7,A155-1)</f>
        <v>50922</v>
      </c>
      <c r="C155" s="47" t="n">
        <f aca="false">MAX(0,'My Debts'!$E$6-(G155+K155+O155+S155+W155+AA155+AE155+AI155+AM155+AQ155))</f>
        <v>730</v>
      </c>
      <c r="D155" s="47" t="n">
        <f aca="false">(F155+J155+N155+R155+V155+Z155+AD155+AH155+AL155+AP155)-(I155+M155+Q155+U155+Y155+AC155+AG155+AK155+AO155+AS155)</f>
        <v>0</v>
      </c>
      <c r="E155" s="48" t="n">
        <f aca="false">I155+M155+Q155+U155+Y155+AC155+AG155+AK155+AO155+AS155</f>
        <v>0</v>
      </c>
      <c r="F155" s="47" t="n">
        <f aca="false">ROUND(I154*(1+Sorted!$H$2),2)</f>
        <v>0</v>
      </c>
      <c r="G155" s="47" t="n">
        <f aca="false">MIN(F155,Sorted!$G$2)</f>
        <v>0</v>
      </c>
      <c r="H155" s="47" t="n">
        <f aca="false">MAX(0,MIN(F155-G155,$C155-(0)))</f>
        <v>0</v>
      </c>
      <c r="I155" s="47" t="n">
        <f aca="false">ROUND(F155-G155-H155,2)</f>
        <v>0</v>
      </c>
      <c r="J155" s="47" t="n">
        <f aca="false">ROUND(M154*(1+Sorted!$H$3),2)</f>
        <v>0</v>
      </c>
      <c r="K155" s="47" t="n">
        <f aca="false">MIN(J155,Sorted!$G$3)</f>
        <v>0</v>
      </c>
      <c r="L155" s="47" t="n">
        <f aca="false">MAX(0,MIN(J155-K155,$C155-(H155)))</f>
        <v>0</v>
      </c>
      <c r="M155" s="47" t="n">
        <f aca="false">ROUND(J155-K155-L155,2)</f>
        <v>0</v>
      </c>
      <c r="N155" s="47" t="n">
        <f aca="false">ROUND(Q154*(1+Sorted!$H$4),2)</f>
        <v>0</v>
      </c>
      <c r="O155" s="47" t="n">
        <f aca="false">MIN(N155,Sorted!$G$4)</f>
        <v>0</v>
      </c>
      <c r="P155" s="47" t="n">
        <f aca="false">MAX(0,MIN(N155-O155,$C155-(H155+L155)))</f>
        <v>0</v>
      </c>
      <c r="Q155" s="47" t="n">
        <f aca="false">ROUND(N155-O155-P155,2)</f>
        <v>0</v>
      </c>
      <c r="R155" s="47" t="n">
        <f aca="false">ROUND(U154*(1+Sorted!$H$5),2)</f>
        <v>0</v>
      </c>
      <c r="S155" s="47" t="n">
        <f aca="false">MIN(R155,Sorted!$G$5)</f>
        <v>0</v>
      </c>
      <c r="T155" s="47" t="n">
        <f aca="false">MAX(0,MIN(R155-S155,$C155-(H155+L155+P155)))</f>
        <v>0</v>
      </c>
      <c r="U155" s="47" t="n">
        <f aca="false">ROUND(R155-S155-T155,2)</f>
        <v>0</v>
      </c>
      <c r="V155" s="47" t="n">
        <f aca="false">ROUND(Y154*(1+Sorted!$H$6),2)</f>
        <v>0</v>
      </c>
      <c r="W155" s="47" t="n">
        <f aca="false">MIN(V155,Sorted!$G$6)</f>
        <v>0</v>
      </c>
      <c r="X155" s="47" t="n">
        <f aca="false">MAX(0,MIN(V155-W155,$C155-(H155+L155+P155+T155)))</f>
        <v>0</v>
      </c>
      <c r="Y155" s="47" t="n">
        <f aca="false">ROUND(V155-W155-X155,2)</f>
        <v>0</v>
      </c>
      <c r="Z155" s="47" t="n">
        <f aca="false">ROUND(AC154*(1+Sorted!$H$7),2)</f>
        <v>0</v>
      </c>
      <c r="AA155" s="47" t="n">
        <f aca="false">MIN(Z155,Sorted!$G$7)</f>
        <v>0</v>
      </c>
      <c r="AB155" s="47" t="n">
        <f aca="false">MAX(0,MIN(Z155-AA155,$C155-(H155+L155+P155+T155+X155)))</f>
        <v>0</v>
      </c>
      <c r="AC155" s="47" t="n">
        <f aca="false">ROUND(Z155-AA155-AB155,2)</f>
        <v>0</v>
      </c>
      <c r="AD155" s="47" t="n">
        <f aca="false">ROUND(AG154*(1+Sorted!$H$8),2)</f>
        <v>0</v>
      </c>
      <c r="AE155" s="47" t="n">
        <f aca="false">MIN(AD155,Sorted!$G$8)</f>
        <v>0</v>
      </c>
      <c r="AF155" s="47" t="n">
        <f aca="false">MAX(0,MIN(AD155-AE155,$C155-(H155+L155+P155+T155+X155+AB155)))</f>
        <v>0</v>
      </c>
      <c r="AG155" s="47" t="n">
        <f aca="false">ROUND(AD155-AE155-AF155,2)</f>
        <v>0</v>
      </c>
      <c r="AH155" s="47" t="n">
        <f aca="false">ROUND(AK154*(1+Sorted!$H$9),2)</f>
        <v>0</v>
      </c>
      <c r="AI155" s="47" t="n">
        <f aca="false">MIN(AH155,Sorted!$G$9)</f>
        <v>0</v>
      </c>
      <c r="AJ155" s="47" t="n">
        <f aca="false">MAX(0,MIN(AH155-AI155,$C155-(H155+L155+P155+T155+X155+AB155+AF155)))</f>
        <v>0</v>
      </c>
      <c r="AK155" s="47" t="n">
        <f aca="false">ROUND(AH155-AI155-AJ155,2)</f>
        <v>0</v>
      </c>
      <c r="AL155" s="47" t="n">
        <f aca="false">ROUND(AO154*(1+Sorted!$H$10),2)</f>
        <v>0</v>
      </c>
      <c r="AM155" s="47" t="n">
        <f aca="false">MIN(AL155,Sorted!$G$10)</f>
        <v>0</v>
      </c>
      <c r="AN155" s="47" t="n">
        <f aca="false">MAX(0,MIN(AL155-AM155,$C155-(H155+L155+P155+T155+X155+AB155+AF155+AJ155)))</f>
        <v>0</v>
      </c>
      <c r="AO155" s="47" t="n">
        <f aca="false">ROUND(AL155-AM155-AN155,2)</f>
        <v>0</v>
      </c>
      <c r="AP155" s="47" t="n">
        <f aca="false">ROUND(AS154*(1+Sorted!$H$11),2)</f>
        <v>0</v>
      </c>
      <c r="AQ155" s="47" t="n">
        <f aca="false">MIN(AP155,Sorted!$G$11)</f>
        <v>0</v>
      </c>
      <c r="AR155" s="47" t="n">
        <f aca="false">MAX(0,MIN(AP155-AQ155,$C155-(H155+L155+P155+T155+X155+AB155+AF155+AJ155+AN155)))</f>
        <v>0</v>
      </c>
      <c r="AS155" s="47" t="n">
        <f aca="false">ROUND(AP155-AQ155-AR155,2)</f>
        <v>0</v>
      </c>
    </row>
    <row r="156" customFormat="false" ht="15" hidden="false" customHeight="false" outlineLevel="0" collapsed="false">
      <c r="A156" s="45" t="n">
        <v>153</v>
      </c>
      <c r="B156" s="46" t="n">
        <f aca="false">EDATE('My Debts'!$C$7,A156-1)</f>
        <v>50952</v>
      </c>
      <c r="C156" s="47" t="n">
        <f aca="false">MAX(0,'My Debts'!$E$6-(G156+K156+O156+S156+W156+AA156+AE156+AI156+AM156+AQ156))</f>
        <v>730</v>
      </c>
      <c r="D156" s="47" t="n">
        <f aca="false">(F156+J156+N156+R156+V156+Z156+AD156+AH156+AL156+AP156)-(I156+M156+Q156+U156+Y156+AC156+AG156+AK156+AO156+AS156)</f>
        <v>0</v>
      </c>
      <c r="E156" s="48" t="n">
        <f aca="false">I156+M156+Q156+U156+Y156+AC156+AG156+AK156+AO156+AS156</f>
        <v>0</v>
      </c>
      <c r="F156" s="47" t="n">
        <f aca="false">ROUND(I155*(1+Sorted!$H$2),2)</f>
        <v>0</v>
      </c>
      <c r="G156" s="47" t="n">
        <f aca="false">MIN(F156,Sorted!$G$2)</f>
        <v>0</v>
      </c>
      <c r="H156" s="47" t="n">
        <f aca="false">MAX(0,MIN(F156-G156,$C156-(0)))</f>
        <v>0</v>
      </c>
      <c r="I156" s="47" t="n">
        <f aca="false">ROUND(F156-G156-H156,2)</f>
        <v>0</v>
      </c>
      <c r="J156" s="47" t="n">
        <f aca="false">ROUND(M155*(1+Sorted!$H$3),2)</f>
        <v>0</v>
      </c>
      <c r="K156" s="47" t="n">
        <f aca="false">MIN(J156,Sorted!$G$3)</f>
        <v>0</v>
      </c>
      <c r="L156" s="47" t="n">
        <f aca="false">MAX(0,MIN(J156-K156,$C156-(H156)))</f>
        <v>0</v>
      </c>
      <c r="M156" s="47" t="n">
        <f aca="false">ROUND(J156-K156-L156,2)</f>
        <v>0</v>
      </c>
      <c r="N156" s="47" t="n">
        <f aca="false">ROUND(Q155*(1+Sorted!$H$4),2)</f>
        <v>0</v>
      </c>
      <c r="O156" s="47" t="n">
        <f aca="false">MIN(N156,Sorted!$G$4)</f>
        <v>0</v>
      </c>
      <c r="P156" s="47" t="n">
        <f aca="false">MAX(0,MIN(N156-O156,$C156-(H156+L156)))</f>
        <v>0</v>
      </c>
      <c r="Q156" s="47" t="n">
        <f aca="false">ROUND(N156-O156-P156,2)</f>
        <v>0</v>
      </c>
      <c r="R156" s="47" t="n">
        <f aca="false">ROUND(U155*(1+Sorted!$H$5),2)</f>
        <v>0</v>
      </c>
      <c r="S156" s="47" t="n">
        <f aca="false">MIN(R156,Sorted!$G$5)</f>
        <v>0</v>
      </c>
      <c r="T156" s="47" t="n">
        <f aca="false">MAX(0,MIN(R156-S156,$C156-(H156+L156+P156)))</f>
        <v>0</v>
      </c>
      <c r="U156" s="47" t="n">
        <f aca="false">ROUND(R156-S156-T156,2)</f>
        <v>0</v>
      </c>
      <c r="V156" s="47" t="n">
        <f aca="false">ROUND(Y155*(1+Sorted!$H$6),2)</f>
        <v>0</v>
      </c>
      <c r="W156" s="47" t="n">
        <f aca="false">MIN(V156,Sorted!$G$6)</f>
        <v>0</v>
      </c>
      <c r="X156" s="47" t="n">
        <f aca="false">MAX(0,MIN(V156-W156,$C156-(H156+L156+P156+T156)))</f>
        <v>0</v>
      </c>
      <c r="Y156" s="47" t="n">
        <f aca="false">ROUND(V156-W156-X156,2)</f>
        <v>0</v>
      </c>
      <c r="Z156" s="47" t="n">
        <f aca="false">ROUND(AC155*(1+Sorted!$H$7),2)</f>
        <v>0</v>
      </c>
      <c r="AA156" s="47" t="n">
        <f aca="false">MIN(Z156,Sorted!$G$7)</f>
        <v>0</v>
      </c>
      <c r="AB156" s="47" t="n">
        <f aca="false">MAX(0,MIN(Z156-AA156,$C156-(H156+L156+P156+T156+X156)))</f>
        <v>0</v>
      </c>
      <c r="AC156" s="47" t="n">
        <f aca="false">ROUND(Z156-AA156-AB156,2)</f>
        <v>0</v>
      </c>
      <c r="AD156" s="47" t="n">
        <f aca="false">ROUND(AG155*(1+Sorted!$H$8),2)</f>
        <v>0</v>
      </c>
      <c r="AE156" s="47" t="n">
        <f aca="false">MIN(AD156,Sorted!$G$8)</f>
        <v>0</v>
      </c>
      <c r="AF156" s="47" t="n">
        <f aca="false">MAX(0,MIN(AD156-AE156,$C156-(H156+L156+P156+T156+X156+AB156)))</f>
        <v>0</v>
      </c>
      <c r="AG156" s="47" t="n">
        <f aca="false">ROUND(AD156-AE156-AF156,2)</f>
        <v>0</v>
      </c>
      <c r="AH156" s="47" t="n">
        <f aca="false">ROUND(AK155*(1+Sorted!$H$9),2)</f>
        <v>0</v>
      </c>
      <c r="AI156" s="47" t="n">
        <f aca="false">MIN(AH156,Sorted!$G$9)</f>
        <v>0</v>
      </c>
      <c r="AJ156" s="47" t="n">
        <f aca="false">MAX(0,MIN(AH156-AI156,$C156-(H156+L156+P156+T156+X156+AB156+AF156)))</f>
        <v>0</v>
      </c>
      <c r="AK156" s="47" t="n">
        <f aca="false">ROUND(AH156-AI156-AJ156,2)</f>
        <v>0</v>
      </c>
      <c r="AL156" s="47" t="n">
        <f aca="false">ROUND(AO155*(1+Sorted!$H$10),2)</f>
        <v>0</v>
      </c>
      <c r="AM156" s="47" t="n">
        <f aca="false">MIN(AL156,Sorted!$G$10)</f>
        <v>0</v>
      </c>
      <c r="AN156" s="47" t="n">
        <f aca="false">MAX(0,MIN(AL156-AM156,$C156-(H156+L156+P156+T156+X156+AB156+AF156+AJ156)))</f>
        <v>0</v>
      </c>
      <c r="AO156" s="47" t="n">
        <f aca="false">ROUND(AL156-AM156-AN156,2)</f>
        <v>0</v>
      </c>
      <c r="AP156" s="47" t="n">
        <f aca="false">ROUND(AS155*(1+Sorted!$H$11),2)</f>
        <v>0</v>
      </c>
      <c r="AQ156" s="47" t="n">
        <f aca="false">MIN(AP156,Sorted!$G$11)</f>
        <v>0</v>
      </c>
      <c r="AR156" s="47" t="n">
        <f aca="false">MAX(0,MIN(AP156-AQ156,$C156-(H156+L156+P156+T156+X156+AB156+AF156+AJ156+AN156)))</f>
        <v>0</v>
      </c>
      <c r="AS156" s="47" t="n">
        <f aca="false">ROUND(AP156-AQ156-AR156,2)</f>
        <v>0</v>
      </c>
    </row>
    <row r="157" customFormat="false" ht="15" hidden="false" customHeight="false" outlineLevel="0" collapsed="false">
      <c r="A157" s="45" t="n">
        <v>154</v>
      </c>
      <c r="B157" s="46" t="n">
        <f aca="false">EDATE('My Debts'!$C$7,A157-1)</f>
        <v>50983</v>
      </c>
      <c r="C157" s="47" t="n">
        <f aca="false">MAX(0,'My Debts'!$E$6-(G157+K157+O157+S157+W157+AA157+AE157+AI157+AM157+AQ157))</f>
        <v>730</v>
      </c>
      <c r="D157" s="47" t="n">
        <f aca="false">(F157+J157+N157+R157+V157+Z157+AD157+AH157+AL157+AP157)-(I157+M157+Q157+U157+Y157+AC157+AG157+AK157+AO157+AS157)</f>
        <v>0</v>
      </c>
      <c r="E157" s="48" t="n">
        <f aca="false">I157+M157+Q157+U157+Y157+AC157+AG157+AK157+AO157+AS157</f>
        <v>0</v>
      </c>
      <c r="F157" s="47" t="n">
        <f aca="false">ROUND(I156*(1+Sorted!$H$2),2)</f>
        <v>0</v>
      </c>
      <c r="G157" s="47" t="n">
        <f aca="false">MIN(F157,Sorted!$G$2)</f>
        <v>0</v>
      </c>
      <c r="H157" s="47" t="n">
        <f aca="false">MAX(0,MIN(F157-G157,$C157-(0)))</f>
        <v>0</v>
      </c>
      <c r="I157" s="47" t="n">
        <f aca="false">ROUND(F157-G157-H157,2)</f>
        <v>0</v>
      </c>
      <c r="J157" s="47" t="n">
        <f aca="false">ROUND(M156*(1+Sorted!$H$3),2)</f>
        <v>0</v>
      </c>
      <c r="K157" s="47" t="n">
        <f aca="false">MIN(J157,Sorted!$G$3)</f>
        <v>0</v>
      </c>
      <c r="L157" s="47" t="n">
        <f aca="false">MAX(0,MIN(J157-K157,$C157-(H157)))</f>
        <v>0</v>
      </c>
      <c r="M157" s="47" t="n">
        <f aca="false">ROUND(J157-K157-L157,2)</f>
        <v>0</v>
      </c>
      <c r="N157" s="47" t="n">
        <f aca="false">ROUND(Q156*(1+Sorted!$H$4),2)</f>
        <v>0</v>
      </c>
      <c r="O157" s="47" t="n">
        <f aca="false">MIN(N157,Sorted!$G$4)</f>
        <v>0</v>
      </c>
      <c r="P157" s="47" t="n">
        <f aca="false">MAX(0,MIN(N157-O157,$C157-(H157+L157)))</f>
        <v>0</v>
      </c>
      <c r="Q157" s="47" t="n">
        <f aca="false">ROUND(N157-O157-P157,2)</f>
        <v>0</v>
      </c>
      <c r="R157" s="47" t="n">
        <f aca="false">ROUND(U156*(1+Sorted!$H$5),2)</f>
        <v>0</v>
      </c>
      <c r="S157" s="47" t="n">
        <f aca="false">MIN(R157,Sorted!$G$5)</f>
        <v>0</v>
      </c>
      <c r="T157" s="47" t="n">
        <f aca="false">MAX(0,MIN(R157-S157,$C157-(H157+L157+P157)))</f>
        <v>0</v>
      </c>
      <c r="U157" s="47" t="n">
        <f aca="false">ROUND(R157-S157-T157,2)</f>
        <v>0</v>
      </c>
      <c r="V157" s="47" t="n">
        <f aca="false">ROUND(Y156*(1+Sorted!$H$6),2)</f>
        <v>0</v>
      </c>
      <c r="W157" s="47" t="n">
        <f aca="false">MIN(V157,Sorted!$G$6)</f>
        <v>0</v>
      </c>
      <c r="X157" s="47" t="n">
        <f aca="false">MAX(0,MIN(V157-W157,$C157-(H157+L157+P157+T157)))</f>
        <v>0</v>
      </c>
      <c r="Y157" s="47" t="n">
        <f aca="false">ROUND(V157-W157-X157,2)</f>
        <v>0</v>
      </c>
      <c r="Z157" s="47" t="n">
        <f aca="false">ROUND(AC156*(1+Sorted!$H$7),2)</f>
        <v>0</v>
      </c>
      <c r="AA157" s="47" t="n">
        <f aca="false">MIN(Z157,Sorted!$G$7)</f>
        <v>0</v>
      </c>
      <c r="AB157" s="47" t="n">
        <f aca="false">MAX(0,MIN(Z157-AA157,$C157-(H157+L157+P157+T157+X157)))</f>
        <v>0</v>
      </c>
      <c r="AC157" s="47" t="n">
        <f aca="false">ROUND(Z157-AA157-AB157,2)</f>
        <v>0</v>
      </c>
      <c r="AD157" s="47" t="n">
        <f aca="false">ROUND(AG156*(1+Sorted!$H$8),2)</f>
        <v>0</v>
      </c>
      <c r="AE157" s="47" t="n">
        <f aca="false">MIN(AD157,Sorted!$G$8)</f>
        <v>0</v>
      </c>
      <c r="AF157" s="47" t="n">
        <f aca="false">MAX(0,MIN(AD157-AE157,$C157-(H157+L157+P157+T157+X157+AB157)))</f>
        <v>0</v>
      </c>
      <c r="AG157" s="47" t="n">
        <f aca="false">ROUND(AD157-AE157-AF157,2)</f>
        <v>0</v>
      </c>
      <c r="AH157" s="47" t="n">
        <f aca="false">ROUND(AK156*(1+Sorted!$H$9),2)</f>
        <v>0</v>
      </c>
      <c r="AI157" s="47" t="n">
        <f aca="false">MIN(AH157,Sorted!$G$9)</f>
        <v>0</v>
      </c>
      <c r="AJ157" s="47" t="n">
        <f aca="false">MAX(0,MIN(AH157-AI157,$C157-(H157+L157+P157+T157+X157+AB157+AF157)))</f>
        <v>0</v>
      </c>
      <c r="AK157" s="47" t="n">
        <f aca="false">ROUND(AH157-AI157-AJ157,2)</f>
        <v>0</v>
      </c>
      <c r="AL157" s="47" t="n">
        <f aca="false">ROUND(AO156*(1+Sorted!$H$10),2)</f>
        <v>0</v>
      </c>
      <c r="AM157" s="47" t="n">
        <f aca="false">MIN(AL157,Sorted!$G$10)</f>
        <v>0</v>
      </c>
      <c r="AN157" s="47" t="n">
        <f aca="false">MAX(0,MIN(AL157-AM157,$C157-(H157+L157+P157+T157+X157+AB157+AF157+AJ157)))</f>
        <v>0</v>
      </c>
      <c r="AO157" s="47" t="n">
        <f aca="false">ROUND(AL157-AM157-AN157,2)</f>
        <v>0</v>
      </c>
      <c r="AP157" s="47" t="n">
        <f aca="false">ROUND(AS156*(1+Sorted!$H$11),2)</f>
        <v>0</v>
      </c>
      <c r="AQ157" s="47" t="n">
        <f aca="false">MIN(AP157,Sorted!$G$11)</f>
        <v>0</v>
      </c>
      <c r="AR157" s="47" t="n">
        <f aca="false">MAX(0,MIN(AP157-AQ157,$C157-(H157+L157+P157+T157+X157+AB157+AF157+AJ157+AN157)))</f>
        <v>0</v>
      </c>
      <c r="AS157" s="47" t="n">
        <f aca="false">ROUND(AP157-AQ157-AR157,2)</f>
        <v>0</v>
      </c>
    </row>
    <row r="158" customFormat="false" ht="15" hidden="false" customHeight="false" outlineLevel="0" collapsed="false">
      <c r="A158" s="45" t="n">
        <v>155</v>
      </c>
      <c r="B158" s="46" t="n">
        <f aca="false">EDATE('My Debts'!$C$7,A158-1)</f>
        <v>51014</v>
      </c>
      <c r="C158" s="47" t="n">
        <f aca="false">MAX(0,'My Debts'!$E$6-(G158+K158+O158+S158+W158+AA158+AE158+AI158+AM158+AQ158))</f>
        <v>730</v>
      </c>
      <c r="D158" s="47" t="n">
        <f aca="false">(F158+J158+N158+R158+V158+Z158+AD158+AH158+AL158+AP158)-(I158+M158+Q158+U158+Y158+AC158+AG158+AK158+AO158+AS158)</f>
        <v>0</v>
      </c>
      <c r="E158" s="48" t="n">
        <f aca="false">I158+M158+Q158+U158+Y158+AC158+AG158+AK158+AO158+AS158</f>
        <v>0</v>
      </c>
      <c r="F158" s="47" t="n">
        <f aca="false">ROUND(I157*(1+Sorted!$H$2),2)</f>
        <v>0</v>
      </c>
      <c r="G158" s="47" t="n">
        <f aca="false">MIN(F158,Sorted!$G$2)</f>
        <v>0</v>
      </c>
      <c r="H158" s="47" t="n">
        <f aca="false">MAX(0,MIN(F158-G158,$C158-(0)))</f>
        <v>0</v>
      </c>
      <c r="I158" s="47" t="n">
        <f aca="false">ROUND(F158-G158-H158,2)</f>
        <v>0</v>
      </c>
      <c r="J158" s="47" t="n">
        <f aca="false">ROUND(M157*(1+Sorted!$H$3),2)</f>
        <v>0</v>
      </c>
      <c r="K158" s="47" t="n">
        <f aca="false">MIN(J158,Sorted!$G$3)</f>
        <v>0</v>
      </c>
      <c r="L158" s="47" t="n">
        <f aca="false">MAX(0,MIN(J158-K158,$C158-(H158)))</f>
        <v>0</v>
      </c>
      <c r="M158" s="47" t="n">
        <f aca="false">ROUND(J158-K158-L158,2)</f>
        <v>0</v>
      </c>
      <c r="N158" s="47" t="n">
        <f aca="false">ROUND(Q157*(1+Sorted!$H$4),2)</f>
        <v>0</v>
      </c>
      <c r="O158" s="47" t="n">
        <f aca="false">MIN(N158,Sorted!$G$4)</f>
        <v>0</v>
      </c>
      <c r="P158" s="47" t="n">
        <f aca="false">MAX(0,MIN(N158-O158,$C158-(H158+L158)))</f>
        <v>0</v>
      </c>
      <c r="Q158" s="47" t="n">
        <f aca="false">ROUND(N158-O158-P158,2)</f>
        <v>0</v>
      </c>
      <c r="R158" s="47" t="n">
        <f aca="false">ROUND(U157*(1+Sorted!$H$5),2)</f>
        <v>0</v>
      </c>
      <c r="S158" s="47" t="n">
        <f aca="false">MIN(R158,Sorted!$G$5)</f>
        <v>0</v>
      </c>
      <c r="T158" s="47" t="n">
        <f aca="false">MAX(0,MIN(R158-S158,$C158-(H158+L158+P158)))</f>
        <v>0</v>
      </c>
      <c r="U158" s="47" t="n">
        <f aca="false">ROUND(R158-S158-T158,2)</f>
        <v>0</v>
      </c>
      <c r="V158" s="47" t="n">
        <f aca="false">ROUND(Y157*(1+Sorted!$H$6),2)</f>
        <v>0</v>
      </c>
      <c r="W158" s="47" t="n">
        <f aca="false">MIN(V158,Sorted!$G$6)</f>
        <v>0</v>
      </c>
      <c r="X158" s="47" t="n">
        <f aca="false">MAX(0,MIN(V158-W158,$C158-(H158+L158+P158+T158)))</f>
        <v>0</v>
      </c>
      <c r="Y158" s="47" t="n">
        <f aca="false">ROUND(V158-W158-X158,2)</f>
        <v>0</v>
      </c>
      <c r="Z158" s="47" t="n">
        <f aca="false">ROUND(AC157*(1+Sorted!$H$7),2)</f>
        <v>0</v>
      </c>
      <c r="AA158" s="47" t="n">
        <f aca="false">MIN(Z158,Sorted!$G$7)</f>
        <v>0</v>
      </c>
      <c r="AB158" s="47" t="n">
        <f aca="false">MAX(0,MIN(Z158-AA158,$C158-(H158+L158+P158+T158+X158)))</f>
        <v>0</v>
      </c>
      <c r="AC158" s="47" t="n">
        <f aca="false">ROUND(Z158-AA158-AB158,2)</f>
        <v>0</v>
      </c>
      <c r="AD158" s="47" t="n">
        <f aca="false">ROUND(AG157*(1+Sorted!$H$8),2)</f>
        <v>0</v>
      </c>
      <c r="AE158" s="47" t="n">
        <f aca="false">MIN(AD158,Sorted!$G$8)</f>
        <v>0</v>
      </c>
      <c r="AF158" s="47" t="n">
        <f aca="false">MAX(0,MIN(AD158-AE158,$C158-(H158+L158+P158+T158+X158+AB158)))</f>
        <v>0</v>
      </c>
      <c r="AG158" s="47" t="n">
        <f aca="false">ROUND(AD158-AE158-AF158,2)</f>
        <v>0</v>
      </c>
      <c r="AH158" s="47" t="n">
        <f aca="false">ROUND(AK157*(1+Sorted!$H$9),2)</f>
        <v>0</v>
      </c>
      <c r="AI158" s="47" t="n">
        <f aca="false">MIN(AH158,Sorted!$G$9)</f>
        <v>0</v>
      </c>
      <c r="AJ158" s="47" t="n">
        <f aca="false">MAX(0,MIN(AH158-AI158,$C158-(H158+L158+P158+T158+X158+AB158+AF158)))</f>
        <v>0</v>
      </c>
      <c r="AK158" s="47" t="n">
        <f aca="false">ROUND(AH158-AI158-AJ158,2)</f>
        <v>0</v>
      </c>
      <c r="AL158" s="47" t="n">
        <f aca="false">ROUND(AO157*(1+Sorted!$H$10),2)</f>
        <v>0</v>
      </c>
      <c r="AM158" s="47" t="n">
        <f aca="false">MIN(AL158,Sorted!$G$10)</f>
        <v>0</v>
      </c>
      <c r="AN158" s="47" t="n">
        <f aca="false">MAX(0,MIN(AL158-AM158,$C158-(H158+L158+P158+T158+X158+AB158+AF158+AJ158)))</f>
        <v>0</v>
      </c>
      <c r="AO158" s="47" t="n">
        <f aca="false">ROUND(AL158-AM158-AN158,2)</f>
        <v>0</v>
      </c>
      <c r="AP158" s="47" t="n">
        <f aca="false">ROUND(AS157*(1+Sorted!$H$11),2)</f>
        <v>0</v>
      </c>
      <c r="AQ158" s="47" t="n">
        <f aca="false">MIN(AP158,Sorted!$G$11)</f>
        <v>0</v>
      </c>
      <c r="AR158" s="47" t="n">
        <f aca="false">MAX(0,MIN(AP158-AQ158,$C158-(H158+L158+P158+T158+X158+AB158+AF158+AJ158+AN158)))</f>
        <v>0</v>
      </c>
      <c r="AS158" s="47" t="n">
        <f aca="false">ROUND(AP158-AQ158-AR158,2)</f>
        <v>0</v>
      </c>
    </row>
    <row r="159" customFormat="false" ht="15" hidden="false" customHeight="false" outlineLevel="0" collapsed="false">
      <c r="A159" s="45" t="n">
        <v>156</v>
      </c>
      <c r="B159" s="46" t="n">
        <f aca="false">EDATE('My Debts'!$C$7,A159-1)</f>
        <v>51044</v>
      </c>
      <c r="C159" s="47" t="n">
        <f aca="false">MAX(0,'My Debts'!$E$6-(G159+K159+O159+S159+W159+AA159+AE159+AI159+AM159+AQ159))</f>
        <v>730</v>
      </c>
      <c r="D159" s="47" t="n">
        <f aca="false">(F159+J159+N159+R159+V159+Z159+AD159+AH159+AL159+AP159)-(I159+M159+Q159+U159+Y159+AC159+AG159+AK159+AO159+AS159)</f>
        <v>0</v>
      </c>
      <c r="E159" s="48" t="n">
        <f aca="false">I159+M159+Q159+U159+Y159+AC159+AG159+AK159+AO159+AS159</f>
        <v>0</v>
      </c>
      <c r="F159" s="47" t="n">
        <f aca="false">ROUND(I158*(1+Sorted!$H$2),2)</f>
        <v>0</v>
      </c>
      <c r="G159" s="47" t="n">
        <f aca="false">MIN(F159,Sorted!$G$2)</f>
        <v>0</v>
      </c>
      <c r="H159" s="47" t="n">
        <f aca="false">MAX(0,MIN(F159-G159,$C159-(0)))</f>
        <v>0</v>
      </c>
      <c r="I159" s="47" t="n">
        <f aca="false">ROUND(F159-G159-H159,2)</f>
        <v>0</v>
      </c>
      <c r="J159" s="47" t="n">
        <f aca="false">ROUND(M158*(1+Sorted!$H$3),2)</f>
        <v>0</v>
      </c>
      <c r="K159" s="47" t="n">
        <f aca="false">MIN(J159,Sorted!$G$3)</f>
        <v>0</v>
      </c>
      <c r="L159" s="47" t="n">
        <f aca="false">MAX(0,MIN(J159-K159,$C159-(H159)))</f>
        <v>0</v>
      </c>
      <c r="M159" s="47" t="n">
        <f aca="false">ROUND(J159-K159-L159,2)</f>
        <v>0</v>
      </c>
      <c r="N159" s="47" t="n">
        <f aca="false">ROUND(Q158*(1+Sorted!$H$4),2)</f>
        <v>0</v>
      </c>
      <c r="O159" s="47" t="n">
        <f aca="false">MIN(N159,Sorted!$G$4)</f>
        <v>0</v>
      </c>
      <c r="P159" s="47" t="n">
        <f aca="false">MAX(0,MIN(N159-O159,$C159-(H159+L159)))</f>
        <v>0</v>
      </c>
      <c r="Q159" s="47" t="n">
        <f aca="false">ROUND(N159-O159-P159,2)</f>
        <v>0</v>
      </c>
      <c r="R159" s="47" t="n">
        <f aca="false">ROUND(U158*(1+Sorted!$H$5),2)</f>
        <v>0</v>
      </c>
      <c r="S159" s="47" t="n">
        <f aca="false">MIN(R159,Sorted!$G$5)</f>
        <v>0</v>
      </c>
      <c r="T159" s="47" t="n">
        <f aca="false">MAX(0,MIN(R159-S159,$C159-(H159+L159+P159)))</f>
        <v>0</v>
      </c>
      <c r="U159" s="47" t="n">
        <f aca="false">ROUND(R159-S159-T159,2)</f>
        <v>0</v>
      </c>
      <c r="V159" s="47" t="n">
        <f aca="false">ROUND(Y158*(1+Sorted!$H$6),2)</f>
        <v>0</v>
      </c>
      <c r="W159" s="47" t="n">
        <f aca="false">MIN(V159,Sorted!$G$6)</f>
        <v>0</v>
      </c>
      <c r="X159" s="47" t="n">
        <f aca="false">MAX(0,MIN(V159-W159,$C159-(H159+L159+P159+T159)))</f>
        <v>0</v>
      </c>
      <c r="Y159" s="47" t="n">
        <f aca="false">ROUND(V159-W159-X159,2)</f>
        <v>0</v>
      </c>
      <c r="Z159" s="47" t="n">
        <f aca="false">ROUND(AC158*(1+Sorted!$H$7),2)</f>
        <v>0</v>
      </c>
      <c r="AA159" s="47" t="n">
        <f aca="false">MIN(Z159,Sorted!$G$7)</f>
        <v>0</v>
      </c>
      <c r="AB159" s="47" t="n">
        <f aca="false">MAX(0,MIN(Z159-AA159,$C159-(H159+L159+P159+T159+X159)))</f>
        <v>0</v>
      </c>
      <c r="AC159" s="47" t="n">
        <f aca="false">ROUND(Z159-AA159-AB159,2)</f>
        <v>0</v>
      </c>
      <c r="AD159" s="47" t="n">
        <f aca="false">ROUND(AG158*(1+Sorted!$H$8),2)</f>
        <v>0</v>
      </c>
      <c r="AE159" s="47" t="n">
        <f aca="false">MIN(AD159,Sorted!$G$8)</f>
        <v>0</v>
      </c>
      <c r="AF159" s="47" t="n">
        <f aca="false">MAX(0,MIN(AD159-AE159,$C159-(H159+L159+P159+T159+X159+AB159)))</f>
        <v>0</v>
      </c>
      <c r="AG159" s="47" t="n">
        <f aca="false">ROUND(AD159-AE159-AF159,2)</f>
        <v>0</v>
      </c>
      <c r="AH159" s="47" t="n">
        <f aca="false">ROUND(AK158*(1+Sorted!$H$9),2)</f>
        <v>0</v>
      </c>
      <c r="AI159" s="47" t="n">
        <f aca="false">MIN(AH159,Sorted!$G$9)</f>
        <v>0</v>
      </c>
      <c r="AJ159" s="47" t="n">
        <f aca="false">MAX(0,MIN(AH159-AI159,$C159-(H159+L159+P159+T159+X159+AB159+AF159)))</f>
        <v>0</v>
      </c>
      <c r="AK159" s="47" t="n">
        <f aca="false">ROUND(AH159-AI159-AJ159,2)</f>
        <v>0</v>
      </c>
      <c r="AL159" s="47" t="n">
        <f aca="false">ROUND(AO158*(1+Sorted!$H$10),2)</f>
        <v>0</v>
      </c>
      <c r="AM159" s="47" t="n">
        <f aca="false">MIN(AL159,Sorted!$G$10)</f>
        <v>0</v>
      </c>
      <c r="AN159" s="47" t="n">
        <f aca="false">MAX(0,MIN(AL159-AM159,$C159-(H159+L159+P159+T159+X159+AB159+AF159+AJ159)))</f>
        <v>0</v>
      </c>
      <c r="AO159" s="47" t="n">
        <f aca="false">ROUND(AL159-AM159-AN159,2)</f>
        <v>0</v>
      </c>
      <c r="AP159" s="47" t="n">
        <f aca="false">ROUND(AS158*(1+Sorted!$H$11),2)</f>
        <v>0</v>
      </c>
      <c r="AQ159" s="47" t="n">
        <f aca="false">MIN(AP159,Sorted!$G$11)</f>
        <v>0</v>
      </c>
      <c r="AR159" s="47" t="n">
        <f aca="false">MAX(0,MIN(AP159-AQ159,$C159-(H159+L159+P159+T159+X159+AB159+AF159+AJ159+AN159)))</f>
        <v>0</v>
      </c>
      <c r="AS159" s="47" t="n">
        <f aca="false">ROUND(AP159-AQ159-AR159,2)</f>
        <v>0</v>
      </c>
    </row>
    <row r="160" customFormat="false" ht="15" hidden="false" customHeight="false" outlineLevel="0" collapsed="false">
      <c r="A160" s="45" t="n">
        <v>157</v>
      </c>
      <c r="B160" s="46" t="n">
        <f aca="false">EDATE('My Debts'!$C$7,A160-1)</f>
        <v>51075</v>
      </c>
      <c r="C160" s="47" t="n">
        <f aca="false">MAX(0,'My Debts'!$E$6-(G160+K160+O160+S160+W160+AA160+AE160+AI160+AM160+AQ160))</f>
        <v>730</v>
      </c>
      <c r="D160" s="47" t="n">
        <f aca="false">(F160+J160+N160+R160+V160+Z160+AD160+AH160+AL160+AP160)-(I160+M160+Q160+U160+Y160+AC160+AG160+AK160+AO160+AS160)</f>
        <v>0</v>
      </c>
      <c r="E160" s="48" t="n">
        <f aca="false">I160+M160+Q160+U160+Y160+AC160+AG160+AK160+AO160+AS160</f>
        <v>0</v>
      </c>
      <c r="F160" s="47" t="n">
        <f aca="false">ROUND(I159*(1+Sorted!$H$2),2)</f>
        <v>0</v>
      </c>
      <c r="G160" s="47" t="n">
        <f aca="false">MIN(F160,Sorted!$G$2)</f>
        <v>0</v>
      </c>
      <c r="H160" s="47" t="n">
        <f aca="false">MAX(0,MIN(F160-G160,$C160-(0)))</f>
        <v>0</v>
      </c>
      <c r="I160" s="47" t="n">
        <f aca="false">ROUND(F160-G160-H160,2)</f>
        <v>0</v>
      </c>
      <c r="J160" s="47" t="n">
        <f aca="false">ROUND(M159*(1+Sorted!$H$3),2)</f>
        <v>0</v>
      </c>
      <c r="K160" s="47" t="n">
        <f aca="false">MIN(J160,Sorted!$G$3)</f>
        <v>0</v>
      </c>
      <c r="L160" s="47" t="n">
        <f aca="false">MAX(0,MIN(J160-K160,$C160-(H160)))</f>
        <v>0</v>
      </c>
      <c r="M160" s="47" t="n">
        <f aca="false">ROUND(J160-K160-L160,2)</f>
        <v>0</v>
      </c>
      <c r="N160" s="47" t="n">
        <f aca="false">ROUND(Q159*(1+Sorted!$H$4),2)</f>
        <v>0</v>
      </c>
      <c r="O160" s="47" t="n">
        <f aca="false">MIN(N160,Sorted!$G$4)</f>
        <v>0</v>
      </c>
      <c r="P160" s="47" t="n">
        <f aca="false">MAX(0,MIN(N160-O160,$C160-(H160+L160)))</f>
        <v>0</v>
      </c>
      <c r="Q160" s="47" t="n">
        <f aca="false">ROUND(N160-O160-P160,2)</f>
        <v>0</v>
      </c>
      <c r="R160" s="47" t="n">
        <f aca="false">ROUND(U159*(1+Sorted!$H$5),2)</f>
        <v>0</v>
      </c>
      <c r="S160" s="47" t="n">
        <f aca="false">MIN(R160,Sorted!$G$5)</f>
        <v>0</v>
      </c>
      <c r="T160" s="47" t="n">
        <f aca="false">MAX(0,MIN(R160-S160,$C160-(H160+L160+P160)))</f>
        <v>0</v>
      </c>
      <c r="U160" s="47" t="n">
        <f aca="false">ROUND(R160-S160-T160,2)</f>
        <v>0</v>
      </c>
      <c r="V160" s="47" t="n">
        <f aca="false">ROUND(Y159*(1+Sorted!$H$6),2)</f>
        <v>0</v>
      </c>
      <c r="W160" s="47" t="n">
        <f aca="false">MIN(V160,Sorted!$G$6)</f>
        <v>0</v>
      </c>
      <c r="X160" s="47" t="n">
        <f aca="false">MAX(0,MIN(V160-W160,$C160-(H160+L160+P160+T160)))</f>
        <v>0</v>
      </c>
      <c r="Y160" s="47" t="n">
        <f aca="false">ROUND(V160-W160-X160,2)</f>
        <v>0</v>
      </c>
      <c r="Z160" s="47" t="n">
        <f aca="false">ROUND(AC159*(1+Sorted!$H$7),2)</f>
        <v>0</v>
      </c>
      <c r="AA160" s="47" t="n">
        <f aca="false">MIN(Z160,Sorted!$G$7)</f>
        <v>0</v>
      </c>
      <c r="AB160" s="47" t="n">
        <f aca="false">MAX(0,MIN(Z160-AA160,$C160-(H160+L160+P160+T160+X160)))</f>
        <v>0</v>
      </c>
      <c r="AC160" s="47" t="n">
        <f aca="false">ROUND(Z160-AA160-AB160,2)</f>
        <v>0</v>
      </c>
      <c r="AD160" s="47" t="n">
        <f aca="false">ROUND(AG159*(1+Sorted!$H$8),2)</f>
        <v>0</v>
      </c>
      <c r="AE160" s="47" t="n">
        <f aca="false">MIN(AD160,Sorted!$G$8)</f>
        <v>0</v>
      </c>
      <c r="AF160" s="47" t="n">
        <f aca="false">MAX(0,MIN(AD160-AE160,$C160-(H160+L160+P160+T160+X160+AB160)))</f>
        <v>0</v>
      </c>
      <c r="AG160" s="47" t="n">
        <f aca="false">ROUND(AD160-AE160-AF160,2)</f>
        <v>0</v>
      </c>
      <c r="AH160" s="47" t="n">
        <f aca="false">ROUND(AK159*(1+Sorted!$H$9),2)</f>
        <v>0</v>
      </c>
      <c r="AI160" s="47" t="n">
        <f aca="false">MIN(AH160,Sorted!$G$9)</f>
        <v>0</v>
      </c>
      <c r="AJ160" s="47" t="n">
        <f aca="false">MAX(0,MIN(AH160-AI160,$C160-(H160+L160+P160+T160+X160+AB160+AF160)))</f>
        <v>0</v>
      </c>
      <c r="AK160" s="47" t="n">
        <f aca="false">ROUND(AH160-AI160-AJ160,2)</f>
        <v>0</v>
      </c>
      <c r="AL160" s="47" t="n">
        <f aca="false">ROUND(AO159*(1+Sorted!$H$10),2)</f>
        <v>0</v>
      </c>
      <c r="AM160" s="47" t="n">
        <f aca="false">MIN(AL160,Sorted!$G$10)</f>
        <v>0</v>
      </c>
      <c r="AN160" s="47" t="n">
        <f aca="false">MAX(0,MIN(AL160-AM160,$C160-(H160+L160+P160+T160+X160+AB160+AF160+AJ160)))</f>
        <v>0</v>
      </c>
      <c r="AO160" s="47" t="n">
        <f aca="false">ROUND(AL160-AM160-AN160,2)</f>
        <v>0</v>
      </c>
      <c r="AP160" s="47" t="n">
        <f aca="false">ROUND(AS159*(1+Sorted!$H$11),2)</f>
        <v>0</v>
      </c>
      <c r="AQ160" s="47" t="n">
        <f aca="false">MIN(AP160,Sorted!$G$11)</f>
        <v>0</v>
      </c>
      <c r="AR160" s="47" t="n">
        <f aca="false">MAX(0,MIN(AP160-AQ160,$C160-(H160+L160+P160+T160+X160+AB160+AF160+AJ160+AN160)))</f>
        <v>0</v>
      </c>
      <c r="AS160" s="47" t="n">
        <f aca="false">ROUND(AP160-AQ160-AR160,2)</f>
        <v>0</v>
      </c>
    </row>
    <row r="161" customFormat="false" ht="15" hidden="false" customHeight="false" outlineLevel="0" collapsed="false">
      <c r="A161" s="45" t="n">
        <v>158</v>
      </c>
      <c r="B161" s="46" t="n">
        <f aca="false">EDATE('My Debts'!$C$7,A161-1)</f>
        <v>51105</v>
      </c>
      <c r="C161" s="47" t="n">
        <f aca="false">MAX(0,'My Debts'!$E$6-(G161+K161+O161+S161+W161+AA161+AE161+AI161+AM161+AQ161))</f>
        <v>730</v>
      </c>
      <c r="D161" s="47" t="n">
        <f aca="false">(F161+J161+N161+R161+V161+Z161+AD161+AH161+AL161+AP161)-(I161+M161+Q161+U161+Y161+AC161+AG161+AK161+AO161+AS161)</f>
        <v>0</v>
      </c>
      <c r="E161" s="48" t="n">
        <f aca="false">I161+M161+Q161+U161+Y161+AC161+AG161+AK161+AO161+AS161</f>
        <v>0</v>
      </c>
      <c r="F161" s="47" t="n">
        <f aca="false">ROUND(I160*(1+Sorted!$H$2),2)</f>
        <v>0</v>
      </c>
      <c r="G161" s="47" t="n">
        <f aca="false">MIN(F161,Sorted!$G$2)</f>
        <v>0</v>
      </c>
      <c r="H161" s="47" t="n">
        <f aca="false">MAX(0,MIN(F161-G161,$C161-(0)))</f>
        <v>0</v>
      </c>
      <c r="I161" s="47" t="n">
        <f aca="false">ROUND(F161-G161-H161,2)</f>
        <v>0</v>
      </c>
      <c r="J161" s="47" t="n">
        <f aca="false">ROUND(M160*(1+Sorted!$H$3),2)</f>
        <v>0</v>
      </c>
      <c r="K161" s="47" t="n">
        <f aca="false">MIN(J161,Sorted!$G$3)</f>
        <v>0</v>
      </c>
      <c r="L161" s="47" t="n">
        <f aca="false">MAX(0,MIN(J161-K161,$C161-(H161)))</f>
        <v>0</v>
      </c>
      <c r="M161" s="47" t="n">
        <f aca="false">ROUND(J161-K161-L161,2)</f>
        <v>0</v>
      </c>
      <c r="N161" s="47" t="n">
        <f aca="false">ROUND(Q160*(1+Sorted!$H$4),2)</f>
        <v>0</v>
      </c>
      <c r="O161" s="47" t="n">
        <f aca="false">MIN(N161,Sorted!$G$4)</f>
        <v>0</v>
      </c>
      <c r="P161" s="47" t="n">
        <f aca="false">MAX(0,MIN(N161-O161,$C161-(H161+L161)))</f>
        <v>0</v>
      </c>
      <c r="Q161" s="47" t="n">
        <f aca="false">ROUND(N161-O161-P161,2)</f>
        <v>0</v>
      </c>
      <c r="R161" s="47" t="n">
        <f aca="false">ROUND(U160*(1+Sorted!$H$5),2)</f>
        <v>0</v>
      </c>
      <c r="S161" s="47" t="n">
        <f aca="false">MIN(R161,Sorted!$G$5)</f>
        <v>0</v>
      </c>
      <c r="T161" s="47" t="n">
        <f aca="false">MAX(0,MIN(R161-S161,$C161-(H161+L161+P161)))</f>
        <v>0</v>
      </c>
      <c r="U161" s="47" t="n">
        <f aca="false">ROUND(R161-S161-T161,2)</f>
        <v>0</v>
      </c>
      <c r="V161" s="47" t="n">
        <f aca="false">ROUND(Y160*(1+Sorted!$H$6),2)</f>
        <v>0</v>
      </c>
      <c r="W161" s="47" t="n">
        <f aca="false">MIN(V161,Sorted!$G$6)</f>
        <v>0</v>
      </c>
      <c r="X161" s="47" t="n">
        <f aca="false">MAX(0,MIN(V161-W161,$C161-(H161+L161+P161+T161)))</f>
        <v>0</v>
      </c>
      <c r="Y161" s="47" t="n">
        <f aca="false">ROUND(V161-W161-X161,2)</f>
        <v>0</v>
      </c>
      <c r="Z161" s="47" t="n">
        <f aca="false">ROUND(AC160*(1+Sorted!$H$7),2)</f>
        <v>0</v>
      </c>
      <c r="AA161" s="47" t="n">
        <f aca="false">MIN(Z161,Sorted!$G$7)</f>
        <v>0</v>
      </c>
      <c r="AB161" s="47" t="n">
        <f aca="false">MAX(0,MIN(Z161-AA161,$C161-(H161+L161+P161+T161+X161)))</f>
        <v>0</v>
      </c>
      <c r="AC161" s="47" t="n">
        <f aca="false">ROUND(Z161-AA161-AB161,2)</f>
        <v>0</v>
      </c>
      <c r="AD161" s="47" t="n">
        <f aca="false">ROUND(AG160*(1+Sorted!$H$8),2)</f>
        <v>0</v>
      </c>
      <c r="AE161" s="47" t="n">
        <f aca="false">MIN(AD161,Sorted!$G$8)</f>
        <v>0</v>
      </c>
      <c r="AF161" s="47" t="n">
        <f aca="false">MAX(0,MIN(AD161-AE161,$C161-(H161+L161+P161+T161+X161+AB161)))</f>
        <v>0</v>
      </c>
      <c r="AG161" s="47" t="n">
        <f aca="false">ROUND(AD161-AE161-AF161,2)</f>
        <v>0</v>
      </c>
      <c r="AH161" s="47" t="n">
        <f aca="false">ROUND(AK160*(1+Sorted!$H$9),2)</f>
        <v>0</v>
      </c>
      <c r="AI161" s="47" t="n">
        <f aca="false">MIN(AH161,Sorted!$G$9)</f>
        <v>0</v>
      </c>
      <c r="AJ161" s="47" t="n">
        <f aca="false">MAX(0,MIN(AH161-AI161,$C161-(H161+L161+P161+T161+X161+AB161+AF161)))</f>
        <v>0</v>
      </c>
      <c r="AK161" s="47" t="n">
        <f aca="false">ROUND(AH161-AI161-AJ161,2)</f>
        <v>0</v>
      </c>
      <c r="AL161" s="47" t="n">
        <f aca="false">ROUND(AO160*(1+Sorted!$H$10),2)</f>
        <v>0</v>
      </c>
      <c r="AM161" s="47" t="n">
        <f aca="false">MIN(AL161,Sorted!$G$10)</f>
        <v>0</v>
      </c>
      <c r="AN161" s="47" t="n">
        <f aca="false">MAX(0,MIN(AL161-AM161,$C161-(H161+L161+P161+T161+X161+AB161+AF161+AJ161)))</f>
        <v>0</v>
      </c>
      <c r="AO161" s="47" t="n">
        <f aca="false">ROUND(AL161-AM161-AN161,2)</f>
        <v>0</v>
      </c>
      <c r="AP161" s="47" t="n">
        <f aca="false">ROUND(AS160*(1+Sorted!$H$11),2)</f>
        <v>0</v>
      </c>
      <c r="AQ161" s="47" t="n">
        <f aca="false">MIN(AP161,Sorted!$G$11)</f>
        <v>0</v>
      </c>
      <c r="AR161" s="47" t="n">
        <f aca="false">MAX(0,MIN(AP161-AQ161,$C161-(H161+L161+P161+T161+X161+AB161+AF161+AJ161+AN161)))</f>
        <v>0</v>
      </c>
      <c r="AS161" s="47" t="n">
        <f aca="false">ROUND(AP161-AQ161-AR161,2)</f>
        <v>0</v>
      </c>
    </row>
    <row r="162" customFormat="false" ht="15" hidden="false" customHeight="false" outlineLevel="0" collapsed="false">
      <c r="A162" s="45" t="n">
        <v>159</v>
      </c>
      <c r="B162" s="46" t="n">
        <f aca="false">EDATE('My Debts'!$C$7,A162-1)</f>
        <v>51136</v>
      </c>
      <c r="C162" s="47" t="n">
        <f aca="false">MAX(0,'My Debts'!$E$6-(G162+K162+O162+S162+W162+AA162+AE162+AI162+AM162+AQ162))</f>
        <v>730</v>
      </c>
      <c r="D162" s="47" t="n">
        <f aca="false">(F162+J162+N162+R162+V162+Z162+AD162+AH162+AL162+AP162)-(I162+M162+Q162+U162+Y162+AC162+AG162+AK162+AO162+AS162)</f>
        <v>0</v>
      </c>
      <c r="E162" s="48" t="n">
        <f aca="false">I162+M162+Q162+U162+Y162+AC162+AG162+AK162+AO162+AS162</f>
        <v>0</v>
      </c>
      <c r="F162" s="47" t="n">
        <f aca="false">ROUND(I161*(1+Sorted!$H$2),2)</f>
        <v>0</v>
      </c>
      <c r="G162" s="47" t="n">
        <f aca="false">MIN(F162,Sorted!$G$2)</f>
        <v>0</v>
      </c>
      <c r="H162" s="47" t="n">
        <f aca="false">MAX(0,MIN(F162-G162,$C162-(0)))</f>
        <v>0</v>
      </c>
      <c r="I162" s="47" t="n">
        <f aca="false">ROUND(F162-G162-H162,2)</f>
        <v>0</v>
      </c>
      <c r="J162" s="47" t="n">
        <f aca="false">ROUND(M161*(1+Sorted!$H$3),2)</f>
        <v>0</v>
      </c>
      <c r="K162" s="47" t="n">
        <f aca="false">MIN(J162,Sorted!$G$3)</f>
        <v>0</v>
      </c>
      <c r="L162" s="47" t="n">
        <f aca="false">MAX(0,MIN(J162-K162,$C162-(H162)))</f>
        <v>0</v>
      </c>
      <c r="M162" s="47" t="n">
        <f aca="false">ROUND(J162-K162-L162,2)</f>
        <v>0</v>
      </c>
      <c r="N162" s="47" t="n">
        <f aca="false">ROUND(Q161*(1+Sorted!$H$4),2)</f>
        <v>0</v>
      </c>
      <c r="O162" s="47" t="n">
        <f aca="false">MIN(N162,Sorted!$G$4)</f>
        <v>0</v>
      </c>
      <c r="P162" s="47" t="n">
        <f aca="false">MAX(0,MIN(N162-O162,$C162-(H162+L162)))</f>
        <v>0</v>
      </c>
      <c r="Q162" s="47" t="n">
        <f aca="false">ROUND(N162-O162-P162,2)</f>
        <v>0</v>
      </c>
      <c r="R162" s="47" t="n">
        <f aca="false">ROUND(U161*(1+Sorted!$H$5),2)</f>
        <v>0</v>
      </c>
      <c r="S162" s="47" t="n">
        <f aca="false">MIN(R162,Sorted!$G$5)</f>
        <v>0</v>
      </c>
      <c r="T162" s="47" t="n">
        <f aca="false">MAX(0,MIN(R162-S162,$C162-(H162+L162+P162)))</f>
        <v>0</v>
      </c>
      <c r="U162" s="47" t="n">
        <f aca="false">ROUND(R162-S162-T162,2)</f>
        <v>0</v>
      </c>
      <c r="V162" s="47" t="n">
        <f aca="false">ROUND(Y161*(1+Sorted!$H$6),2)</f>
        <v>0</v>
      </c>
      <c r="W162" s="47" t="n">
        <f aca="false">MIN(V162,Sorted!$G$6)</f>
        <v>0</v>
      </c>
      <c r="X162" s="47" t="n">
        <f aca="false">MAX(0,MIN(V162-W162,$C162-(H162+L162+P162+T162)))</f>
        <v>0</v>
      </c>
      <c r="Y162" s="47" t="n">
        <f aca="false">ROUND(V162-W162-X162,2)</f>
        <v>0</v>
      </c>
      <c r="Z162" s="47" t="n">
        <f aca="false">ROUND(AC161*(1+Sorted!$H$7),2)</f>
        <v>0</v>
      </c>
      <c r="AA162" s="47" t="n">
        <f aca="false">MIN(Z162,Sorted!$G$7)</f>
        <v>0</v>
      </c>
      <c r="AB162" s="47" t="n">
        <f aca="false">MAX(0,MIN(Z162-AA162,$C162-(H162+L162+P162+T162+X162)))</f>
        <v>0</v>
      </c>
      <c r="AC162" s="47" t="n">
        <f aca="false">ROUND(Z162-AA162-AB162,2)</f>
        <v>0</v>
      </c>
      <c r="AD162" s="47" t="n">
        <f aca="false">ROUND(AG161*(1+Sorted!$H$8),2)</f>
        <v>0</v>
      </c>
      <c r="AE162" s="47" t="n">
        <f aca="false">MIN(AD162,Sorted!$G$8)</f>
        <v>0</v>
      </c>
      <c r="AF162" s="47" t="n">
        <f aca="false">MAX(0,MIN(AD162-AE162,$C162-(H162+L162+P162+T162+X162+AB162)))</f>
        <v>0</v>
      </c>
      <c r="AG162" s="47" t="n">
        <f aca="false">ROUND(AD162-AE162-AF162,2)</f>
        <v>0</v>
      </c>
      <c r="AH162" s="47" t="n">
        <f aca="false">ROUND(AK161*(1+Sorted!$H$9),2)</f>
        <v>0</v>
      </c>
      <c r="AI162" s="47" t="n">
        <f aca="false">MIN(AH162,Sorted!$G$9)</f>
        <v>0</v>
      </c>
      <c r="AJ162" s="47" t="n">
        <f aca="false">MAX(0,MIN(AH162-AI162,$C162-(H162+L162+P162+T162+X162+AB162+AF162)))</f>
        <v>0</v>
      </c>
      <c r="AK162" s="47" t="n">
        <f aca="false">ROUND(AH162-AI162-AJ162,2)</f>
        <v>0</v>
      </c>
      <c r="AL162" s="47" t="n">
        <f aca="false">ROUND(AO161*(1+Sorted!$H$10),2)</f>
        <v>0</v>
      </c>
      <c r="AM162" s="47" t="n">
        <f aca="false">MIN(AL162,Sorted!$G$10)</f>
        <v>0</v>
      </c>
      <c r="AN162" s="47" t="n">
        <f aca="false">MAX(0,MIN(AL162-AM162,$C162-(H162+L162+P162+T162+X162+AB162+AF162+AJ162)))</f>
        <v>0</v>
      </c>
      <c r="AO162" s="47" t="n">
        <f aca="false">ROUND(AL162-AM162-AN162,2)</f>
        <v>0</v>
      </c>
      <c r="AP162" s="47" t="n">
        <f aca="false">ROUND(AS161*(1+Sorted!$H$11),2)</f>
        <v>0</v>
      </c>
      <c r="AQ162" s="47" t="n">
        <f aca="false">MIN(AP162,Sorted!$G$11)</f>
        <v>0</v>
      </c>
      <c r="AR162" s="47" t="n">
        <f aca="false">MAX(0,MIN(AP162-AQ162,$C162-(H162+L162+P162+T162+X162+AB162+AF162+AJ162+AN162)))</f>
        <v>0</v>
      </c>
      <c r="AS162" s="47" t="n">
        <f aca="false">ROUND(AP162-AQ162-AR162,2)</f>
        <v>0</v>
      </c>
    </row>
    <row r="163" customFormat="false" ht="15" hidden="false" customHeight="false" outlineLevel="0" collapsed="false">
      <c r="A163" s="45" t="n">
        <v>160</v>
      </c>
      <c r="B163" s="46" t="n">
        <f aca="false">EDATE('My Debts'!$C$7,A163-1)</f>
        <v>51167</v>
      </c>
      <c r="C163" s="47" t="n">
        <f aca="false">MAX(0,'My Debts'!$E$6-(G163+K163+O163+S163+W163+AA163+AE163+AI163+AM163+AQ163))</f>
        <v>730</v>
      </c>
      <c r="D163" s="47" t="n">
        <f aca="false">(F163+J163+N163+R163+V163+Z163+AD163+AH163+AL163+AP163)-(I163+M163+Q163+U163+Y163+AC163+AG163+AK163+AO163+AS163)</f>
        <v>0</v>
      </c>
      <c r="E163" s="48" t="n">
        <f aca="false">I163+M163+Q163+U163+Y163+AC163+AG163+AK163+AO163+AS163</f>
        <v>0</v>
      </c>
      <c r="F163" s="47" t="n">
        <f aca="false">ROUND(I162*(1+Sorted!$H$2),2)</f>
        <v>0</v>
      </c>
      <c r="G163" s="47" t="n">
        <f aca="false">MIN(F163,Sorted!$G$2)</f>
        <v>0</v>
      </c>
      <c r="H163" s="47" t="n">
        <f aca="false">MAX(0,MIN(F163-G163,$C163-(0)))</f>
        <v>0</v>
      </c>
      <c r="I163" s="47" t="n">
        <f aca="false">ROUND(F163-G163-H163,2)</f>
        <v>0</v>
      </c>
      <c r="J163" s="47" t="n">
        <f aca="false">ROUND(M162*(1+Sorted!$H$3),2)</f>
        <v>0</v>
      </c>
      <c r="K163" s="47" t="n">
        <f aca="false">MIN(J163,Sorted!$G$3)</f>
        <v>0</v>
      </c>
      <c r="L163" s="47" t="n">
        <f aca="false">MAX(0,MIN(J163-K163,$C163-(H163)))</f>
        <v>0</v>
      </c>
      <c r="M163" s="47" t="n">
        <f aca="false">ROUND(J163-K163-L163,2)</f>
        <v>0</v>
      </c>
      <c r="N163" s="47" t="n">
        <f aca="false">ROUND(Q162*(1+Sorted!$H$4),2)</f>
        <v>0</v>
      </c>
      <c r="O163" s="47" t="n">
        <f aca="false">MIN(N163,Sorted!$G$4)</f>
        <v>0</v>
      </c>
      <c r="P163" s="47" t="n">
        <f aca="false">MAX(0,MIN(N163-O163,$C163-(H163+L163)))</f>
        <v>0</v>
      </c>
      <c r="Q163" s="47" t="n">
        <f aca="false">ROUND(N163-O163-P163,2)</f>
        <v>0</v>
      </c>
      <c r="R163" s="47" t="n">
        <f aca="false">ROUND(U162*(1+Sorted!$H$5),2)</f>
        <v>0</v>
      </c>
      <c r="S163" s="47" t="n">
        <f aca="false">MIN(R163,Sorted!$G$5)</f>
        <v>0</v>
      </c>
      <c r="T163" s="47" t="n">
        <f aca="false">MAX(0,MIN(R163-S163,$C163-(H163+L163+P163)))</f>
        <v>0</v>
      </c>
      <c r="U163" s="47" t="n">
        <f aca="false">ROUND(R163-S163-T163,2)</f>
        <v>0</v>
      </c>
      <c r="V163" s="47" t="n">
        <f aca="false">ROUND(Y162*(1+Sorted!$H$6),2)</f>
        <v>0</v>
      </c>
      <c r="W163" s="47" t="n">
        <f aca="false">MIN(V163,Sorted!$G$6)</f>
        <v>0</v>
      </c>
      <c r="X163" s="47" t="n">
        <f aca="false">MAX(0,MIN(V163-W163,$C163-(H163+L163+P163+T163)))</f>
        <v>0</v>
      </c>
      <c r="Y163" s="47" t="n">
        <f aca="false">ROUND(V163-W163-X163,2)</f>
        <v>0</v>
      </c>
      <c r="Z163" s="47" t="n">
        <f aca="false">ROUND(AC162*(1+Sorted!$H$7),2)</f>
        <v>0</v>
      </c>
      <c r="AA163" s="47" t="n">
        <f aca="false">MIN(Z163,Sorted!$G$7)</f>
        <v>0</v>
      </c>
      <c r="AB163" s="47" t="n">
        <f aca="false">MAX(0,MIN(Z163-AA163,$C163-(H163+L163+P163+T163+X163)))</f>
        <v>0</v>
      </c>
      <c r="AC163" s="47" t="n">
        <f aca="false">ROUND(Z163-AA163-AB163,2)</f>
        <v>0</v>
      </c>
      <c r="AD163" s="47" t="n">
        <f aca="false">ROUND(AG162*(1+Sorted!$H$8),2)</f>
        <v>0</v>
      </c>
      <c r="AE163" s="47" t="n">
        <f aca="false">MIN(AD163,Sorted!$G$8)</f>
        <v>0</v>
      </c>
      <c r="AF163" s="47" t="n">
        <f aca="false">MAX(0,MIN(AD163-AE163,$C163-(H163+L163+P163+T163+X163+AB163)))</f>
        <v>0</v>
      </c>
      <c r="AG163" s="47" t="n">
        <f aca="false">ROUND(AD163-AE163-AF163,2)</f>
        <v>0</v>
      </c>
      <c r="AH163" s="47" t="n">
        <f aca="false">ROUND(AK162*(1+Sorted!$H$9),2)</f>
        <v>0</v>
      </c>
      <c r="AI163" s="47" t="n">
        <f aca="false">MIN(AH163,Sorted!$G$9)</f>
        <v>0</v>
      </c>
      <c r="AJ163" s="47" t="n">
        <f aca="false">MAX(0,MIN(AH163-AI163,$C163-(H163+L163+P163+T163+X163+AB163+AF163)))</f>
        <v>0</v>
      </c>
      <c r="AK163" s="47" t="n">
        <f aca="false">ROUND(AH163-AI163-AJ163,2)</f>
        <v>0</v>
      </c>
      <c r="AL163" s="47" t="n">
        <f aca="false">ROUND(AO162*(1+Sorted!$H$10),2)</f>
        <v>0</v>
      </c>
      <c r="AM163" s="47" t="n">
        <f aca="false">MIN(AL163,Sorted!$G$10)</f>
        <v>0</v>
      </c>
      <c r="AN163" s="47" t="n">
        <f aca="false">MAX(0,MIN(AL163-AM163,$C163-(H163+L163+P163+T163+X163+AB163+AF163+AJ163)))</f>
        <v>0</v>
      </c>
      <c r="AO163" s="47" t="n">
        <f aca="false">ROUND(AL163-AM163-AN163,2)</f>
        <v>0</v>
      </c>
      <c r="AP163" s="47" t="n">
        <f aca="false">ROUND(AS162*(1+Sorted!$H$11),2)</f>
        <v>0</v>
      </c>
      <c r="AQ163" s="47" t="n">
        <f aca="false">MIN(AP163,Sorted!$G$11)</f>
        <v>0</v>
      </c>
      <c r="AR163" s="47" t="n">
        <f aca="false">MAX(0,MIN(AP163-AQ163,$C163-(H163+L163+P163+T163+X163+AB163+AF163+AJ163+AN163)))</f>
        <v>0</v>
      </c>
      <c r="AS163" s="47" t="n">
        <f aca="false">ROUND(AP163-AQ163-AR163,2)</f>
        <v>0</v>
      </c>
    </row>
    <row r="164" customFormat="false" ht="15" hidden="false" customHeight="false" outlineLevel="0" collapsed="false">
      <c r="A164" s="45" t="n">
        <v>161</v>
      </c>
      <c r="B164" s="46" t="n">
        <f aca="false">EDATE('My Debts'!$C$7,A164-1)</f>
        <v>51196</v>
      </c>
      <c r="C164" s="47" t="n">
        <f aca="false">MAX(0,'My Debts'!$E$6-(G164+K164+O164+S164+W164+AA164+AE164+AI164+AM164+AQ164))</f>
        <v>730</v>
      </c>
      <c r="D164" s="47" t="n">
        <f aca="false">(F164+J164+N164+R164+V164+Z164+AD164+AH164+AL164+AP164)-(I164+M164+Q164+U164+Y164+AC164+AG164+AK164+AO164+AS164)</f>
        <v>0</v>
      </c>
      <c r="E164" s="48" t="n">
        <f aca="false">I164+M164+Q164+U164+Y164+AC164+AG164+AK164+AO164+AS164</f>
        <v>0</v>
      </c>
      <c r="F164" s="47" t="n">
        <f aca="false">ROUND(I163*(1+Sorted!$H$2),2)</f>
        <v>0</v>
      </c>
      <c r="G164" s="47" t="n">
        <f aca="false">MIN(F164,Sorted!$G$2)</f>
        <v>0</v>
      </c>
      <c r="H164" s="47" t="n">
        <f aca="false">MAX(0,MIN(F164-G164,$C164-(0)))</f>
        <v>0</v>
      </c>
      <c r="I164" s="47" t="n">
        <f aca="false">ROUND(F164-G164-H164,2)</f>
        <v>0</v>
      </c>
      <c r="J164" s="47" t="n">
        <f aca="false">ROUND(M163*(1+Sorted!$H$3),2)</f>
        <v>0</v>
      </c>
      <c r="K164" s="47" t="n">
        <f aca="false">MIN(J164,Sorted!$G$3)</f>
        <v>0</v>
      </c>
      <c r="L164" s="47" t="n">
        <f aca="false">MAX(0,MIN(J164-K164,$C164-(H164)))</f>
        <v>0</v>
      </c>
      <c r="M164" s="47" t="n">
        <f aca="false">ROUND(J164-K164-L164,2)</f>
        <v>0</v>
      </c>
      <c r="N164" s="47" t="n">
        <f aca="false">ROUND(Q163*(1+Sorted!$H$4),2)</f>
        <v>0</v>
      </c>
      <c r="O164" s="47" t="n">
        <f aca="false">MIN(N164,Sorted!$G$4)</f>
        <v>0</v>
      </c>
      <c r="P164" s="47" t="n">
        <f aca="false">MAX(0,MIN(N164-O164,$C164-(H164+L164)))</f>
        <v>0</v>
      </c>
      <c r="Q164" s="47" t="n">
        <f aca="false">ROUND(N164-O164-P164,2)</f>
        <v>0</v>
      </c>
      <c r="R164" s="47" t="n">
        <f aca="false">ROUND(U163*(1+Sorted!$H$5),2)</f>
        <v>0</v>
      </c>
      <c r="S164" s="47" t="n">
        <f aca="false">MIN(R164,Sorted!$G$5)</f>
        <v>0</v>
      </c>
      <c r="T164" s="47" t="n">
        <f aca="false">MAX(0,MIN(R164-S164,$C164-(H164+L164+P164)))</f>
        <v>0</v>
      </c>
      <c r="U164" s="47" t="n">
        <f aca="false">ROUND(R164-S164-T164,2)</f>
        <v>0</v>
      </c>
      <c r="V164" s="47" t="n">
        <f aca="false">ROUND(Y163*(1+Sorted!$H$6),2)</f>
        <v>0</v>
      </c>
      <c r="W164" s="47" t="n">
        <f aca="false">MIN(V164,Sorted!$G$6)</f>
        <v>0</v>
      </c>
      <c r="X164" s="47" t="n">
        <f aca="false">MAX(0,MIN(V164-W164,$C164-(H164+L164+P164+T164)))</f>
        <v>0</v>
      </c>
      <c r="Y164" s="47" t="n">
        <f aca="false">ROUND(V164-W164-X164,2)</f>
        <v>0</v>
      </c>
      <c r="Z164" s="47" t="n">
        <f aca="false">ROUND(AC163*(1+Sorted!$H$7),2)</f>
        <v>0</v>
      </c>
      <c r="AA164" s="47" t="n">
        <f aca="false">MIN(Z164,Sorted!$G$7)</f>
        <v>0</v>
      </c>
      <c r="AB164" s="47" t="n">
        <f aca="false">MAX(0,MIN(Z164-AA164,$C164-(H164+L164+P164+T164+X164)))</f>
        <v>0</v>
      </c>
      <c r="AC164" s="47" t="n">
        <f aca="false">ROUND(Z164-AA164-AB164,2)</f>
        <v>0</v>
      </c>
      <c r="AD164" s="47" t="n">
        <f aca="false">ROUND(AG163*(1+Sorted!$H$8),2)</f>
        <v>0</v>
      </c>
      <c r="AE164" s="47" t="n">
        <f aca="false">MIN(AD164,Sorted!$G$8)</f>
        <v>0</v>
      </c>
      <c r="AF164" s="47" t="n">
        <f aca="false">MAX(0,MIN(AD164-AE164,$C164-(H164+L164+P164+T164+X164+AB164)))</f>
        <v>0</v>
      </c>
      <c r="AG164" s="47" t="n">
        <f aca="false">ROUND(AD164-AE164-AF164,2)</f>
        <v>0</v>
      </c>
      <c r="AH164" s="47" t="n">
        <f aca="false">ROUND(AK163*(1+Sorted!$H$9),2)</f>
        <v>0</v>
      </c>
      <c r="AI164" s="47" t="n">
        <f aca="false">MIN(AH164,Sorted!$G$9)</f>
        <v>0</v>
      </c>
      <c r="AJ164" s="47" t="n">
        <f aca="false">MAX(0,MIN(AH164-AI164,$C164-(H164+L164+P164+T164+X164+AB164+AF164)))</f>
        <v>0</v>
      </c>
      <c r="AK164" s="47" t="n">
        <f aca="false">ROUND(AH164-AI164-AJ164,2)</f>
        <v>0</v>
      </c>
      <c r="AL164" s="47" t="n">
        <f aca="false">ROUND(AO163*(1+Sorted!$H$10),2)</f>
        <v>0</v>
      </c>
      <c r="AM164" s="47" t="n">
        <f aca="false">MIN(AL164,Sorted!$G$10)</f>
        <v>0</v>
      </c>
      <c r="AN164" s="47" t="n">
        <f aca="false">MAX(0,MIN(AL164-AM164,$C164-(H164+L164+P164+T164+X164+AB164+AF164+AJ164)))</f>
        <v>0</v>
      </c>
      <c r="AO164" s="47" t="n">
        <f aca="false">ROUND(AL164-AM164-AN164,2)</f>
        <v>0</v>
      </c>
      <c r="AP164" s="47" t="n">
        <f aca="false">ROUND(AS163*(1+Sorted!$H$11),2)</f>
        <v>0</v>
      </c>
      <c r="AQ164" s="47" t="n">
        <f aca="false">MIN(AP164,Sorted!$G$11)</f>
        <v>0</v>
      </c>
      <c r="AR164" s="47" t="n">
        <f aca="false">MAX(0,MIN(AP164-AQ164,$C164-(H164+L164+P164+T164+X164+AB164+AF164+AJ164+AN164)))</f>
        <v>0</v>
      </c>
      <c r="AS164" s="47" t="n">
        <f aca="false">ROUND(AP164-AQ164-AR164,2)</f>
        <v>0</v>
      </c>
    </row>
    <row r="165" customFormat="false" ht="15" hidden="false" customHeight="false" outlineLevel="0" collapsed="false">
      <c r="A165" s="45" t="n">
        <v>162</v>
      </c>
      <c r="B165" s="46" t="n">
        <f aca="false">EDATE('My Debts'!$C$7,A165-1)</f>
        <v>51227</v>
      </c>
      <c r="C165" s="47" t="n">
        <f aca="false">MAX(0,'My Debts'!$E$6-(G165+K165+O165+S165+W165+AA165+AE165+AI165+AM165+AQ165))</f>
        <v>730</v>
      </c>
      <c r="D165" s="47" t="n">
        <f aca="false">(F165+J165+N165+R165+V165+Z165+AD165+AH165+AL165+AP165)-(I165+M165+Q165+U165+Y165+AC165+AG165+AK165+AO165+AS165)</f>
        <v>0</v>
      </c>
      <c r="E165" s="48" t="n">
        <f aca="false">I165+M165+Q165+U165+Y165+AC165+AG165+AK165+AO165+AS165</f>
        <v>0</v>
      </c>
      <c r="F165" s="47" t="n">
        <f aca="false">ROUND(I164*(1+Sorted!$H$2),2)</f>
        <v>0</v>
      </c>
      <c r="G165" s="47" t="n">
        <f aca="false">MIN(F165,Sorted!$G$2)</f>
        <v>0</v>
      </c>
      <c r="H165" s="47" t="n">
        <f aca="false">MAX(0,MIN(F165-G165,$C165-(0)))</f>
        <v>0</v>
      </c>
      <c r="I165" s="47" t="n">
        <f aca="false">ROUND(F165-G165-H165,2)</f>
        <v>0</v>
      </c>
      <c r="J165" s="47" t="n">
        <f aca="false">ROUND(M164*(1+Sorted!$H$3),2)</f>
        <v>0</v>
      </c>
      <c r="K165" s="47" t="n">
        <f aca="false">MIN(J165,Sorted!$G$3)</f>
        <v>0</v>
      </c>
      <c r="L165" s="47" t="n">
        <f aca="false">MAX(0,MIN(J165-K165,$C165-(H165)))</f>
        <v>0</v>
      </c>
      <c r="M165" s="47" t="n">
        <f aca="false">ROUND(J165-K165-L165,2)</f>
        <v>0</v>
      </c>
      <c r="N165" s="47" t="n">
        <f aca="false">ROUND(Q164*(1+Sorted!$H$4),2)</f>
        <v>0</v>
      </c>
      <c r="O165" s="47" t="n">
        <f aca="false">MIN(N165,Sorted!$G$4)</f>
        <v>0</v>
      </c>
      <c r="P165" s="47" t="n">
        <f aca="false">MAX(0,MIN(N165-O165,$C165-(H165+L165)))</f>
        <v>0</v>
      </c>
      <c r="Q165" s="47" t="n">
        <f aca="false">ROUND(N165-O165-P165,2)</f>
        <v>0</v>
      </c>
      <c r="R165" s="47" t="n">
        <f aca="false">ROUND(U164*(1+Sorted!$H$5),2)</f>
        <v>0</v>
      </c>
      <c r="S165" s="47" t="n">
        <f aca="false">MIN(R165,Sorted!$G$5)</f>
        <v>0</v>
      </c>
      <c r="T165" s="47" t="n">
        <f aca="false">MAX(0,MIN(R165-S165,$C165-(H165+L165+P165)))</f>
        <v>0</v>
      </c>
      <c r="U165" s="47" t="n">
        <f aca="false">ROUND(R165-S165-T165,2)</f>
        <v>0</v>
      </c>
      <c r="V165" s="47" t="n">
        <f aca="false">ROUND(Y164*(1+Sorted!$H$6),2)</f>
        <v>0</v>
      </c>
      <c r="W165" s="47" t="n">
        <f aca="false">MIN(V165,Sorted!$G$6)</f>
        <v>0</v>
      </c>
      <c r="X165" s="47" t="n">
        <f aca="false">MAX(0,MIN(V165-W165,$C165-(H165+L165+P165+T165)))</f>
        <v>0</v>
      </c>
      <c r="Y165" s="47" t="n">
        <f aca="false">ROUND(V165-W165-X165,2)</f>
        <v>0</v>
      </c>
      <c r="Z165" s="47" t="n">
        <f aca="false">ROUND(AC164*(1+Sorted!$H$7),2)</f>
        <v>0</v>
      </c>
      <c r="AA165" s="47" t="n">
        <f aca="false">MIN(Z165,Sorted!$G$7)</f>
        <v>0</v>
      </c>
      <c r="AB165" s="47" t="n">
        <f aca="false">MAX(0,MIN(Z165-AA165,$C165-(H165+L165+P165+T165+X165)))</f>
        <v>0</v>
      </c>
      <c r="AC165" s="47" t="n">
        <f aca="false">ROUND(Z165-AA165-AB165,2)</f>
        <v>0</v>
      </c>
      <c r="AD165" s="47" t="n">
        <f aca="false">ROUND(AG164*(1+Sorted!$H$8),2)</f>
        <v>0</v>
      </c>
      <c r="AE165" s="47" t="n">
        <f aca="false">MIN(AD165,Sorted!$G$8)</f>
        <v>0</v>
      </c>
      <c r="AF165" s="47" t="n">
        <f aca="false">MAX(0,MIN(AD165-AE165,$C165-(H165+L165+P165+T165+X165+AB165)))</f>
        <v>0</v>
      </c>
      <c r="AG165" s="47" t="n">
        <f aca="false">ROUND(AD165-AE165-AF165,2)</f>
        <v>0</v>
      </c>
      <c r="AH165" s="47" t="n">
        <f aca="false">ROUND(AK164*(1+Sorted!$H$9),2)</f>
        <v>0</v>
      </c>
      <c r="AI165" s="47" t="n">
        <f aca="false">MIN(AH165,Sorted!$G$9)</f>
        <v>0</v>
      </c>
      <c r="AJ165" s="47" t="n">
        <f aca="false">MAX(0,MIN(AH165-AI165,$C165-(H165+L165+P165+T165+X165+AB165+AF165)))</f>
        <v>0</v>
      </c>
      <c r="AK165" s="47" t="n">
        <f aca="false">ROUND(AH165-AI165-AJ165,2)</f>
        <v>0</v>
      </c>
      <c r="AL165" s="47" t="n">
        <f aca="false">ROUND(AO164*(1+Sorted!$H$10),2)</f>
        <v>0</v>
      </c>
      <c r="AM165" s="47" t="n">
        <f aca="false">MIN(AL165,Sorted!$G$10)</f>
        <v>0</v>
      </c>
      <c r="AN165" s="47" t="n">
        <f aca="false">MAX(0,MIN(AL165-AM165,$C165-(H165+L165+P165+T165+X165+AB165+AF165+AJ165)))</f>
        <v>0</v>
      </c>
      <c r="AO165" s="47" t="n">
        <f aca="false">ROUND(AL165-AM165-AN165,2)</f>
        <v>0</v>
      </c>
      <c r="AP165" s="47" t="n">
        <f aca="false">ROUND(AS164*(1+Sorted!$H$11),2)</f>
        <v>0</v>
      </c>
      <c r="AQ165" s="47" t="n">
        <f aca="false">MIN(AP165,Sorted!$G$11)</f>
        <v>0</v>
      </c>
      <c r="AR165" s="47" t="n">
        <f aca="false">MAX(0,MIN(AP165-AQ165,$C165-(H165+L165+P165+T165+X165+AB165+AF165+AJ165+AN165)))</f>
        <v>0</v>
      </c>
      <c r="AS165" s="47" t="n">
        <f aca="false">ROUND(AP165-AQ165-AR165,2)</f>
        <v>0</v>
      </c>
    </row>
    <row r="166" customFormat="false" ht="15" hidden="false" customHeight="false" outlineLevel="0" collapsed="false">
      <c r="A166" s="45" t="n">
        <v>163</v>
      </c>
      <c r="B166" s="46" t="n">
        <f aca="false">EDATE('My Debts'!$C$7,A166-1)</f>
        <v>51257</v>
      </c>
      <c r="C166" s="47" t="n">
        <f aca="false">MAX(0,'My Debts'!$E$6-(G166+K166+O166+S166+W166+AA166+AE166+AI166+AM166+AQ166))</f>
        <v>730</v>
      </c>
      <c r="D166" s="47" t="n">
        <f aca="false">(F166+J166+N166+R166+V166+Z166+AD166+AH166+AL166+AP166)-(I166+M166+Q166+U166+Y166+AC166+AG166+AK166+AO166+AS166)</f>
        <v>0</v>
      </c>
      <c r="E166" s="48" t="n">
        <f aca="false">I166+M166+Q166+U166+Y166+AC166+AG166+AK166+AO166+AS166</f>
        <v>0</v>
      </c>
      <c r="F166" s="47" t="n">
        <f aca="false">ROUND(I165*(1+Sorted!$H$2),2)</f>
        <v>0</v>
      </c>
      <c r="G166" s="47" t="n">
        <f aca="false">MIN(F166,Sorted!$G$2)</f>
        <v>0</v>
      </c>
      <c r="H166" s="47" t="n">
        <f aca="false">MAX(0,MIN(F166-G166,$C166-(0)))</f>
        <v>0</v>
      </c>
      <c r="I166" s="47" t="n">
        <f aca="false">ROUND(F166-G166-H166,2)</f>
        <v>0</v>
      </c>
      <c r="J166" s="47" t="n">
        <f aca="false">ROUND(M165*(1+Sorted!$H$3),2)</f>
        <v>0</v>
      </c>
      <c r="K166" s="47" t="n">
        <f aca="false">MIN(J166,Sorted!$G$3)</f>
        <v>0</v>
      </c>
      <c r="L166" s="47" t="n">
        <f aca="false">MAX(0,MIN(J166-K166,$C166-(H166)))</f>
        <v>0</v>
      </c>
      <c r="M166" s="47" t="n">
        <f aca="false">ROUND(J166-K166-L166,2)</f>
        <v>0</v>
      </c>
      <c r="N166" s="47" t="n">
        <f aca="false">ROUND(Q165*(1+Sorted!$H$4),2)</f>
        <v>0</v>
      </c>
      <c r="O166" s="47" t="n">
        <f aca="false">MIN(N166,Sorted!$G$4)</f>
        <v>0</v>
      </c>
      <c r="P166" s="47" t="n">
        <f aca="false">MAX(0,MIN(N166-O166,$C166-(H166+L166)))</f>
        <v>0</v>
      </c>
      <c r="Q166" s="47" t="n">
        <f aca="false">ROUND(N166-O166-P166,2)</f>
        <v>0</v>
      </c>
      <c r="R166" s="47" t="n">
        <f aca="false">ROUND(U165*(1+Sorted!$H$5),2)</f>
        <v>0</v>
      </c>
      <c r="S166" s="47" t="n">
        <f aca="false">MIN(R166,Sorted!$G$5)</f>
        <v>0</v>
      </c>
      <c r="T166" s="47" t="n">
        <f aca="false">MAX(0,MIN(R166-S166,$C166-(H166+L166+P166)))</f>
        <v>0</v>
      </c>
      <c r="U166" s="47" t="n">
        <f aca="false">ROUND(R166-S166-T166,2)</f>
        <v>0</v>
      </c>
      <c r="V166" s="47" t="n">
        <f aca="false">ROUND(Y165*(1+Sorted!$H$6),2)</f>
        <v>0</v>
      </c>
      <c r="W166" s="47" t="n">
        <f aca="false">MIN(V166,Sorted!$G$6)</f>
        <v>0</v>
      </c>
      <c r="X166" s="47" t="n">
        <f aca="false">MAX(0,MIN(V166-W166,$C166-(H166+L166+P166+T166)))</f>
        <v>0</v>
      </c>
      <c r="Y166" s="47" t="n">
        <f aca="false">ROUND(V166-W166-X166,2)</f>
        <v>0</v>
      </c>
      <c r="Z166" s="47" t="n">
        <f aca="false">ROUND(AC165*(1+Sorted!$H$7),2)</f>
        <v>0</v>
      </c>
      <c r="AA166" s="47" t="n">
        <f aca="false">MIN(Z166,Sorted!$G$7)</f>
        <v>0</v>
      </c>
      <c r="AB166" s="47" t="n">
        <f aca="false">MAX(0,MIN(Z166-AA166,$C166-(H166+L166+P166+T166+X166)))</f>
        <v>0</v>
      </c>
      <c r="AC166" s="47" t="n">
        <f aca="false">ROUND(Z166-AA166-AB166,2)</f>
        <v>0</v>
      </c>
      <c r="AD166" s="47" t="n">
        <f aca="false">ROUND(AG165*(1+Sorted!$H$8),2)</f>
        <v>0</v>
      </c>
      <c r="AE166" s="47" t="n">
        <f aca="false">MIN(AD166,Sorted!$G$8)</f>
        <v>0</v>
      </c>
      <c r="AF166" s="47" t="n">
        <f aca="false">MAX(0,MIN(AD166-AE166,$C166-(H166+L166+P166+T166+X166+AB166)))</f>
        <v>0</v>
      </c>
      <c r="AG166" s="47" t="n">
        <f aca="false">ROUND(AD166-AE166-AF166,2)</f>
        <v>0</v>
      </c>
      <c r="AH166" s="47" t="n">
        <f aca="false">ROUND(AK165*(1+Sorted!$H$9),2)</f>
        <v>0</v>
      </c>
      <c r="AI166" s="47" t="n">
        <f aca="false">MIN(AH166,Sorted!$G$9)</f>
        <v>0</v>
      </c>
      <c r="AJ166" s="47" t="n">
        <f aca="false">MAX(0,MIN(AH166-AI166,$C166-(H166+L166+P166+T166+X166+AB166+AF166)))</f>
        <v>0</v>
      </c>
      <c r="AK166" s="47" t="n">
        <f aca="false">ROUND(AH166-AI166-AJ166,2)</f>
        <v>0</v>
      </c>
      <c r="AL166" s="47" t="n">
        <f aca="false">ROUND(AO165*(1+Sorted!$H$10),2)</f>
        <v>0</v>
      </c>
      <c r="AM166" s="47" t="n">
        <f aca="false">MIN(AL166,Sorted!$G$10)</f>
        <v>0</v>
      </c>
      <c r="AN166" s="47" t="n">
        <f aca="false">MAX(0,MIN(AL166-AM166,$C166-(H166+L166+P166+T166+X166+AB166+AF166+AJ166)))</f>
        <v>0</v>
      </c>
      <c r="AO166" s="47" t="n">
        <f aca="false">ROUND(AL166-AM166-AN166,2)</f>
        <v>0</v>
      </c>
      <c r="AP166" s="47" t="n">
        <f aca="false">ROUND(AS165*(1+Sorted!$H$11),2)</f>
        <v>0</v>
      </c>
      <c r="AQ166" s="47" t="n">
        <f aca="false">MIN(AP166,Sorted!$G$11)</f>
        <v>0</v>
      </c>
      <c r="AR166" s="47" t="n">
        <f aca="false">MAX(0,MIN(AP166-AQ166,$C166-(H166+L166+P166+T166+X166+AB166+AF166+AJ166+AN166)))</f>
        <v>0</v>
      </c>
      <c r="AS166" s="47" t="n">
        <f aca="false">ROUND(AP166-AQ166-AR166,2)</f>
        <v>0</v>
      </c>
    </row>
    <row r="167" customFormat="false" ht="15" hidden="false" customHeight="false" outlineLevel="0" collapsed="false">
      <c r="A167" s="45" t="n">
        <v>164</v>
      </c>
      <c r="B167" s="46" t="n">
        <f aca="false">EDATE('My Debts'!$C$7,A167-1)</f>
        <v>51288</v>
      </c>
      <c r="C167" s="47" t="n">
        <f aca="false">MAX(0,'My Debts'!$E$6-(G167+K167+O167+S167+W167+AA167+AE167+AI167+AM167+AQ167))</f>
        <v>730</v>
      </c>
      <c r="D167" s="47" t="n">
        <f aca="false">(F167+J167+N167+R167+V167+Z167+AD167+AH167+AL167+AP167)-(I167+M167+Q167+U167+Y167+AC167+AG167+AK167+AO167+AS167)</f>
        <v>0</v>
      </c>
      <c r="E167" s="48" t="n">
        <f aca="false">I167+M167+Q167+U167+Y167+AC167+AG167+AK167+AO167+AS167</f>
        <v>0</v>
      </c>
      <c r="F167" s="47" t="n">
        <f aca="false">ROUND(I166*(1+Sorted!$H$2),2)</f>
        <v>0</v>
      </c>
      <c r="G167" s="47" t="n">
        <f aca="false">MIN(F167,Sorted!$G$2)</f>
        <v>0</v>
      </c>
      <c r="H167" s="47" t="n">
        <f aca="false">MAX(0,MIN(F167-G167,$C167-(0)))</f>
        <v>0</v>
      </c>
      <c r="I167" s="47" t="n">
        <f aca="false">ROUND(F167-G167-H167,2)</f>
        <v>0</v>
      </c>
      <c r="J167" s="47" t="n">
        <f aca="false">ROUND(M166*(1+Sorted!$H$3),2)</f>
        <v>0</v>
      </c>
      <c r="K167" s="47" t="n">
        <f aca="false">MIN(J167,Sorted!$G$3)</f>
        <v>0</v>
      </c>
      <c r="L167" s="47" t="n">
        <f aca="false">MAX(0,MIN(J167-K167,$C167-(H167)))</f>
        <v>0</v>
      </c>
      <c r="M167" s="47" t="n">
        <f aca="false">ROUND(J167-K167-L167,2)</f>
        <v>0</v>
      </c>
      <c r="N167" s="47" t="n">
        <f aca="false">ROUND(Q166*(1+Sorted!$H$4),2)</f>
        <v>0</v>
      </c>
      <c r="O167" s="47" t="n">
        <f aca="false">MIN(N167,Sorted!$G$4)</f>
        <v>0</v>
      </c>
      <c r="P167" s="47" t="n">
        <f aca="false">MAX(0,MIN(N167-O167,$C167-(H167+L167)))</f>
        <v>0</v>
      </c>
      <c r="Q167" s="47" t="n">
        <f aca="false">ROUND(N167-O167-P167,2)</f>
        <v>0</v>
      </c>
      <c r="R167" s="47" t="n">
        <f aca="false">ROUND(U166*(1+Sorted!$H$5),2)</f>
        <v>0</v>
      </c>
      <c r="S167" s="47" t="n">
        <f aca="false">MIN(R167,Sorted!$G$5)</f>
        <v>0</v>
      </c>
      <c r="T167" s="47" t="n">
        <f aca="false">MAX(0,MIN(R167-S167,$C167-(H167+L167+P167)))</f>
        <v>0</v>
      </c>
      <c r="U167" s="47" t="n">
        <f aca="false">ROUND(R167-S167-T167,2)</f>
        <v>0</v>
      </c>
      <c r="V167" s="47" t="n">
        <f aca="false">ROUND(Y166*(1+Sorted!$H$6),2)</f>
        <v>0</v>
      </c>
      <c r="W167" s="47" t="n">
        <f aca="false">MIN(V167,Sorted!$G$6)</f>
        <v>0</v>
      </c>
      <c r="X167" s="47" t="n">
        <f aca="false">MAX(0,MIN(V167-W167,$C167-(H167+L167+P167+T167)))</f>
        <v>0</v>
      </c>
      <c r="Y167" s="47" t="n">
        <f aca="false">ROUND(V167-W167-X167,2)</f>
        <v>0</v>
      </c>
      <c r="Z167" s="47" t="n">
        <f aca="false">ROUND(AC166*(1+Sorted!$H$7),2)</f>
        <v>0</v>
      </c>
      <c r="AA167" s="47" t="n">
        <f aca="false">MIN(Z167,Sorted!$G$7)</f>
        <v>0</v>
      </c>
      <c r="AB167" s="47" t="n">
        <f aca="false">MAX(0,MIN(Z167-AA167,$C167-(H167+L167+P167+T167+X167)))</f>
        <v>0</v>
      </c>
      <c r="AC167" s="47" t="n">
        <f aca="false">ROUND(Z167-AA167-AB167,2)</f>
        <v>0</v>
      </c>
      <c r="AD167" s="47" t="n">
        <f aca="false">ROUND(AG166*(1+Sorted!$H$8),2)</f>
        <v>0</v>
      </c>
      <c r="AE167" s="47" t="n">
        <f aca="false">MIN(AD167,Sorted!$G$8)</f>
        <v>0</v>
      </c>
      <c r="AF167" s="47" t="n">
        <f aca="false">MAX(0,MIN(AD167-AE167,$C167-(H167+L167+P167+T167+X167+AB167)))</f>
        <v>0</v>
      </c>
      <c r="AG167" s="47" t="n">
        <f aca="false">ROUND(AD167-AE167-AF167,2)</f>
        <v>0</v>
      </c>
      <c r="AH167" s="47" t="n">
        <f aca="false">ROUND(AK166*(1+Sorted!$H$9),2)</f>
        <v>0</v>
      </c>
      <c r="AI167" s="47" t="n">
        <f aca="false">MIN(AH167,Sorted!$G$9)</f>
        <v>0</v>
      </c>
      <c r="AJ167" s="47" t="n">
        <f aca="false">MAX(0,MIN(AH167-AI167,$C167-(H167+L167+P167+T167+X167+AB167+AF167)))</f>
        <v>0</v>
      </c>
      <c r="AK167" s="47" t="n">
        <f aca="false">ROUND(AH167-AI167-AJ167,2)</f>
        <v>0</v>
      </c>
      <c r="AL167" s="47" t="n">
        <f aca="false">ROUND(AO166*(1+Sorted!$H$10),2)</f>
        <v>0</v>
      </c>
      <c r="AM167" s="47" t="n">
        <f aca="false">MIN(AL167,Sorted!$G$10)</f>
        <v>0</v>
      </c>
      <c r="AN167" s="47" t="n">
        <f aca="false">MAX(0,MIN(AL167-AM167,$C167-(H167+L167+P167+T167+X167+AB167+AF167+AJ167)))</f>
        <v>0</v>
      </c>
      <c r="AO167" s="47" t="n">
        <f aca="false">ROUND(AL167-AM167-AN167,2)</f>
        <v>0</v>
      </c>
      <c r="AP167" s="47" t="n">
        <f aca="false">ROUND(AS166*(1+Sorted!$H$11),2)</f>
        <v>0</v>
      </c>
      <c r="AQ167" s="47" t="n">
        <f aca="false">MIN(AP167,Sorted!$G$11)</f>
        <v>0</v>
      </c>
      <c r="AR167" s="47" t="n">
        <f aca="false">MAX(0,MIN(AP167-AQ167,$C167-(H167+L167+P167+T167+X167+AB167+AF167+AJ167+AN167)))</f>
        <v>0</v>
      </c>
      <c r="AS167" s="47" t="n">
        <f aca="false">ROUND(AP167-AQ167-AR167,2)</f>
        <v>0</v>
      </c>
    </row>
    <row r="168" customFormat="false" ht="15" hidden="false" customHeight="false" outlineLevel="0" collapsed="false">
      <c r="A168" s="45" t="n">
        <v>165</v>
      </c>
      <c r="B168" s="46" t="n">
        <f aca="false">EDATE('My Debts'!$C$7,A168-1)</f>
        <v>51318</v>
      </c>
      <c r="C168" s="47" t="n">
        <f aca="false">MAX(0,'My Debts'!$E$6-(G168+K168+O168+S168+W168+AA168+AE168+AI168+AM168+AQ168))</f>
        <v>730</v>
      </c>
      <c r="D168" s="47" t="n">
        <f aca="false">(F168+J168+N168+R168+V168+Z168+AD168+AH168+AL168+AP168)-(I168+M168+Q168+U168+Y168+AC168+AG168+AK168+AO168+AS168)</f>
        <v>0</v>
      </c>
      <c r="E168" s="48" t="n">
        <f aca="false">I168+M168+Q168+U168+Y168+AC168+AG168+AK168+AO168+AS168</f>
        <v>0</v>
      </c>
      <c r="F168" s="47" t="n">
        <f aca="false">ROUND(I167*(1+Sorted!$H$2),2)</f>
        <v>0</v>
      </c>
      <c r="G168" s="47" t="n">
        <f aca="false">MIN(F168,Sorted!$G$2)</f>
        <v>0</v>
      </c>
      <c r="H168" s="47" t="n">
        <f aca="false">MAX(0,MIN(F168-G168,$C168-(0)))</f>
        <v>0</v>
      </c>
      <c r="I168" s="47" t="n">
        <f aca="false">ROUND(F168-G168-H168,2)</f>
        <v>0</v>
      </c>
      <c r="J168" s="47" t="n">
        <f aca="false">ROUND(M167*(1+Sorted!$H$3),2)</f>
        <v>0</v>
      </c>
      <c r="K168" s="47" t="n">
        <f aca="false">MIN(J168,Sorted!$G$3)</f>
        <v>0</v>
      </c>
      <c r="L168" s="47" t="n">
        <f aca="false">MAX(0,MIN(J168-K168,$C168-(H168)))</f>
        <v>0</v>
      </c>
      <c r="M168" s="47" t="n">
        <f aca="false">ROUND(J168-K168-L168,2)</f>
        <v>0</v>
      </c>
      <c r="N168" s="47" t="n">
        <f aca="false">ROUND(Q167*(1+Sorted!$H$4),2)</f>
        <v>0</v>
      </c>
      <c r="O168" s="47" t="n">
        <f aca="false">MIN(N168,Sorted!$G$4)</f>
        <v>0</v>
      </c>
      <c r="P168" s="47" t="n">
        <f aca="false">MAX(0,MIN(N168-O168,$C168-(H168+L168)))</f>
        <v>0</v>
      </c>
      <c r="Q168" s="47" t="n">
        <f aca="false">ROUND(N168-O168-P168,2)</f>
        <v>0</v>
      </c>
      <c r="R168" s="47" t="n">
        <f aca="false">ROUND(U167*(1+Sorted!$H$5),2)</f>
        <v>0</v>
      </c>
      <c r="S168" s="47" t="n">
        <f aca="false">MIN(R168,Sorted!$G$5)</f>
        <v>0</v>
      </c>
      <c r="T168" s="47" t="n">
        <f aca="false">MAX(0,MIN(R168-S168,$C168-(H168+L168+P168)))</f>
        <v>0</v>
      </c>
      <c r="U168" s="47" t="n">
        <f aca="false">ROUND(R168-S168-T168,2)</f>
        <v>0</v>
      </c>
      <c r="V168" s="47" t="n">
        <f aca="false">ROUND(Y167*(1+Sorted!$H$6),2)</f>
        <v>0</v>
      </c>
      <c r="W168" s="47" t="n">
        <f aca="false">MIN(V168,Sorted!$G$6)</f>
        <v>0</v>
      </c>
      <c r="X168" s="47" t="n">
        <f aca="false">MAX(0,MIN(V168-W168,$C168-(H168+L168+P168+T168)))</f>
        <v>0</v>
      </c>
      <c r="Y168" s="47" t="n">
        <f aca="false">ROUND(V168-W168-X168,2)</f>
        <v>0</v>
      </c>
      <c r="Z168" s="47" t="n">
        <f aca="false">ROUND(AC167*(1+Sorted!$H$7),2)</f>
        <v>0</v>
      </c>
      <c r="AA168" s="47" t="n">
        <f aca="false">MIN(Z168,Sorted!$G$7)</f>
        <v>0</v>
      </c>
      <c r="AB168" s="47" t="n">
        <f aca="false">MAX(0,MIN(Z168-AA168,$C168-(H168+L168+P168+T168+X168)))</f>
        <v>0</v>
      </c>
      <c r="AC168" s="47" t="n">
        <f aca="false">ROUND(Z168-AA168-AB168,2)</f>
        <v>0</v>
      </c>
      <c r="AD168" s="47" t="n">
        <f aca="false">ROUND(AG167*(1+Sorted!$H$8),2)</f>
        <v>0</v>
      </c>
      <c r="AE168" s="47" t="n">
        <f aca="false">MIN(AD168,Sorted!$G$8)</f>
        <v>0</v>
      </c>
      <c r="AF168" s="47" t="n">
        <f aca="false">MAX(0,MIN(AD168-AE168,$C168-(H168+L168+P168+T168+X168+AB168)))</f>
        <v>0</v>
      </c>
      <c r="AG168" s="47" t="n">
        <f aca="false">ROUND(AD168-AE168-AF168,2)</f>
        <v>0</v>
      </c>
      <c r="AH168" s="47" t="n">
        <f aca="false">ROUND(AK167*(1+Sorted!$H$9),2)</f>
        <v>0</v>
      </c>
      <c r="AI168" s="47" t="n">
        <f aca="false">MIN(AH168,Sorted!$G$9)</f>
        <v>0</v>
      </c>
      <c r="AJ168" s="47" t="n">
        <f aca="false">MAX(0,MIN(AH168-AI168,$C168-(H168+L168+P168+T168+X168+AB168+AF168)))</f>
        <v>0</v>
      </c>
      <c r="AK168" s="47" t="n">
        <f aca="false">ROUND(AH168-AI168-AJ168,2)</f>
        <v>0</v>
      </c>
      <c r="AL168" s="47" t="n">
        <f aca="false">ROUND(AO167*(1+Sorted!$H$10),2)</f>
        <v>0</v>
      </c>
      <c r="AM168" s="47" t="n">
        <f aca="false">MIN(AL168,Sorted!$G$10)</f>
        <v>0</v>
      </c>
      <c r="AN168" s="47" t="n">
        <f aca="false">MAX(0,MIN(AL168-AM168,$C168-(H168+L168+P168+T168+X168+AB168+AF168+AJ168)))</f>
        <v>0</v>
      </c>
      <c r="AO168" s="47" t="n">
        <f aca="false">ROUND(AL168-AM168-AN168,2)</f>
        <v>0</v>
      </c>
      <c r="AP168" s="47" t="n">
        <f aca="false">ROUND(AS167*(1+Sorted!$H$11),2)</f>
        <v>0</v>
      </c>
      <c r="AQ168" s="47" t="n">
        <f aca="false">MIN(AP168,Sorted!$G$11)</f>
        <v>0</v>
      </c>
      <c r="AR168" s="47" t="n">
        <f aca="false">MAX(0,MIN(AP168-AQ168,$C168-(H168+L168+P168+T168+X168+AB168+AF168+AJ168+AN168)))</f>
        <v>0</v>
      </c>
      <c r="AS168" s="47" t="n">
        <f aca="false">ROUND(AP168-AQ168-AR168,2)</f>
        <v>0</v>
      </c>
    </row>
    <row r="169" customFormat="false" ht="15" hidden="false" customHeight="false" outlineLevel="0" collapsed="false">
      <c r="A169" s="45" t="n">
        <v>166</v>
      </c>
      <c r="B169" s="46" t="n">
        <f aca="false">EDATE('My Debts'!$C$7,A169-1)</f>
        <v>51349</v>
      </c>
      <c r="C169" s="47" t="n">
        <f aca="false">MAX(0,'My Debts'!$E$6-(G169+K169+O169+S169+W169+AA169+AE169+AI169+AM169+AQ169))</f>
        <v>730</v>
      </c>
      <c r="D169" s="47" t="n">
        <f aca="false">(F169+J169+N169+R169+V169+Z169+AD169+AH169+AL169+AP169)-(I169+M169+Q169+U169+Y169+AC169+AG169+AK169+AO169+AS169)</f>
        <v>0</v>
      </c>
      <c r="E169" s="48" t="n">
        <f aca="false">I169+M169+Q169+U169+Y169+AC169+AG169+AK169+AO169+AS169</f>
        <v>0</v>
      </c>
      <c r="F169" s="47" t="n">
        <f aca="false">ROUND(I168*(1+Sorted!$H$2),2)</f>
        <v>0</v>
      </c>
      <c r="G169" s="47" t="n">
        <f aca="false">MIN(F169,Sorted!$G$2)</f>
        <v>0</v>
      </c>
      <c r="H169" s="47" t="n">
        <f aca="false">MAX(0,MIN(F169-G169,$C169-(0)))</f>
        <v>0</v>
      </c>
      <c r="I169" s="47" t="n">
        <f aca="false">ROUND(F169-G169-H169,2)</f>
        <v>0</v>
      </c>
      <c r="J169" s="47" t="n">
        <f aca="false">ROUND(M168*(1+Sorted!$H$3),2)</f>
        <v>0</v>
      </c>
      <c r="K169" s="47" t="n">
        <f aca="false">MIN(J169,Sorted!$G$3)</f>
        <v>0</v>
      </c>
      <c r="L169" s="47" t="n">
        <f aca="false">MAX(0,MIN(J169-K169,$C169-(H169)))</f>
        <v>0</v>
      </c>
      <c r="M169" s="47" t="n">
        <f aca="false">ROUND(J169-K169-L169,2)</f>
        <v>0</v>
      </c>
      <c r="N169" s="47" t="n">
        <f aca="false">ROUND(Q168*(1+Sorted!$H$4),2)</f>
        <v>0</v>
      </c>
      <c r="O169" s="47" t="n">
        <f aca="false">MIN(N169,Sorted!$G$4)</f>
        <v>0</v>
      </c>
      <c r="P169" s="47" t="n">
        <f aca="false">MAX(0,MIN(N169-O169,$C169-(H169+L169)))</f>
        <v>0</v>
      </c>
      <c r="Q169" s="47" t="n">
        <f aca="false">ROUND(N169-O169-P169,2)</f>
        <v>0</v>
      </c>
      <c r="R169" s="47" t="n">
        <f aca="false">ROUND(U168*(1+Sorted!$H$5),2)</f>
        <v>0</v>
      </c>
      <c r="S169" s="47" t="n">
        <f aca="false">MIN(R169,Sorted!$G$5)</f>
        <v>0</v>
      </c>
      <c r="T169" s="47" t="n">
        <f aca="false">MAX(0,MIN(R169-S169,$C169-(H169+L169+P169)))</f>
        <v>0</v>
      </c>
      <c r="U169" s="47" t="n">
        <f aca="false">ROUND(R169-S169-T169,2)</f>
        <v>0</v>
      </c>
      <c r="V169" s="47" t="n">
        <f aca="false">ROUND(Y168*(1+Sorted!$H$6),2)</f>
        <v>0</v>
      </c>
      <c r="W169" s="47" t="n">
        <f aca="false">MIN(V169,Sorted!$G$6)</f>
        <v>0</v>
      </c>
      <c r="X169" s="47" t="n">
        <f aca="false">MAX(0,MIN(V169-W169,$C169-(H169+L169+P169+T169)))</f>
        <v>0</v>
      </c>
      <c r="Y169" s="47" t="n">
        <f aca="false">ROUND(V169-W169-X169,2)</f>
        <v>0</v>
      </c>
      <c r="Z169" s="47" t="n">
        <f aca="false">ROUND(AC168*(1+Sorted!$H$7),2)</f>
        <v>0</v>
      </c>
      <c r="AA169" s="47" t="n">
        <f aca="false">MIN(Z169,Sorted!$G$7)</f>
        <v>0</v>
      </c>
      <c r="AB169" s="47" t="n">
        <f aca="false">MAX(0,MIN(Z169-AA169,$C169-(H169+L169+P169+T169+X169)))</f>
        <v>0</v>
      </c>
      <c r="AC169" s="47" t="n">
        <f aca="false">ROUND(Z169-AA169-AB169,2)</f>
        <v>0</v>
      </c>
      <c r="AD169" s="47" t="n">
        <f aca="false">ROUND(AG168*(1+Sorted!$H$8),2)</f>
        <v>0</v>
      </c>
      <c r="AE169" s="47" t="n">
        <f aca="false">MIN(AD169,Sorted!$G$8)</f>
        <v>0</v>
      </c>
      <c r="AF169" s="47" t="n">
        <f aca="false">MAX(0,MIN(AD169-AE169,$C169-(H169+L169+P169+T169+X169+AB169)))</f>
        <v>0</v>
      </c>
      <c r="AG169" s="47" t="n">
        <f aca="false">ROUND(AD169-AE169-AF169,2)</f>
        <v>0</v>
      </c>
      <c r="AH169" s="47" t="n">
        <f aca="false">ROUND(AK168*(1+Sorted!$H$9),2)</f>
        <v>0</v>
      </c>
      <c r="AI169" s="47" t="n">
        <f aca="false">MIN(AH169,Sorted!$G$9)</f>
        <v>0</v>
      </c>
      <c r="AJ169" s="47" t="n">
        <f aca="false">MAX(0,MIN(AH169-AI169,$C169-(H169+L169+P169+T169+X169+AB169+AF169)))</f>
        <v>0</v>
      </c>
      <c r="AK169" s="47" t="n">
        <f aca="false">ROUND(AH169-AI169-AJ169,2)</f>
        <v>0</v>
      </c>
      <c r="AL169" s="47" t="n">
        <f aca="false">ROUND(AO168*(1+Sorted!$H$10),2)</f>
        <v>0</v>
      </c>
      <c r="AM169" s="47" t="n">
        <f aca="false">MIN(AL169,Sorted!$G$10)</f>
        <v>0</v>
      </c>
      <c r="AN169" s="47" t="n">
        <f aca="false">MAX(0,MIN(AL169-AM169,$C169-(H169+L169+P169+T169+X169+AB169+AF169+AJ169)))</f>
        <v>0</v>
      </c>
      <c r="AO169" s="47" t="n">
        <f aca="false">ROUND(AL169-AM169-AN169,2)</f>
        <v>0</v>
      </c>
      <c r="AP169" s="47" t="n">
        <f aca="false">ROUND(AS168*(1+Sorted!$H$11),2)</f>
        <v>0</v>
      </c>
      <c r="AQ169" s="47" t="n">
        <f aca="false">MIN(AP169,Sorted!$G$11)</f>
        <v>0</v>
      </c>
      <c r="AR169" s="47" t="n">
        <f aca="false">MAX(0,MIN(AP169-AQ169,$C169-(H169+L169+P169+T169+X169+AB169+AF169+AJ169+AN169)))</f>
        <v>0</v>
      </c>
      <c r="AS169" s="47" t="n">
        <f aca="false">ROUND(AP169-AQ169-AR169,2)</f>
        <v>0</v>
      </c>
    </row>
    <row r="170" customFormat="false" ht="15" hidden="false" customHeight="false" outlineLevel="0" collapsed="false">
      <c r="A170" s="45" t="n">
        <v>167</v>
      </c>
      <c r="B170" s="46" t="n">
        <f aca="false">EDATE('My Debts'!$C$7,A170-1)</f>
        <v>51380</v>
      </c>
      <c r="C170" s="47" t="n">
        <f aca="false">MAX(0,'My Debts'!$E$6-(G170+K170+O170+S170+W170+AA170+AE170+AI170+AM170+AQ170))</f>
        <v>730</v>
      </c>
      <c r="D170" s="47" t="n">
        <f aca="false">(F170+J170+N170+R170+V170+Z170+AD170+AH170+AL170+AP170)-(I170+M170+Q170+U170+Y170+AC170+AG170+AK170+AO170+AS170)</f>
        <v>0</v>
      </c>
      <c r="E170" s="48" t="n">
        <f aca="false">I170+M170+Q170+U170+Y170+AC170+AG170+AK170+AO170+AS170</f>
        <v>0</v>
      </c>
      <c r="F170" s="47" t="n">
        <f aca="false">ROUND(I169*(1+Sorted!$H$2),2)</f>
        <v>0</v>
      </c>
      <c r="G170" s="47" t="n">
        <f aca="false">MIN(F170,Sorted!$G$2)</f>
        <v>0</v>
      </c>
      <c r="H170" s="47" t="n">
        <f aca="false">MAX(0,MIN(F170-G170,$C170-(0)))</f>
        <v>0</v>
      </c>
      <c r="I170" s="47" t="n">
        <f aca="false">ROUND(F170-G170-H170,2)</f>
        <v>0</v>
      </c>
      <c r="J170" s="47" t="n">
        <f aca="false">ROUND(M169*(1+Sorted!$H$3),2)</f>
        <v>0</v>
      </c>
      <c r="K170" s="47" t="n">
        <f aca="false">MIN(J170,Sorted!$G$3)</f>
        <v>0</v>
      </c>
      <c r="L170" s="47" t="n">
        <f aca="false">MAX(0,MIN(J170-K170,$C170-(H170)))</f>
        <v>0</v>
      </c>
      <c r="M170" s="47" t="n">
        <f aca="false">ROUND(J170-K170-L170,2)</f>
        <v>0</v>
      </c>
      <c r="N170" s="47" t="n">
        <f aca="false">ROUND(Q169*(1+Sorted!$H$4),2)</f>
        <v>0</v>
      </c>
      <c r="O170" s="47" t="n">
        <f aca="false">MIN(N170,Sorted!$G$4)</f>
        <v>0</v>
      </c>
      <c r="P170" s="47" t="n">
        <f aca="false">MAX(0,MIN(N170-O170,$C170-(H170+L170)))</f>
        <v>0</v>
      </c>
      <c r="Q170" s="47" t="n">
        <f aca="false">ROUND(N170-O170-P170,2)</f>
        <v>0</v>
      </c>
      <c r="R170" s="47" t="n">
        <f aca="false">ROUND(U169*(1+Sorted!$H$5),2)</f>
        <v>0</v>
      </c>
      <c r="S170" s="47" t="n">
        <f aca="false">MIN(R170,Sorted!$G$5)</f>
        <v>0</v>
      </c>
      <c r="T170" s="47" t="n">
        <f aca="false">MAX(0,MIN(R170-S170,$C170-(H170+L170+P170)))</f>
        <v>0</v>
      </c>
      <c r="U170" s="47" t="n">
        <f aca="false">ROUND(R170-S170-T170,2)</f>
        <v>0</v>
      </c>
      <c r="V170" s="47" t="n">
        <f aca="false">ROUND(Y169*(1+Sorted!$H$6),2)</f>
        <v>0</v>
      </c>
      <c r="W170" s="47" t="n">
        <f aca="false">MIN(V170,Sorted!$G$6)</f>
        <v>0</v>
      </c>
      <c r="X170" s="47" t="n">
        <f aca="false">MAX(0,MIN(V170-W170,$C170-(H170+L170+P170+T170)))</f>
        <v>0</v>
      </c>
      <c r="Y170" s="47" t="n">
        <f aca="false">ROUND(V170-W170-X170,2)</f>
        <v>0</v>
      </c>
      <c r="Z170" s="47" t="n">
        <f aca="false">ROUND(AC169*(1+Sorted!$H$7),2)</f>
        <v>0</v>
      </c>
      <c r="AA170" s="47" t="n">
        <f aca="false">MIN(Z170,Sorted!$G$7)</f>
        <v>0</v>
      </c>
      <c r="AB170" s="47" t="n">
        <f aca="false">MAX(0,MIN(Z170-AA170,$C170-(H170+L170+P170+T170+X170)))</f>
        <v>0</v>
      </c>
      <c r="AC170" s="47" t="n">
        <f aca="false">ROUND(Z170-AA170-AB170,2)</f>
        <v>0</v>
      </c>
      <c r="AD170" s="47" t="n">
        <f aca="false">ROUND(AG169*(1+Sorted!$H$8),2)</f>
        <v>0</v>
      </c>
      <c r="AE170" s="47" t="n">
        <f aca="false">MIN(AD170,Sorted!$G$8)</f>
        <v>0</v>
      </c>
      <c r="AF170" s="47" t="n">
        <f aca="false">MAX(0,MIN(AD170-AE170,$C170-(H170+L170+P170+T170+X170+AB170)))</f>
        <v>0</v>
      </c>
      <c r="AG170" s="47" t="n">
        <f aca="false">ROUND(AD170-AE170-AF170,2)</f>
        <v>0</v>
      </c>
      <c r="AH170" s="47" t="n">
        <f aca="false">ROUND(AK169*(1+Sorted!$H$9),2)</f>
        <v>0</v>
      </c>
      <c r="AI170" s="47" t="n">
        <f aca="false">MIN(AH170,Sorted!$G$9)</f>
        <v>0</v>
      </c>
      <c r="AJ170" s="47" t="n">
        <f aca="false">MAX(0,MIN(AH170-AI170,$C170-(H170+L170+P170+T170+X170+AB170+AF170)))</f>
        <v>0</v>
      </c>
      <c r="AK170" s="47" t="n">
        <f aca="false">ROUND(AH170-AI170-AJ170,2)</f>
        <v>0</v>
      </c>
      <c r="AL170" s="47" t="n">
        <f aca="false">ROUND(AO169*(1+Sorted!$H$10),2)</f>
        <v>0</v>
      </c>
      <c r="AM170" s="47" t="n">
        <f aca="false">MIN(AL170,Sorted!$G$10)</f>
        <v>0</v>
      </c>
      <c r="AN170" s="47" t="n">
        <f aca="false">MAX(0,MIN(AL170-AM170,$C170-(H170+L170+P170+T170+X170+AB170+AF170+AJ170)))</f>
        <v>0</v>
      </c>
      <c r="AO170" s="47" t="n">
        <f aca="false">ROUND(AL170-AM170-AN170,2)</f>
        <v>0</v>
      </c>
      <c r="AP170" s="47" t="n">
        <f aca="false">ROUND(AS169*(1+Sorted!$H$11),2)</f>
        <v>0</v>
      </c>
      <c r="AQ170" s="47" t="n">
        <f aca="false">MIN(AP170,Sorted!$G$11)</f>
        <v>0</v>
      </c>
      <c r="AR170" s="47" t="n">
        <f aca="false">MAX(0,MIN(AP170-AQ170,$C170-(H170+L170+P170+T170+X170+AB170+AF170+AJ170+AN170)))</f>
        <v>0</v>
      </c>
      <c r="AS170" s="47" t="n">
        <f aca="false">ROUND(AP170-AQ170-AR170,2)</f>
        <v>0</v>
      </c>
    </row>
    <row r="171" customFormat="false" ht="15" hidden="false" customHeight="false" outlineLevel="0" collapsed="false">
      <c r="A171" s="45" t="n">
        <v>168</v>
      </c>
      <c r="B171" s="46" t="n">
        <f aca="false">EDATE('My Debts'!$C$7,A171-1)</f>
        <v>51410</v>
      </c>
      <c r="C171" s="47" t="n">
        <f aca="false">MAX(0,'My Debts'!$E$6-(G171+K171+O171+S171+W171+AA171+AE171+AI171+AM171+AQ171))</f>
        <v>730</v>
      </c>
      <c r="D171" s="47" t="n">
        <f aca="false">(F171+J171+N171+R171+V171+Z171+AD171+AH171+AL171+AP171)-(I171+M171+Q171+U171+Y171+AC171+AG171+AK171+AO171+AS171)</f>
        <v>0</v>
      </c>
      <c r="E171" s="48" t="n">
        <f aca="false">I171+M171+Q171+U171+Y171+AC171+AG171+AK171+AO171+AS171</f>
        <v>0</v>
      </c>
      <c r="F171" s="47" t="n">
        <f aca="false">ROUND(I170*(1+Sorted!$H$2),2)</f>
        <v>0</v>
      </c>
      <c r="G171" s="47" t="n">
        <f aca="false">MIN(F171,Sorted!$G$2)</f>
        <v>0</v>
      </c>
      <c r="H171" s="47" t="n">
        <f aca="false">MAX(0,MIN(F171-G171,$C171-(0)))</f>
        <v>0</v>
      </c>
      <c r="I171" s="47" t="n">
        <f aca="false">ROUND(F171-G171-H171,2)</f>
        <v>0</v>
      </c>
      <c r="J171" s="47" t="n">
        <f aca="false">ROUND(M170*(1+Sorted!$H$3),2)</f>
        <v>0</v>
      </c>
      <c r="K171" s="47" t="n">
        <f aca="false">MIN(J171,Sorted!$G$3)</f>
        <v>0</v>
      </c>
      <c r="L171" s="47" t="n">
        <f aca="false">MAX(0,MIN(J171-K171,$C171-(H171)))</f>
        <v>0</v>
      </c>
      <c r="M171" s="47" t="n">
        <f aca="false">ROUND(J171-K171-L171,2)</f>
        <v>0</v>
      </c>
      <c r="N171" s="47" t="n">
        <f aca="false">ROUND(Q170*(1+Sorted!$H$4),2)</f>
        <v>0</v>
      </c>
      <c r="O171" s="47" t="n">
        <f aca="false">MIN(N171,Sorted!$G$4)</f>
        <v>0</v>
      </c>
      <c r="P171" s="47" t="n">
        <f aca="false">MAX(0,MIN(N171-O171,$C171-(H171+L171)))</f>
        <v>0</v>
      </c>
      <c r="Q171" s="47" t="n">
        <f aca="false">ROUND(N171-O171-P171,2)</f>
        <v>0</v>
      </c>
      <c r="R171" s="47" t="n">
        <f aca="false">ROUND(U170*(1+Sorted!$H$5),2)</f>
        <v>0</v>
      </c>
      <c r="S171" s="47" t="n">
        <f aca="false">MIN(R171,Sorted!$G$5)</f>
        <v>0</v>
      </c>
      <c r="T171" s="47" t="n">
        <f aca="false">MAX(0,MIN(R171-S171,$C171-(H171+L171+P171)))</f>
        <v>0</v>
      </c>
      <c r="U171" s="47" t="n">
        <f aca="false">ROUND(R171-S171-T171,2)</f>
        <v>0</v>
      </c>
      <c r="V171" s="47" t="n">
        <f aca="false">ROUND(Y170*(1+Sorted!$H$6),2)</f>
        <v>0</v>
      </c>
      <c r="W171" s="47" t="n">
        <f aca="false">MIN(V171,Sorted!$G$6)</f>
        <v>0</v>
      </c>
      <c r="X171" s="47" t="n">
        <f aca="false">MAX(0,MIN(V171-W171,$C171-(H171+L171+P171+T171)))</f>
        <v>0</v>
      </c>
      <c r="Y171" s="47" t="n">
        <f aca="false">ROUND(V171-W171-X171,2)</f>
        <v>0</v>
      </c>
      <c r="Z171" s="47" t="n">
        <f aca="false">ROUND(AC170*(1+Sorted!$H$7),2)</f>
        <v>0</v>
      </c>
      <c r="AA171" s="47" t="n">
        <f aca="false">MIN(Z171,Sorted!$G$7)</f>
        <v>0</v>
      </c>
      <c r="AB171" s="47" t="n">
        <f aca="false">MAX(0,MIN(Z171-AA171,$C171-(H171+L171+P171+T171+X171)))</f>
        <v>0</v>
      </c>
      <c r="AC171" s="47" t="n">
        <f aca="false">ROUND(Z171-AA171-AB171,2)</f>
        <v>0</v>
      </c>
      <c r="AD171" s="47" t="n">
        <f aca="false">ROUND(AG170*(1+Sorted!$H$8),2)</f>
        <v>0</v>
      </c>
      <c r="AE171" s="47" t="n">
        <f aca="false">MIN(AD171,Sorted!$G$8)</f>
        <v>0</v>
      </c>
      <c r="AF171" s="47" t="n">
        <f aca="false">MAX(0,MIN(AD171-AE171,$C171-(H171+L171+P171+T171+X171+AB171)))</f>
        <v>0</v>
      </c>
      <c r="AG171" s="47" t="n">
        <f aca="false">ROUND(AD171-AE171-AF171,2)</f>
        <v>0</v>
      </c>
      <c r="AH171" s="47" t="n">
        <f aca="false">ROUND(AK170*(1+Sorted!$H$9),2)</f>
        <v>0</v>
      </c>
      <c r="AI171" s="47" t="n">
        <f aca="false">MIN(AH171,Sorted!$G$9)</f>
        <v>0</v>
      </c>
      <c r="AJ171" s="47" t="n">
        <f aca="false">MAX(0,MIN(AH171-AI171,$C171-(H171+L171+P171+T171+X171+AB171+AF171)))</f>
        <v>0</v>
      </c>
      <c r="AK171" s="47" t="n">
        <f aca="false">ROUND(AH171-AI171-AJ171,2)</f>
        <v>0</v>
      </c>
      <c r="AL171" s="47" t="n">
        <f aca="false">ROUND(AO170*(1+Sorted!$H$10),2)</f>
        <v>0</v>
      </c>
      <c r="AM171" s="47" t="n">
        <f aca="false">MIN(AL171,Sorted!$G$10)</f>
        <v>0</v>
      </c>
      <c r="AN171" s="47" t="n">
        <f aca="false">MAX(0,MIN(AL171-AM171,$C171-(H171+L171+P171+T171+X171+AB171+AF171+AJ171)))</f>
        <v>0</v>
      </c>
      <c r="AO171" s="47" t="n">
        <f aca="false">ROUND(AL171-AM171-AN171,2)</f>
        <v>0</v>
      </c>
      <c r="AP171" s="47" t="n">
        <f aca="false">ROUND(AS170*(1+Sorted!$H$11),2)</f>
        <v>0</v>
      </c>
      <c r="AQ171" s="47" t="n">
        <f aca="false">MIN(AP171,Sorted!$G$11)</f>
        <v>0</v>
      </c>
      <c r="AR171" s="47" t="n">
        <f aca="false">MAX(0,MIN(AP171-AQ171,$C171-(H171+L171+P171+T171+X171+AB171+AF171+AJ171+AN171)))</f>
        <v>0</v>
      </c>
      <c r="AS171" s="47" t="n">
        <f aca="false">ROUND(AP171-AQ171-AR171,2)</f>
        <v>0</v>
      </c>
    </row>
    <row r="172" customFormat="false" ht="15" hidden="false" customHeight="false" outlineLevel="0" collapsed="false">
      <c r="A172" s="45" t="n">
        <v>169</v>
      </c>
      <c r="B172" s="46" t="n">
        <f aca="false">EDATE('My Debts'!$C$7,A172-1)</f>
        <v>51441</v>
      </c>
      <c r="C172" s="47" t="n">
        <f aca="false">MAX(0,'My Debts'!$E$6-(G172+K172+O172+S172+W172+AA172+AE172+AI172+AM172+AQ172))</f>
        <v>730</v>
      </c>
      <c r="D172" s="47" t="n">
        <f aca="false">(F172+J172+N172+R172+V172+Z172+AD172+AH172+AL172+AP172)-(I172+M172+Q172+U172+Y172+AC172+AG172+AK172+AO172+AS172)</f>
        <v>0</v>
      </c>
      <c r="E172" s="48" t="n">
        <f aca="false">I172+M172+Q172+U172+Y172+AC172+AG172+AK172+AO172+AS172</f>
        <v>0</v>
      </c>
      <c r="F172" s="47" t="n">
        <f aca="false">ROUND(I171*(1+Sorted!$H$2),2)</f>
        <v>0</v>
      </c>
      <c r="G172" s="47" t="n">
        <f aca="false">MIN(F172,Sorted!$G$2)</f>
        <v>0</v>
      </c>
      <c r="H172" s="47" t="n">
        <f aca="false">MAX(0,MIN(F172-G172,$C172-(0)))</f>
        <v>0</v>
      </c>
      <c r="I172" s="47" t="n">
        <f aca="false">ROUND(F172-G172-H172,2)</f>
        <v>0</v>
      </c>
      <c r="J172" s="47" t="n">
        <f aca="false">ROUND(M171*(1+Sorted!$H$3),2)</f>
        <v>0</v>
      </c>
      <c r="K172" s="47" t="n">
        <f aca="false">MIN(J172,Sorted!$G$3)</f>
        <v>0</v>
      </c>
      <c r="L172" s="47" t="n">
        <f aca="false">MAX(0,MIN(J172-K172,$C172-(H172)))</f>
        <v>0</v>
      </c>
      <c r="M172" s="47" t="n">
        <f aca="false">ROUND(J172-K172-L172,2)</f>
        <v>0</v>
      </c>
      <c r="N172" s="47" t="n">
        <f aca="false">ROUND(Q171*(1+Sorted!$H$4),2)</f>
        <v>0</v>
      </c>
      <c r="O172" s="47" t="n">
        <f aca="false">MIN(N172,Sorted!$G$4)</f>
        <v>0</v>
      </c>
      <c r="P172" s="47" t="n">
        <f aca="false">MAX(0,MIN(N172-O172,$C172-(H172+L172)))</f>
        <v>0</v>
      </c>
      <c r="Q172" s="47" t="n">
        <f aca="false">ROUND(N172-O172-P172,2)</f>
        <v>0</v>
      </c>
      <c r="R172" s="47" t="n">
        <f aca="false">ROUND(U171*(1+Sorted!$H$5),2)</f>
        <v>0</v>
      </c>
      <c r="S172" s="47" t="n">
        <f aca="false">MIN(R172,Sorted!$G$5)</f>
        <v>0</v>
      </c>
      <c r="T172" s="47" t="n">
        <f aca="false">MAX(0,MIN(R172-S172,$C172-(H172+L172+P172)))</f>
        <v>0</v>
      </c>
      <c r="U172" s="47" t="n">
        <f aca="false">ROUND(R172-S172-T172,2)</f>
        <v>0</v>
      </c>
      <c r="V172" s="47" t="n">
        <f aca="false">ROUND(Y171*(1+Sorted!$H$6),2)</f>
        <v>0</v>
      </c>
      <c r="W172" s="47" t="n">
        <f aca="false">MIN(V172,Sorted!$G$6)</f>
        <v>0</v>
      </c>
      <c r="X172" s="47" t="n">
        <f aca="false">MAX(0,MIN(V172-W172,$C172-(H172+L172+P172+T172)))</f>
        <v>0</v>
      </c>
      <c r="Y172" s="47" t="n">
        <f aca="false">ROUND(V172-W172-X172,2)</f>
        <v>0</v>
      </c>
      <c r="Z172" s="47" t="n">
        <f aca="false">ROUND(AC171*(1+Sorted!$H$7),2)</f>
        <v>0</v>
      </c>
      <c r="AA172" s="47" t="n">
        <f aca="false">MIN(Z172,Sorted!$G$7)</f>
        <v>0</v>
      </c>
      <c r="AB172" s="47" t="n">
        <f aca="false">MAX(0,MIN(Z172-AA172,$C172-(H172+L172+P172+T172+X172)))</f>
        <v>0</v>
      </c>
      <c r="AC172" s="47" t="n">
        <f aca="false">ROUND(Z172-AA172-AB172,2)</f>
        <v>0</v>
      </c>
      <c r="AD172" s="47" t="n">
        <f aca="false">ROUND(AG171*(1+Sorted!$H$8),2)</f>
        <v>0</v>
      </c>
      <c r="AE172" s="47" t="n">
        <f aca="false">MIN(AD172,Sorted!$G$8)</f>
        <v>0</v>
      </c>
      <c r="AF172" s="47" t="n">
        <f aca="false">MAX(0,MIN(AD172-AE172,$C172-(H172+L172+P172+T172+X172+AB172)))</f>
        <v>0</v>
      </c>
      <c r="AG172" s="47" t="n">
        <f aca="false">ROUND(AD172-AE172-AF172,2)</f>
        <v>0</v>
      </c>
      <c r="AH172" s="47" t="n">
        <f aca="false">ROUND(AK171*(1+Sorted!$H$9),2)</f>
        <v>0</v>
      </c>
      <c r="AI172" s="47" t="n">
        <f aca="false">MIN(AH172,Sorted!$G$9)</f>
        <v>0</v>
      </c>
      <c r="AJ172" s="47" t="n">
        <f aca="false">MAX(0,MIN(AH172-AI172,$C172-(H172+L172+P172+T172+X172+AB172+AF172)))</f>
        <v>0</v>
      </c>
      <c r="AK172" s="47" t="n">
        <f aca="false">ROUND(AH172-AI172-AJ172,2)</f>
        <v>0</v>
      </c>
      <c r="AL172" s="47" t="n">
        <f aca="false">ROUND(AO171*(1+Sorted!$H$10),2)</f>
        <v>0</v>
      </c>
      <c r="AM172" s="47" t="n">
        <f aca="false">MIN(AL172,Sorted!$G$10)</f>
        <v>0</v>
      </c>
      <c r="AN172" s="47" t="n">
        <f aca="false">MAX(0,MIN(AL172-AM172,$C172-(H172+L172+P172+T172+X172+AB172+AF172+AJ172)))</f>
        <v>0</v>
      </c>
      <c r="AO172" s="47" t="n">
        <f aca="false">ROUND(AL172-AM172-AN172,2)</f>
        <v>0</v>
      </c>
      <c r="AP172" s="47" t="n">
        <f aca="false">ROUND(AS171*(1+Sorted!$H$11),2)</f>
        <v>0</v>
      </c>
      <c r="AQ172" s="47" t="n">
        <f aca="false">MIN(AP172,Sorted!$G$11)</f>
        <v>0</v>
      </c>
      <c r="AR172" s="47" t="n">
        <f aca="false">MAX(0,MIN(AP172-AQ172,$C172-(H172+L172+P172+T172+X172+AB172+AF172+AJ172+AN172)))</f>
        <v>0</v>
      </c>
      <c r="AS172" s="47" t="n">
        <f aca="false">ROUND(AP172-AQ172-AR172,2)</f>
        <v>0</v>
      </c>
    </row>
    <row r="173" customFormat="false" ht="15" hidden="false" customHeight="false" outlineLevel="0" collapsed="false">
      <c r="A173" s="45" t="n">
        <v>170</v>
      </c>
      <c r="B173" s="46" t="n">
        <f aca="false">EDATE('My Debts'!$C$7,A173-1)</f>
        <v>51471</v>
      </c>
      <c r="C173" s="47" t="n">
        <f aca="false">MAX(0,'My Debts'!$E$6-(G173+K173+O173+S173+W173+AA173+AE173+AI173+AM173+AQ173))</f>
        <v>730</v>
      </c>
      <c r="D173" s="47" t="n">
        <f aca="false">(F173+J173+N173+R173+V173+Z173+AD173+AH173+AL173+AP173)-(I173+M173+Q173+U173+Y173+AC173+AG173+AK173+AO173+AS173)</f>
        <v>0</v>
      </c>
      <c r="E173" s="48" t="n">
        <f aca="false">I173+M173+Q173+U173+Y173+AC173+AG173+AK173+AO173+AS173</f>
        <v>0</v>
      </c>
      <c r="F173" s="47" t="n">
        <f aca="false">ROUND(I172*(1+Sorted!$H$2),2)</f>
        <v>0</v>
      </c>
      <c r="G173" s="47" t="n">
        <f aca="false">MIN(F173,Sorted!$G$2)</f>
        <v>0</v>
      </c>
      <c r="H173" s="47" t="n">
        <f aca="false">MAX(0,MIN(F173-G173,$C173-(0)))</f>
        <v>0</v>
      </c>
      <c r="I173" s="47" t="n">
        <f aca="false">ROUND(F173-G173-H173,2)</f>
        <v>0</v>
      </c>
      <c r="J173" s="47" t="n">
        <f aca="false">ROUND(M172*(1+Sorted!$H$3),2)</f>
        <v>0</v>
      </c>
      <c r="K173" s="47" t="n">
        <f aca="false">MIN(J173,Sorted!$G$3)</f>
        <v>0</v>
      </c>
      <c r="L173" s="47" t="n">
        <f aca="false">MAX(0,MIN(J173-K173,$C173-(H173)))</f>
        <v>0</v>
      </c>
      <c r="M173" s="47" t="n">
        <f aca="false">ROUND(J173-K173-L173,2)</f>
        <v>0</v>
      </c>
      <c r="N173" s="47" t="n">
        <f aca="false">ROUND(Q172*(1+Sorted!$H$4),2)</f>
        <v>0</v>
      </c>
      <c r="O173" s="47" t="n">
        <f aca="false">MIN(N173,Sorted!$G$4)</f>
        <v>0</v>
      </c>
      <c r="P173" s="47" t="n">
        <f aca="false">MAX(0,MIN(N173-O173,$C173-(H173+L173)))</f>
        <v>0</v>
      </c>
      <c r="Q173" s="47" t="n">
        <f aca="false">ROUND(N173-O173-P173,2)</f>
        <v>0</v>
      </c>
      <c r="R173" s="47" t="n">
        <f aca="false">ROUND(U172*(1+Sorted!$H$5),2)</f>
        <v>0</v>
      </c>
      <c r="S173" s="47" t="n">
        <f aca="false">MIN(R173,Sorted!$G$5)</f>
        <v>0</v>
      </c>
      <c r="T173" s="47" t="n">
        <f aca="false">MAX(0,MIN(R173-S173,$C173-(H173+L173+P173)))</f>
        <v>0</v>
      </c>
      <c r="U173" s="47" t="n">
        <f aca="false">ROUND(R173-S173-T173,2)</f>
        <v>0</v>
      </c>
      <c r="V173" s="47" t="n">
        <f aca="false">ROUND(Y172*(1+Sorted!$H$6),2)</f>
        <v>0</v>
      </c>
      <c r="W173" s="47" t="n">
        <f aca="false">MIN(V173,Sorted!$G$6)</f>
        <v>0</v>
      </c>
      <c r="X173" s="47" t="n">
        <f aca="false">MAX(0,MIN(V173-W173,$C173-(H173+L173+P173+T173)))</f>
        <v>0</v>
      </c>
      <c r="Y173" s="47" t="n">
        <f aca="false">ROUND(V173-W173-X173,2)</f>
        <v>0</v>
      </c>
      <c r="Z173" s="47" t="n">
        <f aca="false">ROUND(AC172*(1+Sorted!$H$7),2)</f>
        <v>0</v>
      </c>
      <c r="AA173" s="47" t="n">
        <f aca="false">MIN(Z173,Sorted!$G$7)</f>
        <v>0</v>
      </c>
      <c r="AB173" s="47" t="n">
        <f aca="false">MAX(0,MIN(Z173-AA173,$C173-(H173+L173+P173+T173+X173)))</f>
        <v>0</v>
      </c>
      <c r="AC173" s="47" t="n">
        <f aca="false">ROUND(Z173-AA173-AB173,2)</f>
        <v>0</v>
      </c>
      <c r="AD173" s="47" t="n">
        <f aca="false">ROUND(AG172*(1+Sorted!$H$8),2)</f>
        <v>0</v>
      </c>
      <c r="AE173" s="47" t="n">
        <f aca="false">MIN(AD173,Sorted!$G$8)</f>
        <v>0</v>
      </c>
      <c r="AF173" s="47" t="n">
        <f aca="false">MAX(0,MIN(AD173-AE173,$C173-(H173+L173+P173+T173+X173+AB173)))</f>
        <v>0</v>
      </c>
      <c r="AG173" s="47" t="n">
        <f aca="false">ROUND(AD173-AE173-AF173,2)</f>
        <v>0</v>
      </c>
      <c r="AH173" s="47" t="n">
        <f aca="false">ROUND(AK172*(1+Sorted!$H$9),2)</f>
        <v>0</v>
      </c>
      <c r="AI173" s="47" t="n">
        <f aca="false">MIN(AH173,Sorted!$G$9)</f>
        <v>0</v>
      </c>
      <c r="AJ173" s="47" t="n">
        <f aca="false">MAX(0,MIN(AH173-AI173,$C173-(H173+L173+P173+T173+X173+AB173+AF173)))</f>
        <v>0</v>
      </c>
      <c r="AK173" s="47" t="n">
        <f aca="false">ROUND(AH173-AI173-AJ173,2)</f>
        <v>0</v>
      </c>
      <c r="AL173" s="47" t="n">
        <f aca="false">ROUND(AO172*(1+Sorted!$H$10),2)</f>
        <v>0</v>
      </c>
      <c r="AM173" s="47" t="n">
        <f aca="false">MIN(AL173,Sorted!$G$10)</f>
        <v>0</v>
      </c>
      <c r="AN173" s="47" t="n">
        <f aca="false">MAX(0,MIN(AL173-AM173,$C173-(H173+L173+P173+T173+X173+AB173+AF173+AJ173)))</f>
        <v>0</v>
      </c>
      <c r="AO173" s="47" t="n">
        <f aca="false">ROUND(AL173-AM173-AN173,2)</f>
        <v>0</v>
      </c>
      <c r="AP173" s="47" t="n">
        <f aca="false">ROUND(AS172*(1+Sorted!$H$11),2)</f>
        <v>0</v>
      </c>
      <c r="AQ173" s="47" t="n">
        <f aca="false">MIN(AP173,Sorted!$G$11)</f>
        <v>0</v>
      </c>
      <c r="AR173" s="47" t="n">
        <f aca="false">MAX(0,MIN(AP173-AQ173,$C173-(H173+L173+P173+T173+X173+AB173+AF173+AJ173+AN173)))</f>
        <v>0</v>
      </c>
      <c r="AS173" s="47" t="n">
        <f aca="false">ROUND(AP173-AQ173-AR173,2)</f>
        <v>0</v>
      </c>
    </row>
    <row r="174" customFormat="false" ht="15" hidden="false" customHeight="false" outlineLevel="0" collapsed="false">
      <c r="A174" s="45" t="n">
        <v>171</v>
      </c>
      <c r="B174" s="46" t="n">
        <f aca="false">EDATE('My Debts'!$C$7,A174-1)</f>
        <v>51502</v>
      </c>
      <c r="C174" s="47" t="n">
        <f aca="false">MAX(0,'My Debts'!$E$6-(G174+K174+O174+S174+W174+AA174+AE174+AI174+AM174+AQ174))</f>
        <v>730</v>
      </c>
      <c r="D174" s="47" t="n">
        <f aca="false">(F174+J174+N174+R174+V174+Z174+AD174+AH174+AL174+AP174)-(I174+M174+Q174+U174+Y174+AC174+AG174+AK174+AO174+AS174)</f>
        <v>0</v>
      </c>
      <c r="E174" s="48" t="n">
        <f aca="false">I174+M174+Q174+U174+Y174+AC174+AG174+AK174+AO174+AS174</f>
        <v>0</v>
      </c>
      <c r="F174" s="47" t="n">
        <f aca="false">ROUND(I173*(1+Sorted!$H$2),2)</f>
        <v>0</v>
      </c>
      <c r="G174" s="47" t="n">
        <f aca="false">MIN(F174,Sorted!$G$2)</f>
        <v>0</v>
      </c>
      <c r="H174" s="47" t="n">
        <f aca="false">MAX(0,MIN(F174-G174,$C174-(0)))</f>
        <v>0</v>
      </c>
      <c r="I174" s="47" t="n">
        <f aca="false">ROUND(F174-G174-H174,2)</f>
        <v>0</v>
      </c>
      <c r="J174" s="47" t="n">
        <f aca="false">ROUND(M173*(1+Sorted!$H$3),2)</f>
        <v>0</v>
      </c>
      <c r="K174" s="47" t="n">
        <f aca="false">MIN(J174,Sorted!$G$3)</f>
        <v>0</v>
      </c>
      <c r="L174" s="47" t="n">
        <f aca="false">MAX(0,MIN(J174-K174,$C174-(H174)))</f>
        <v>0</v>
      </c>
      <c r="M174" s="47" t="n">
        <f aca="false">ROUND(J174-K174-L174,2)</f>
        <v>0</v>
      </c>
      <c r="N174" s="47" t="n">
        <f aca="false">ROUND(Q173*(1+Sorted!$H$4),2)</f>
        <v>0</v>
      </c>
      <c r="O174" s="47" t="n">
        <f aca="false">MIN(N174,Sorted!$G$4)</f>
        <v>0</v>
      </c>
      <c r="P174" s="47" t="n">
        <f aca="false">MAX(0,MIN(N174-O174,$C174-(H174+L174)))</f>
        <v>0</v>
      </c>
      <c r="Q174" s="47" t="n">
        <f aca="false">ROUND(N174-O174-P174,2)</f>
        <v>0</v>
      </c>
      <c r="R174" s="47" t="n">
        <f aca="false">ROUND(U173*(1+Sorted!$H$5),2)</f>
        <v>0</v>
      </c>
      <c r="S174" s="47" t="n">
        <f aca="false">MIN(R174,Sorted!$G$5)</f>
        <v>0</v>
      </c>
      <c r="T174" s="47" t="n">
        <f aca="false">MAX(0,MIN(R174-S174,$C174-(H174+L174+P174)))</f>
        <v>0</v>
      </c>
      <c r="U174" s="47" t="n">
        <f aca="false">ROUND(R174-S174-T174,2)</f>
        <v>0</v>
      </c>
      <c r="V174" s="47" t="n">
        <f aca="false">ROUND(Y173*(1+Sorted!$H$6),2)</f>
        <v>0</v>
      </c>
      <c r="W174" s="47" t="n">
        <f aca="false">MIN(V174,Sorted!$G$6)</f>
        <v>0</v>
      </c>
      <c r="X174" s="47" t="n">
        <f aca="false">MAX(0,MIN(V174-W174,$C174-(H174+L174+P174+T174)))</f>
        <v>0</v>
      </c>
      <c r="Y174" s="47" t="n">
        <f aca="false">ROUND(V174-W174-X174,2)</f>
        <v>0</v>
      </c>
      <c r="Z174" s="47" t="n">
        <f aca="false">ROUND(AC173*(1+Sorted!$H$7),2)</f>
        <v>0</v>
      </c>
      <c r="AA174" s="47" t="n">
        <f aca="false">MIN(Z174,Sorted!$G$7)</f>
        <v>0</v>
      </c>
      <c r="AB174" s="47" t="n">
        <f aca="false">MAX(0,MIN(Z174-AA174,$C174-(H174+L174+P174+T174+X174)))</f>
        <v>0</v>
      </c>
      <c r="AC174" s="47" t="n">
        <f aca="false">ROUND(Z174-AA174-AB174,2)</f>
        <v>0</v>
      </c>
      <c r="AD174" s="47" t="n">
        <f aca="false">ROUND(AG173*(1+Sorted!$H$8),2)</f>
        <v>0</v>
      </c>
      <c r="AE174" s="47" t="n">
        <f aca="false">MIN(AD174,Sorted!$G$8)</f>
        <v>0</v>
      </c>
      <c r="AF174" s="47" t="n">
        <f aca="false">MAX(0,MIN(AD174-AE174,$C174-(H174+L174+P174+T174+X174+AB174)))</f>
        <v>0</v>
      </c>
      <c r="AG174" s="47" t="n">
        <f aca="false">ROUND(AD174-AE174-AF174,2)</f>
        <v>0</v>
      </c>
      <c r="AH174" s="47" t="n">
        <f aca="false">ROUND(AK173*(1+Sorted!$H$9),2)</f>
        <v>0</v>
      </c>
      <c r="AI174" s="47" t="n">
        <f aca="false">MIN(AH174,Sorted!$G$9)</f>
        <v>0</v>
      </c>
      <c r="AJ174" s="47" t="n">
        <f aca="false">MAX(0,MIN(AH174-AI174,$C174-(H174+L174+P174+T174+X174+AB174+AF174)))</f>
        <v>0</v>
      </c>
      <c r="AK174" s="47" t="n">
        <f aca="false">ROUND(AH174-AI174-AJ174,2)</f>
        <v>0</v>
      </c>
      <c r="AL174" s="47" t="n">
        <f aca="false">ROUND(AO173*(1+Sorted!$H$10),2)</f>
        <v>0</v>
      </c>
      <c r="AM174" s="47" t="n">
        <f aca="false">MIN(AL174,Sorted!$G$10)</f>
        <v>0</v>
      </c>
      <c r="AN174" s="47" t="n">
        <f aca="false">MAX(0,MIN(AL174-AM174,$C174-(H174+L174+P174+T174+X174+AB174+AF174+AJ174)))</f>
        <v>0</v>
      </c>
      <c r="AO174" s="47" t="n">
        <f aca="false">ROUND(AL174-AM174-AN174,2)</f>
        <v>0</v>
      </c>
      <c r="AP174" s="47" t="n">
        <f aca="false">ROUND(AS173*(1+Sorted!$H$11),2)</f>
        <v>0</v>
      </c>
      <c r="AQ174" s="47" t="n">
        <f aca="false">MIN(AP174,Sorted!$G$11)</f>
        <v>0</v>
      </c>
      <c r="AR174" s="47" t="n">
        <f aca="false">MAX(0,MIN(AP174-AQ174,$C174-(H174+L174+P174+T174+X174+AB174+AF174+AJ174+AN174)))</f>
        <v>0</v>
      </c>
      <c r="AS174" s="47" t="n">
        <f aca="false">ROUND(AP174-AQ174-AR174,2)</f>
        <v>0</v>
      </c>
    </row>
    <row r="175" customFormat="false" ht="15" hidden="false" customHeight="false" outlineLevel="0" collapsed="false">
      <c r="A175" s="45" t="n">
        <v>172</v>
      </c>
      <c r="B175" s="46" t="n">
        <f aca="false">EDATE('My Debts'!$C$7,A175-1)</f>
        <v>51533</v>
      </c>
      <c r="C175" s="47" t="n">
        <f aca="false">MAX(0,'My Debts'!$E$6-(G175+K175+O175+S175+W175+AA175+AE175+AI175+AM175+AQ175))</f>
        <v>730</v>
      </c>
      <c r="D175" s="47" t="n">
        <f aca="false">(F175+J175+N175+R175+V175+Z175+AD175+AH175+AL175+AP175)-(I175+M175+Q175+U175+Y175+AC175+AG175+AK175+AO175+AS175)</f>
        <v>0</v>
      </c>
      <c r="E175" s="48" t="n">
        <f aca="false">I175+M175+Q175+U175+Y175+AC175+AG175+AK175+AO175+AS175</f>
        <v>0</v>
      </c>
      <c r="F175" s="47" t="n">
        <f aca="false">ROUND(I174*(1+Sorted!$H$2),2)</f>
        <v>0</v>
      </c>
      <c r="G175" s="47" t="n">
        <f aca="false">MIN(F175,Sorted!$G$2)</f>
        <v>0</v>
      </c>
      <c r="H175" s="47" t="n">
        <f aca="false">MAX(0,MIN(F175-G175,$C175-(0)))</f>
        <v>0</v>
      </c>
      <c r="I175" s="47" t="n">
        <f aca="false">ROUND(F175-G175-H175,2)</f>
        <v>0</v>
      </c>
      <c r="J175" s="47" t="n">
        <f aca="false">ROUND(M174*(1+Sorted!$H$3),2)</f>
        <v>0</v>
      </c>
      <c r="K175" s="47" t="n">
        <f aca="false">MIN(J175,Sorted!$G$3)</f>
        <v>0</v>
      </c>
      <c r="L175" s="47" t="n">
        <f aca="false">MAX(0,MIN(J175-K175,$C175-(H175)))</f>
        <v>0</v>
      </c>
      <c r="M175" s="47" t="n">
        <f aca="false">ROUND(J175-K175-L175,2)</f>
        <v>0</v>
      </c>
      <c r="N175" s="47" t="n">
        <f aca="false">ROUND(Q174*(1+Sorted!$H$4),2)</f>
        <v>0</v>
      </c>
      <c r="O175" s="47" t="n">
        <f aca="false">MIN(N175,Sorted!$G$4)</f>
        <v>0</v>
      </c>
      <c r="P175" s="47" t="n">
        <f aca="false">MAX(0,MIN(N175-O175,$C175-(H175+L175)))</f>
        <v>0</v>
      </c>
      <c r="Q175" s="47" t="n">
        <f aca="false">ROUND(N175-O175-P175,2)</f>
        <v>0</v>
      </c>
      <c r="R175" s="47" t="n">
        <f aca="false">ROUND(U174*(1+Sorted!$H$5),2)</f>
        <v>0</v>
      </c>
      <c r="S175" s="47" t="n">
        <f aca="false">MIN(R175,Sorted!$G$5)</f>
        <v>0</v>
      </c>
      <c r="T175" s="47" t="n">
        <f aca="false">MAX(0,MIN(R175-S175,$C175-(H175+L175+P175)))</f>
        <v>0</v>
      </c>
      <c r="U175" s="47" t="n">
        <f aca="false">ROUND(R175-S175-T175,2)</f>
        <v>0</v>
      </c>
      <c r="V175" s="47" t="n">
        <f aca="false">ROUND(Y174*(1+Sorted!$H$6),2)</f>
        <v>0</v>
      </c>
      <c r="W175" s="47" t="n">
        <f aca="false">MIN(V175,Sorted!$G$6)</f>
        <v>0</v>
      </c>
      <c r="X175" s="47" t="n">
        <f aca="false">MAX(0,MIN(V175-W175,$C175-(H175+L175+P175+T175)))</f>
        <v>0</v>
      </c>
      <c r="Y175" s="47" t="n">
        <f aca="false">ROUND(V175-W175-X175,2)</f>
        <v>0</v>
      </c>
      <c r="Z175" s="47" t="n">
        <f aca="false">ROUND(AC174*(1+Sorted!$H$7),2)</f>
        <v>0</v>
      </c>
      <c r="AA175" s="47" t="n">
        <f aca="false">MIN(Z175,Sorted!$G$7)</f>
        <v>0</v>
      </c>
      <c r="AB175" s="47" t="n">
        <f aca="false">MAX(0,MIN(Z175-AA175,$C175-(H175+L175+P175+T175+X175)))</f>
        <v>0</v>
      </c>
      <c r="AC175" s="47" t="n">
        <f aca="false">ROUND(Z175-AA175-AB175,2)</f>
        <v>0</v>
      </c>
      <c r="AD175" s="47" t="n">
        <f aca="false">ROUND(AG174*(1+Sorted!$H$8),2)</f>
        <v>0</v>
      </c>
      <c r="AE175" s="47" t="n">
        <f aca="false">MIN(AD175,Sorted!$G$8)</f>
        <v>0</v>
      </c>
      <c r="AF175" s="47" t="n">
        <f aca="false">MAX(0,MIN(AD175-AE175,$C175-(H175+L175+P175+T175+X175+AB175)))</f>
        <v>0</v>
      </c>
      <c r="AG175" s="47" t="n">
        <f aca="false">ROUND(AD175-AE175-AF175,2)</f>
        <v>0</v>
      </c>
      <c r="AH175" s="47" t="n">
        <f aca="false">ROUND(AK174*(1+Sorted!$H$9),2)</f>
        <v>0</v>
      </c>
      <c r="AI175" s="47" t="n">
        <f aca="false">MIN(AH175,Sorted!$G$9)</f>
        <v>0</v>
      </c>
      <c r="AJ175" s="47" t="n">
        <f aca="false">MAX(0,MIN(AH175-AI175,$C175-(H175+L175+P175+T175+X175+AB175+AF175)))</f>
        <v>0</v>
      </c>
      <c r="AK175" s="47" t="n">
        <f aca="false">ROUND(AH175-AI175-AJ175,2)</f>
        <v>0</v>
      </c>
      <c r="AL175" s="47" t="n">
        <f aca="false">ROUND(AO174*(1+Sorted!$H$10),2)</f>
        <v>0</v>
      </c>
      <c r="AM175" s="47" t="n">
        <f aca="false">MIN(AL175,Sorted!$G$10)</f>
        <v>0</v>
      </c>
      <c r="AN175" s="47" t="n">
        <f aca="false">MAX(0,MIN(AL175-AM175,$C175-(H175+L175+P175+T175+X175+AB175+AF175+AJ175)))</f>
        <v>0</v>
      </c>
      <c r="AO175" s="47" t="n">
        <f aca="false">ROUND(AL175-AM175-AN175,2)</f>
        <v>0</v>
      </c>
      <c r="AP175" s="47" t="n">
        <f aca="false">ROUND(AS174*(1+Sorted!$H$11),2)</f>
        <v>0</v>
      </c>
      <c r="AQ175" s="47" t="n">
        <f aca="false">MIN(AP175,Sorted!$G$11)</f>
        <v>0</v>
      </c>
      <c r="AR175" s="47" t="n">
        <f aca="false">MAX(0,MIN(AP175-AQ175,$C175-(H175+L175+P175+T175+X175+AB175+AF175+AJ175+AN175)))</f>
        <v>0</v>
      </c>
      <c r="AS175" s="47" t="n">
        <f aca="false">ROUND(AP175-AQ175-AR175,2)</f>
        <v>0</v>
      </c>
    </row>
    <row r="176" customFormat="false" ht="15" hidden="false" customHeight="false" outlineLevel="0" collapsed="false">
      <c r="A176" s="45" t="n">
        <v>173</v>
      </c>
      <c r="B176" s="46" t="n">
        <f aca="false">EDATE('My Debts'!$C$7,A176-1)</f>
        <v>51561</v>
      </c>
      <c r="C176" s="47" t="n">
        <f aca="false">MAX(0,'My Debts'!$E$6-(G176+K176+O176+S176+W176+AA176+AE176+AI176+AM176+AQ176))</f>
        <v>730</v>
      </c>
      <c r="D176" s="47" t="n">
        <f aca="false">(F176+J176+N176+R176+V176+Z176+AD176+AH176+AL176+AP176)-(I176+M176+Q176+U176+Y176+AC176+AG176+AK176+AO176+AS176)</f>
        <v>0</v>
      </c>
      <c r="E176" s="48" t="n">
        <f aca="false">I176+M176+Q176+U176+Y176+AC176+AG176+AK176+AO176+AS176</f>
        <v>0</v>
      </c>
      <c r="F176" s="47" t="n">
        <f aca="false">ROUND(I175*(1+Sorted!$H$2),2)</f>
        <v>0</v>
      </c>
      <c r="G176" s="47" t="n">
        <f aca="false">MIN(F176,Sorted!$G$2)</f>
        <v>0</v>
      </c>
      <c r="H176" s="47" t="n">
        <f aca="false">MAX(0,MIN(F176-G176,$C176-(0)))</f>
        <v>0</v>
      </c>
      <c r="I176" s="47" t="n">
        <f aca="false">ROUND(F176-G176-H176,2)</f>
        <v>0</v>
      </c>
      <c r="J176" s="47" t="n">
        <f aca="false">ROUND(M175*(1+Sorted!$H$3),2)</f>
        <v>0</v>
      </c>
      <c r="K176" s="47" t="n">
        <f aca="false">MIN(J176,Sorted!$G$3)</f>
        <v>0</v>
      </c>
      <c r="L176" s="47" t="n">
        <f aca="false">MAX(0,MIN(J176-K176,$C176-(H176)))</f>
        <v>0</v>
      </c>
      <c r="M176" s="47" t="n">
        <f aca="false">ROUND(J176-K176-L176,2)</f>
        <v>0</v>
      </c>
      <c r="N176" s="47" t="n">
        <f aca="false">ROUND(Q175*(1+Sorted!$H$4),2)</f>
        <v>0</v>
      </c>
      <c r="O176" s="47" t="n">
        <f aca="false">MIN(N176,Sorted!$G$4)</f>
        <v>0</v>
      </c>
      <c r="P176" s="47" t="n">
        <f aca="false">MAX(0,MIN(N176-O176,$C176-(H176+L176)))</f>
        <v>0</v>
      </c>
      <c r="Q176" s="47" t="n">
        <f aca="false">ROUND(N176-O176-P176,2)</f>
        <v>0</v>
      </c>
      <c r="R176" s="47" t="n">
        <f aca="false">ROUND(U175*(1+Sorted!$H$5),2)</f>
        <v>0</v>
      </c>
      <c r="S176" s="47" t="n">
        <f aca="false">MIN(R176,Sorted!$G$5)</f>
        <v>0</v>
      </c>
      <c r="T176" s="47" t="n">
        <f aca="false">MAX(0,MIN(R176-S176,$C176-(H176+L176+P176)))</f>
        <v>0</v>
      </c>
      <c r="U176" s="47" t="n">
        <f aca="false">ROUND(R176-S176-T176,2)</f>
        <v>0</v>
      </c>
      <c r="V176" s="47" t="n">
        <f aca="false">ROUND(Y175*(1+Sorted!$H$6),2)</f>
        <v>0</v>
      </c>
      <c r="W176" s="47" t="n">
        <f aca="false">MIN(V176,Sorted!$G$6)</f>
        <v>0</v>
      </c>
      <c r="X176" s="47" t="n">
        <f aca="false">MAX(0,MIN(V176-W176,$C176-(H176+L176+P176+T176)))</f>
        <v>0</v>
      </c>
      <c r="Y176" s="47" t="n">
        <f aca="false">ROUND(V176-W176-X176,2)</f>
        <v>0</v>
      </c>
      <c r="Z176" s="47" t="n">
        <f aca="false">ROUND(AC175*(1+Sorted!$H$7),2)</f>
        <v>0</v>
      </c>
      <c r="AA176" s="47" t="n">
        <f aca="false">MIN(Z176,Sorted!$G$7)</f>
        <v>0</v>
      </c>
      <c r="AB176" s="47" t="n">
        <f aca="false">MAX(0,MIN(Z176-AA176,$C176-(H176+L176+P176+T176+X176)))</f>
        <v>0</v>
      </c>
      <c r="AC176" s="47" t="n">
        <f aca="false">ROUND(Z176-AA176-AB176,2)</f>
        <v>0</v>
      </c>
      <c r="AD176" s="47" t="n">
        <f aca="false">ROUND(AG175*(1+Sorted!$H$8),2)</f>
        <v>0</v>
      </c>
      <c r="AE176" s="47" t="n">
        <f aca="false">MIN(AD176,Sorted!$G$8)</f>
        <v>0</v>
      </c>
      <c r="AF176" s="47" t="n">
        <f aca="false">MAX(0,MIN(AD176-AE176,$C176-(H176+L176+P176+T176+X176+AB176)))</f>
        <v>0</v>
      </c>
      <c r="AG176" s="47" t="n">
        <f aca="false">ROUND(AD176-AE176-AF176,2)</f>
        <v>0</v>
      </c>
      <c r="AH176" s="47" t="n">
        <f aca="false">ROUND(AK175*(1+Sorted!$H$9),2)</f>
        <v>0</v>
      </c>
      <c r="AI176" s="47" t="n">
        <f aca="false">MIN(AH176,Sorted!$G$9)</f>
        <v>0</v>
      </c>
      <c r="AJ176" s="47" t="n">
        <f aca="false">MAX(0,MIN(AH176-AI176,$C176-(H176+L176+P176+T176+X176+AB176+AF176)))</f>
        <v>0</v>
      </c>
      <c r="AK176" s="47" t="n">
        <f aca="false">ROUND(AH176-AI176-AJ176,2)</f>
        <v>0</v>
      </c>
      <c r="AL176" s="47" t="n">
        <f aca="false">ROUND(AO175*(1+Sorted!$H$10),2)</f>
        <v>0</v>
      </c>
      <c r="AM176" s="47" t="n">
        <f aca="false">MIN(AL176,Sorted!$G$10)</f>
        <v>0</v>
      </c>
      <c r="AN176" s="47" t="n">
        <f aca="false">MAX(0,MIN(AL176-AM176,$C176-(H176+L176+P176+T176+X176+AB176+AF176+AJ176)))</f>
        <v>0</v>
      </c>
      <c r="AO176" s="47" t="n">
        <f aca="false">ROUND(AL176-AM176-AN176,2)</f>
        <v>0</v>
      </c>
      <c r="AP176" s="47" t="n">
        <f aca="false">ROUND(AS175*(1+Sorted!$H$11),2)</f>
        <v>0</v>
      </c>
      <c r="AQ176" s="47" t="n">
        <f aca="false">MIN(AP176,Sorted!$G$11)</f>
        <v>0</v>
      </c>
      <c r="AR176" s="47" t="n">
        <f aca="false">MAX(0,MIN(AP176-AQ176,$C176-(H176+L176+P176+T176+X176+AB176+AF176+AJ176+AN176)))</f>
        <v>0</v>
      </c>
      <c r="AS176" s="47" t="n">
        <f aca="false">ROUND(AP176-AQ176-AR176,2)</f>
        <v>0</v>
      </c>
    </row>
    <row r="177" customFormat="false" ht="15" hidden="false" customHeight="false" outlineLevel="0" collapsed="false">
      <c r="A177" s="45" t="n">
        <v>174</v>
      </c>
      <c r="B177" s="46" t="n">
        <f aca="false">EDATE('My Debts'!$C$7,A177-1)</f>
        <v>51592</v>
      </c>
      <c r="C177" s="47" t="n">
        <f aca="false">MAX(0,'My Debts'!$E$6-(G177+K177+O177+S177+W177+AA177+AE177+AI177+AM177+AQ177))</f>
        <v>730</v>
      </c>
      <c r="D177" s="47" t="n">
        <f aca="false">(F177+J177+N177+R177+V177+Z177+AD177+AH177+AL177+AP177)-(I177+M177+Q177+U177+Y177+AC177+AG177+AK177+AO177+AS177)</f>
        <v>0</v>
      </c>
      <c r="E177" s="48" t="n">
        <f aca="false">I177+M177+Q177+U177+Y177+AC177+AG177+AK177+AO177+AS177</f>
        <v>0</v>
      </c>
      <c r="F177" s="47" t="n">
        <f aca="false">ROUND(I176*(1+Sorted!$H$2),2)</f>
        <v>0</v>
      </c>
      <c r="G177" s="47" t="n">
        <f aca="false">MIN(F177,Sorted!$G$2)</f>
        <v>0</v>
      </c>
      <c r="H177" s="47" t="n">
        <f aca="false">MAX(0,MIN(F177-G177,$C177-(0)))</f>
        <v>0</v>
      </c>
      <c r="I177" s="47" t="n">
        <f aca="false">ROUND(F177-G177-H177,2)</f>
        <v>0</v>
      </c>
      <c r="J177" s="47" t="n">
        <f aca="false">ROUND(M176*(1+Sorted!$H$3),2)</f>
        <v>0</v>
      </c>
      <c r="K177" s="47" t="n">
        <f aca="false">MIN(J177,Sorted!$G$3)</f>
        <v>0</v>
      </c>
      <c r="L177" s="47" t="n">
        <f aca="false">MAX(0,MIN(J177-K177,$C177-(H177)))</f>
        <v>0</v>
      </c>
      <c r="M177" s="47" t="n">
        <f aca="false">ROUND(J177-K177-L177,2)</f>
        <v>0</v>
      </c>
      <c r="N177" s="47" t="n">
        <f aca="false">ROUND(Q176*(1+Sorted!$H$4),2)</f>
        <v>0</v>
      </c>
      <c r="O177" s="47" t="n">
        <f aca="false">MIN(N177,Sorted!$G$4)</f>
        <v>0</v>
      </c>
      <c r="P177" s="47" t="n">
        <f aca="false">MAX(0,MIN(N177-O177,$C177-(H177+L177)))</f>
        <v>0</v>
      </c>
      <c r="Q177" s="47" t="n">
        <f aca="false">ROUND(N177-O177-P177,2)</f>
        <v>0</v>
      </c>
      <c r="R177" s="47" t="n">
        <f aca="false">ROUND(U176*(1+Sorted!$H$5),2)</f>
        <v>0</v>
      </c>
      <c r="S177" s="47" t="n">
        <f aca="false">MIN(R177,Sorted!$G$5)</f>
        <v>0</v>
      </c>
      <c r="T177" s="47" t="n">
        <f aca="false">MAX(0,MIN(R177-S177,$C177-(H177+L177+P177)))</f>
        <v>0</v>
      </c>
      <c r="U177" s="47" t="n">
        <f aca="false">ROUND(R177-S177-T177,2)</f>
        <v>0</v>
      </c>
      <c r="V177" s="47" t="n">
        <f aca="false">ROUND(Y176*(1+Sorted!$H$6),2)</f>
        <v>0</v>
      </c>
      <c r="W177" s="47" t="n">
        <f aca="false">MIN(V177,Sorted!$G$6)</f>
        <v>0</v>
      </c>
      <c r="X177" s="47" t="n">
        <f aca="false">MAX(0,MIN(V177-W177,$C177-(H177+L177+P177+T177)))</f>
        <v>0</v>
      </c>
      <c r="Y177" s="47" t="n">
        <f aca="false">ROUND(V177-W177-X177,2)</f>
        <v>0</v>
      </c>
      <c r="Z177" s="47" t="n">
        <f aca="false">ROUND(AC176*(1+Sorted!$H$7),2)</f>
        <v>0</v>
      </c>
      <c r="AA177" s="47" t="n">
        <f aca="false">MIN(Z177,Sorted!$G$7)</f>
        <v>0</v>
      </c>
      <c r="AB177" s="47" t="n">
        <f aca="false">MAX(0,MIN(Z177-AA177,$C177-(H177+L177+P177+T177+X177)))</f>
        <v>0</v>
      </c>
      <c r="AC177" s="47" t="n">
        <f aca="false">ROUND(Z177-AA177-AB177,2)</f>
        <v>0</v>
      </c>
      <c r="AD177" s="47" t="n">
        <f aca="false">ROUND(AG176*(1+Sorted!$H$8),2)</f>
        <v>0</v>
      </c>
      <c r="AE177" s="47" t="n">
        <f aca="false">MIN(AD177,Sorted!$G$8)</f>
        <v>0</v>
      </c>
      <c r="AF177" s="47" t="n">
        <f aca="false">MAX(0,MIN(AD177-AE177,$C177-(H177+L177+P177+T177+X177+AB177)))</f>
        <v>0</v>
      </c>
      <c r="AG177" s="47" t="n">
        <f aca="false">ROUND(AD177-AE177-AF177,2)</f>
        <v>0</v>
      </c>
      <c r="AH177" s="47" t="n">
        <f aca="false">ROUND(AK176*(1+Sorted!$H$9),2)</f>
        <v>0</v>
      </c>
      <c r="AI177" s="47" t="n">
        <f aca="false">MIN(AH177,Sorted!$G$9)</f>
        <v>0</v>
      </c>
      <c r="AJ177" s="47" t="n">
        <f aca="false">MAX(0,MIN(AH177-AI177,$C177-(H177+L177+P177+T177+X177+AB177+AF177)))</f>
        <v>0</v>
      </c>
      <c r="AK177" s="47" t="n">
        <f aca="false">ROUND(AH177-AI177-AJ177,2)</f>
        <v>0</v>
      </c>
      <c r="AL177" s="47" t="n">
        <f aca="false">ROUND(AO176*(1+Sorted!$H$10),2)</f>
        <v>0</v>
      </c>
      <c r="AM177" s="47" t="n">
        <f aca="false">MIN(AL177,Sorted!$G$10)</f>
        <v>0</v>
      </c>
      <c r="AN177" s="47" t="n">
        <f aca="false">MAX(0,MIN(AL177-AM177,$C177-(H177+L177+P177+T177+X177+AB177+AF177+AJ177)))</f>
        <v>0</v>
      </c>
      <c r="AO177" s="47" t="n">
        <f aca="false">ROUND(AL177-AM177-AN177,2)</f>
        <v>0</v>
      </c>
      <c r="AP177" s="47" t="n">
        <f aca="false">ROUND(AS176*(1+Sorted!$H$11),2)</f>
        <v>0</v>
      </c>
      <c r="AQ177" s="47" t="n">
        <f aca="false">MIN(AP177,Sorted!$G$11)</f>
        <v>0</v>
      </c>
      <c r="AR177" s="47" t="n">
        <f aca="false">MAX(0,MIN(AP177-AQ177,$C177-(H177+L177+P177+T177+X177+AB177+AF177+AJ177+AN177)))</f>
        <v>0</v>
      </c>
      <c r="AS177" s="47" t="n">
        <f aca="false">ROUND(AP177-AQ177-AR177,2)</f>
        <v>0</v>
      </c>
    </row>
    <row r="178" customFormat="false" ht="15" hidden="false" customHeight="false" outlineLevel="0" collapsed="false">
      <c r="A178" s="45" t="n">
        <v>175</v>
      </c>
      <c r="B178" s="46" t="n">
        <f aca="false">EDATE('My Debts'!$C$7,A178-1)</f>
        <v>51622</v>
      </c>
      <c r="C178" s="47" t="n">
        <f aca="false">MAX(0,'My Debts'!$E$6-(G178+K178+O178+S178+W178+AA178+AE178+AI178+AM178+AQ178))</f>
        <v>730</v>
      </c>
      <c r="D178" s="47" t="n">
        <f aca="false">(F178+J178+N178+R178+V178+Z178+AD178+AH178+AL178+AP178)-(I178+M178+Q178+U178+Y178+AC178+AG178+AK178+AO178+AS178)</f>
        <v>0</v>
      </c>
      <c r="E178" s="48" t="n">
        <f aca="false">I178+M178+Q178+U178+Y178+AC178+AG178+AK178+AO178+AS178</f>
        <v>0</v>
      </c>
      <c r="F178" s="47" t="n">
        <f aca="false">ROUND(I177*(1+Sorted!$H$2),2)</f>
        <v>0</v>
      </c>
      <c r="G178" s="47" t="n">
        <f aca="false">MIN(F178,Sorted!$G$2)</f>
        <v>0</v>
      </c>
      <c r="H178" s="47" t="n">
        <f aca="false">MAX(0,MIN(F178-G178,$C178-(0)))</f>
        <v>0</v>
      </c>
      <c r="I178" s="47" t="n">
        <f aca="false">ROUND(F178-G178-H178,2)</f>
        <v>0</v>
      </c>
      <c r="J178" s="47" t="n">
        <f aca="false">ROUND(M177*(1+Sorted!$H$3),2)</f>
        <v>0</v>
      </c>
      <c r="K178" s="47" t="n">
        <f aca="false">MIN(J178,Sorted!$G$3)</f>
        <v>0</v>
      </c>
      <c r="L178" s="47" t="n">
        <f aca="false">MAX(0,MIN(J178-K178,$C178-(H178)))</f>
        <v>0</v>
      </c>
      <c r="M178" s="47" t="n">
        <f aca="false">ROUND(J178-K178-L178,2)</f>
        <v>0</v>
      </c>
      <c r="N178" s="47" t="n">
        <f aca="false">ROUND(Q177*(1+Sorted!$H$4),2)</f>
        <v>0</v>
      </c>
      <c r="O178" s="47" t="n">
        <f aca="false">MIN(N178,Sorted!$G$4)</f>
        <v>0</v>
      </c>
      <c r="P178" s="47" t="n">
        <f aca="false">MAX(0,MIN(N178-O178,$C178-(H178+L178)))</f>
        <v>0</v>
      </c>
      <c r="Q178" s="47" t="n">
        <f aca="false">ROUND(N178-O178-P178,2)</f>
        <v>0</v>
      </c>
      <c r="R178" s="47" t="n">
        <f aca="false">ROUND(U177*(1+Sorted!$H$5),2)</f>
        <v>0</v>
      </c>
      <c r="S178" s="47" t="n">
        <f aca="false">MIN(R178,Sorted!$G$5)</f>
        <v>0</v>
      </c>
      <c r="T178" s="47" t="n">
        <f aca="false">MAX(0,MIN(R178-S178,$C178-(H178+L178+P178)))</f>
        <v>0</v>
      </c>
      <c r="U178" s="47" t="n">
        <f aca="false">ROUND(R178-S178-T178,2)</f>
        <v>0</v>
      </c>
      <c r="V178" s="47" t="n">
        <f aca="false">ROUND(Y177*(1+Sorted!$H$6),2)</f>
        <v>0</v>
      </c>
      <c r="W178" s="47" t="n">
        <f aca="false">MIN(V178,Sorted!$G$6)</f>
        <v>0</v>
      </c>
      <c r="X178" s="47" t="n">
        <f aca="false">MAX(0,MIN(V178-W178,$C178-(H178+L178+P178+T178)))</f>
        <v>0</v>
      </c>
      <c r="Y178" s="47" t="n">
        <f aca="false">ROUND(V178-W178-X178,2)</f>
        <v>0</v>
      </c>
      <c r="Z178" s="47" t="n">
        <f aca="false">ROUND(AC177*(1+Sorted!$H$7),2)</f>
        <v>0</v>
      </c>
      <c r="AA178" s="47" t="n">
        <f aca="false">MIN(Z178,Sorted!$G$7)</f>
        <v>0</v>
      </c>
      <c r="AB178" s="47" t="n">
        <f aca="false">MAX(0,MIN(Z178-AA178,$C178-(H178+L178+P178+T178+X178)))</f>
        <v>0</v>
      </c>
      <c r="AC178" s="47" t="n">
        <f aca="false">ROUND(Z178-AA178-AB178,2)</f>
        <v>0</v>
      </c>
      <c r="AD178" s="47" t="n">
        <f aca="false">ROUND(AG177*(1+Sorted!$H$8),2)</f>
        <v>0</v>
      </c>
      <c r="AE178" s="47" t="n">
        <f aca="false">MIN(AD178,Sorted!$G$8)</f>
        <v>0</v>
      </c>
      <c r="AF178" s="47" t="n">
        <f aca="false">MAX(0,MIN(AD178-AE178,$C178-(H178+L178+P178+T178+X178+AB178)))</f>
        <v>0</v>
      </c>
      <c r="AG178" s="47" t="n">
        <f aca="false">ROUND(AD178-AE178-AF178,2)</f>
        <v>0</v>
      </c>
      <c r="AH178" s="47" t="n">
        <f aca="false">ROUND(AK177*(1+Sorted!$H$9),2)</f>
        <v>0</v>
      </c>
      <c r="AI178" s="47" t="n">
        <f aca="false">MIN(AH178,Sorted!$G$9)</f>
        <v>0</v>
      </c>
      <c r="AJ178" s="47" t="n">
        <f aca="false">MAX(0,MIN(AH178-AI178,$C178-(H178+L178+P178+T178+X178+AB178+AF178)))</f>
        <v>0</v>
      </c>
      <c r="AK178" s="47" t="n">
        <f aca="false">ROUND(AH178-AI178-AJ178,2)</f>
        <v>0</v>
      </c>
      <c r="AL178" s="47" t="n">
        <f aca="false">ROUND(AO177*(1+Sorted!$H$10),2)</f>
        <v>0</v>
      </c>
      <c r="AM178" s="47" t="n">
        <f aca="false">MIN(AL178,Sorted!$G$10)</f>
        <v>0</v>
      </c>
      <c r="AN178" s="47" t="n">
        <f aca="false">MAX(0,MIN(AL178-AM178,$C178-(H178+L178+P178+T178+X178+AB178+AF178+AJ178)))</f>
        <v>0</v>
      </c>
      <c r="AO178" s="47" t="n">
        <f aca="false">ROUND(AL178-AM178-AN178,2)</f>
        <v>0</v>
      </c>
      <c r="AP178" s="47" t="n">
        <f aca="false">ROUND(AS177*(1+Sorted!$H$11),2)</f>
        <v>0</v>
      </c>
      <c r="AQ178" s="47" t="n">
        <f aca="false">MIN(AP178,Sorted!$G$11)</f>
        <v>0</v>
      </c>
      <c r="AR178" s="47" t="n">
        <f aca="false">MAX(0,MIN(AP178-AQ178,$C178-(H178+L178+P178+T178+X178+AB178+AF178+AJ178+AN178)))</f>
        <v>0</v>
      </c>
      <c r="AS178" s="47" t="n">
        <f aca="false">ROUND(AP178-AQ178-AR178,2)</f>
        <v>0</v>
      </c>
    </row>
    <row r="179" customFormat="false" ht="15" hidden="false" customHeight="false" outlineLevel="0" collapsed="false">
      <c r="A179" s="45" t="n">
        <v>176</v>
      </c>
      <c r="B179" s="46" t="n">
        <f aca="false">EDATE('My Debts'!$C$7,A179-1)</f>
        <v>51653</v>
      </c>
      <c r="C179" s="47" t="n">
        <f aca="false">MAX(0,'My Debts'!$E$6-(G179+K179+O179+S179+W179+AA179+AE179+AI179+AM179+AQ179))</f>
        <v>730</v>
      </c>
      <c r="D179" s="47" t="n">
        <f aca="false">(F179+J179+N179+R179+V179+Z179+AD179+AH179+AL179+AP179)-(I179+M179+Q179+U179+Y179+AC179+AG179+AK179+AO179+AS179)</f>
        <v>0</v>
      </c>
      <c r="E179" s="48" t="n">
        <f aca="false">I179+M179+Q179+U179+Y179+AC179+AG179+AK179+AO179+AS179</f>
        <v>0</v>
      </c>
      <c r="F179" s="47" t="n">
        <f aca="false">ROUND(I178*(1+Sorted!$H$2),2)</f>
        <v>0</v>
      </c>
      <c r="G179" s="47" t="n">
        <f aca="false">MIN(F179,Sorted!$G$2)</f>
        <v>0</v>
      </c>
      <c r="H179" s="47" t="n">
        <f aca="false">MAX(0,MIN(F179-G179,$C179-(0)))</f>
        <v>0</v>
      </c>
      <c r="I179" s="47" t="n">
        <f aca="false">ROUND(F179-G179-H179,2)</f>
        <v>0</v>
      </c>
      <c r="J179" s="47" t="n">
        <f aca="false">ROUND(M178*(1+Sorted!$H$3),2)</f>
        <v>0</v>
      </c>
      <c r="K179" s="47" t="n">
        <f aca="false">MIN(J179,Sorted!$G$3)</f>
        <v>0</v>
      </c>
      <c r="L179" s="47" t="n">
        <f aca="false">MAX(0,MIN(J179-K179,$C179-(H179)))</f>
        <v>0</v>
      </c>
      <c r="M179" s="47" t="n">
        <f aca="false">ROUND(J179-K179-L179,2)</f>
        <v>0</v>
      </c>
      <c r="N179" s="47" t="n">
        <f aca="false">ROUND(Q178*(1+Sorted!$H$4),2)</f>
        <v>0</v>
      </c>
      <c r="O179" s="47" t="n">
        <f aca="false">MIN(N179,Sorted!$G$4)</f>
        <v>0</v>
      </c>
      <c r="P179" s="47" t="n">
        <f aca="false">MAX(0,MIN(N179-O179,$C179-(H179+L179)))</f>
        <v>0</v>
      </c>
      <c r="Q179" s="47" t="n">
        <f aca="false">ROUND(N179-O179-P179,2)</f>
        <v>0</v>
      </c>
      <c r="R179" s="47" t="n">
        <f aca="false">ROUND(U178*(1+Sorted!$H$5),2)</f>
        <v>0</v>
      </c>
      <c r="S179" s="47" t="n">
        <f aca="false">MIN(R179,Sorted!$G$5)</f>
        <v>0</v>
      </c>
      <c r="T179" s="47" t="n">
        <f aca="false">MAX(0,MIN(R179-S179,$C179-(H179+L179+P179)))</f>
        <v>0</v>
      </c>
      <c r="U179" s="47" t="n">
        <f aca="false">ROUND(R179-S179-T179,2)</f>
        <v>0</v>
      </c>
      <c r="V179" s="47" t="n">
        <f aca="false">ROUND(Y178*(1+Sorted!$H$6),2)</f>
        <v>0</v>
      </c>
      <c r="W179" s="47" t="n">
        <f aca="false">MIN(V179,Sorted!$G$6)</f>
        <v>0</v>
      </c>
      <c r="X179" s="47" t="n">
        <f aca="false">MAX(0,MIN(V179-W179,$C179-(H179+L179+P179+T179)))</f>
        <v>0</v>
      </c>
      <c r="Y179" s="47" t="n">
        <f aca="false">ROUND(V179-W179-X179,2)</f>
        <v>0</v>
      </c>
      <c r="Z179" s="47" t="n">
        <f aca="false">ROUND(AC178*(1+Sorted!$H$7),2)</f>
        <v>0</v>
      </c>
      <c r="AA179" s="47" t="n">
        <f aca="false">MIN(Z179,Sorted!$G$7)</f>
        <v>0</v>
      </c>
      <c r="AB179" s="47" t="n">
        <f aca="false">MAX(0,MIN(Z179-AA179,$C179-(H179+L179+P179+T179+X179)))</f>
        <v>0</v>
      </c>
      <c r="AC179" s="47" t="n">
        <f aca="false">ROUND(Z179-AA179-AB179,2)</f>
        <v>0</v>
      </c>
      <c r="AD179" s="47" t="n">
        <f aca="false">ROUND(AG178*(1+Sorted!$H$8),2)</f>
        <v>0</v>
      </c>
      <c r="AE179" s="47" t="n">
        <f aca="false">MIN(AD179,Sorted!$G$8)</f>
        <v>0</v>
      </c>
      <c r="AF179" s="47" t="n">
        <f aca="false">MAX(0,MIN(AD179-AE179,$C179-(H179+L179+P179+T179+X179+AB179)))</f>
        <v>0</v>
      </c>
      <c r="AG179" s="47" t="n">
        <f aca="false">ROUND(AD179-AE179-AF179,2)</f>
        <v>0</v>
      </c>
      <c r="AH179" s="47" t="n">
        <f aca="false">ROUND(AK178*(1+Sorted!$H$9),2)</f>
        <v>0</v>
      </c>
      <c r="AI179" s="47" t="n">
        <f aca="false">MIN(AH179,Sorted!$G$9)</f>
        <v>0</v>
      </c>
      <c r="AJ179" s="47" t="n">
        <f aca="false">MAX(0,MIN(AH179-AI179,$C179-(H179+L179+P179+T179+X179+AB179+AF179)))</f>
        <v>0</v>
      </c>
      <c r="AK179" s="47" t="n">
        <f aca="false">ROUND(AH179-AI179-AJ179,2)</f>
        <v>0</v>
      </c>
      <c r="AL179" s="47" t="n">
        <f aca="false">ROUND(AO178*(1+Sorted!$H$10),2)</f>
        <v>0</v>
      </c>
      <c r="AM179" s="47" t="n">
        <f aca="false">MIN(AL179,Sorted!$G$10)</f>
        <v>0</v>
      </c>
      <c r="AN179" s="47" t="n">
        <f aca="false">MAX(0,MIN(AL179-AM179,$C179-(H179+L179+P179+T179+X179+AB179+AF179+AJ179)))</f>
        <v>0</v>
      </c>
      <c r="AO179" s="47" t="n">
        <f aca="false">ROUND(AL179-AM179-AN179,2)</f>
        <v>0</v>
      </c>
      <c r="AP179" s="47" t="n">
        <f aca="false">ROUND(AS178*(1+Sorted!$H$11),2)</f>
        <v>0</v>
      </c>
      <c r="AQ179" s="47" t="n">
        <f aca="false">MIN(AP179,Sorted!$G$11)</f>
        <v>0</v>
      </c>
      <c r="AR179" s="47" t="n">
        <f aca="false">MAX(0,MIN(AP179-AQ179,$C179-(H179+L179+P179+T179+X179+AB179+AF179+AJ179+AN179)))</f>
        <v>0</v>
      </c>
      <c r="AS179" s="47" t="n">
        <f aca="false">ROUND(AP179-AQ179-AR179,2)</f>
        <v>0</v>
      </c>
    </row>
    <row r="180" customFormat="false" ht="15" hidden="false" customHeight="false" outlineLevel="0" collapsed="false">
      <c r="A180" s="45" t="n">
        <v>177</v>
      </c>
      <c r="B180" s="46" t="n">
        <f aca="false">EDATE('My Debts'!$C$7,A180-1)</f>
        <v>51683</v>
      </c>
      <c r="C180" s="47" t="n">
        <f aca="false">MAX(0,'My Debts'!$E$6-(G180+K180+O180+S180+W180+AA180+AE180+AI180+AM180+AQ180))</f>
        <v>730</v>
      </c>
      <c r="D180" s="47" t="n">
        <f aca="false">(F180+J180+N180+R180+V180+Z180+AD180+AH180+AL180+AP180)-(I180+M180+Q180+U180+Y180+AC180+AG180+AK180+AO180+AS180)</f>
        <v>0</v>
      </c>
      <c r="E180" s="48" t="n">
        <f aca="false">I180+M180+Q180+U180+Y180+AC180+AG180+AK180+AO180+AS180</f>
        <v>0</v>
      </c>
      <c r="F180" s="47" t="n">
        <f aca="false">ROUND(I179*(1+Sorted!$H$2),2)</f>
        <v>0</v>
      </c>
      <c r="G180" s="47" t="n">
        <f aca="false">MIN(F180,Sorted!$G$2)</f>
        <v>0</v>
      </c>
      <c r="H180" s="47" t="n">
        <f aca="false">MAX(0,MIN(F180-G180,$C180-(0)))</f>
        <v>0</v>
      </c>
      <c r="I180" s="47" t="n">
        <f aca="false">ROUND(F180-G180-H180,2)</f>
        <v>0</v>
      </c>
      <c r="J180" s="47" t="n">
        <f aca="false">ROUND(M179*(1+Sorted!$H$3),2)</f>
        <v>0</v>
      </c>
      <c r="K180" s="47" t="n">
        <f aca="false">MIN(J180,Sorted!$G$3)</f>
        <v>0</v>
      </c>
      <c r="L180" s="47" t="n">
        <f aca="false">MAX(0,MIN(J180-K180,$C180-(H180)))</f>
        <v>0</v>
      </c>
      <c r="M180" s="47" t="n">
        <f aca="false">ROUND(J180-K180-L180,2)</f>
        <v>0</v>
      </c>
      <c r="N180" s="47" t="n">
        <f aca="false">ROUND(Q179*(1+Sorted!$H$4),2)</f>
        <v>0</v>
      </c>
      <c r="O180" s="47" t="n">
        <f aca="false">MIN(N180,Sorted!$G$4)</f>
        <v>0</v>
      </c>
      <c r="P180" s="47" t="n">
        <f aca="false">MAX(0,MIN(N180-O180,$C180-(H180+L180)))</f>
        <v>0</v>
      </c>
      <c r="Q180" s="47" t="n">
        <f aca="false">ROUND(N180-O180-P180,2)</f>
        <v>0</v>
      </c>
      <c r="R180" s="47" t="n">
        <f aca="false">ROUND(U179*(1+Sorted!$H$5),2)</f>
        <v>0</v>
      </c>
      <c r="S180" s="47" t="n">
        <f aca="false">MIN(R180,Sorted!$G$5)</f>
        <v>0</v>
      </c>
      <c r="T180" s="47" t="n">
        <f aca="false">MAX(0,MIN(R180-S180,$C180-(H180+L180+P180)))</f>
        <v>0</v>
      </c>
      <c r="U180" s="47" t="n">
        <f aca="false">ROUND(R180-S180-T180,2)</f>
        <v>0</v>
      </c>
      <c r="V180" s="47" t="n">
        <f aca="false">ROUND(Y179*(1+Sorted!$H$6),2)</f>
        <v>0</v>
      </c>
      <c r="W180" s="47" t="n">
        <f aca="false">MIN(V180,Sorted!$G$6)</f>
        <v>0</v>
      </c>
      <c r="X180" s="47" t="n">
        <f aca="false">MAX(0,MIN(V180-W180,$C180-(H180+L180+P180+T180)))</f>
        <v>0</v>
      </c>
      <c r="Y180" s="47" t="n">
        <f aca="false">ROUND(V180-W180-X180,2)</f>
        <v>0</v>
      </c>
      <c r="Z180" s="47" t="n">
        <f aca="false">ROUND(AC179*(1+Sorted!$H$7),2)</f>
        <v>0</v>
      </c>
      <c r="AA180" s="47" t="n">
        <f aca="false">MIN(Z180,Sorted!$G$7)</f>
        <v>0</v>
      </c>
      <c r="AB180" s="47" t="n">
        <f aca="false">MAX(0,MIN(Z180-AA180,$C180-(H180+L180+P180+T180+X180)))</f>
        <v>0</v>
      </c>
      <c r="AC180" s="47" t="n">
        <f aca="false">ROUND(Z180-AA180-AB180,2)</f>
        <v>0</v>
      </c>
      <c r="AD180" s="47" t="n">
        <f aca="false">ROUND(AG179*(1+Sorted!$H$8),2)</f>
        <v>0</v>
      </c>
      <c r="AE180" s="47" t="n">
        <f aca="false">MIN(AD180,Sorted!$G$8)</f>
        <v>0</v>
      </c>
      <c r="AF180" s="47" t="n">
        <f aca="false">MAX(0,MIN(AD180-AE180,$C180-(H180+L180+P180+T180+X180+AB180)))</f>
        <v>0</v>
      </c>
      <c r="AG180" s="47" t="n">
        <f aca="false">ROUND(AD180-AE180-AF180,2)</f>
        <v>0</v>
      </c>
      <c r="AH180" s="47" t="n">
        <f aca="false">ROUND(AK179*(1+Sorted!$H$9),2)</f>
        <v>0</v>
      </c>
      <c r="AI180" s="47" t="n">
        <f aca="false">MIN(AH180,Sorted!$G$9)</f>
        <v>0</v>
      </c>
      <c r="AJ180" s="47" t="n">
        <f aca="false">MAX(0,MIN(AH180-AI180,$C180-(H180+L180+P180+T180+X180+AB180+AF180)))</f>
        <v>0</v>
      </c>
      <c r="AK180" s="47" t="n">
        <f aca="false">ROUND(AH180-AI180-AJ180,2)</f>
        <v>0</v>
      </c>
      <c r="AL180" s="47" t="n">
        <f aca="false">ROUND(AO179*(1+Sorted!$H$10),2)</f>
        <v>0</v>
      </c>
      <c r="AM180" s="47" t="n">
        <f aca="false">MIN(AL180,Sorted!$G$10)</f>
        <v>0</v>
      </c>
      <c r="AN180" s="47" t="n">
        <f aca="false">MAX(0,MIN(AL180-AM180,$C180-(H180+L180+P180+T180+X180+AB180+AF180+AJ180)))</f>
        <v>0</v>
      </c>
      <c r="AO180" s="47" t="n">
        <f aca="false">ROUND(AL180-AM180-AN180,2)</f>
        <v>0</v>
      </c>
      <c r="AP180" s="47" t="n">
        <f aca="false">ROUND(AS179*(1+Sorted!$H$11),2)</f>
        <v>0</v>
      </c>
      <c r="AQ180" s="47" t="n">
        <f aca="false">MIN(AP180,Sorted!$G$11)</f>
        <v>0</v>
      </c>
      <c r="AR180" s="47" t="n">
        <f aca="false">MAX(0,MIN(AP180-AQ180,$C180-(H180+L180+P180+T180+X180+AB180+AF180+AJ180+AN180)))</f>
        <v>0</v>
      </c>
      <c r="AS180" s="47" t="n">
        <f aca="false">ROUND(AP180-AQ180-AR180,2)</f>
        <v>0</v>
      </c>
    </row>
    <row r="181" customFormat="false" ht="15" hidden="false" customHeight="false" outlineLevel="0" collapsed="false">
      <c r="A181" s="45" t="n">
        <v>178</v>
      </c>
      <c r="B181" s="46" t="n">
        <f aca="false">EDATE('My Debts'!$C$7,A181-1)</f>
        <v>51714</v>
      </c>
      <c r="C181" s="47" t="n">
        <f aca="false">MAX(0,'My Debts'!$E$6-(G181+K181+O181+S181+W181+AA181+AE181+AI181+AM181+AQ181))</f>
        <v>730</v>
      </c>
      <c r="D181" s="47" t="n">
        <f aca="false">(F181+J181+N181+R181+V181+Z181+AD181+AH181+AL181+AP181)-(I181+M181+Q181+U181+Y181+AC181+AG181+AK181+AO181+AS181)</f>
        <v>0</v>
      </c>
      <c r="E181" s="48" t="n">
        <f aca="false">I181+M181+Q181+U181+Y181+AC181+AG181+AK181+AO181+AS181</f>
        <v>0</v>
      </c>
      <c r="F181" s="47" t="n">
        <f aca="false">ROUND(I180*(1+Sorted!$H$2),2)</f>
        <v>0</v>
      </c>
      <c r="G181" s="47" t="n">
        <f aca="false">MIN(F181,Sorted!$G$2)</f>
        <v>0</v>
      </c>
      <c r="H181" s="47" t="n">
        <f aca="false">MAX(0,MIN(F181-G181,$C181-(0)))</f>
        <v>0</v>
      </c>
      <c r="I181" s="47" t="n">
        <f aca="false">ROUND(F181-G181-H181,2)</f>
        <v>0</v>
      </c>
      <c r="J181" s="47" t="n">
        <f aca="false">ROUND(M180*(1+Sorted!$H$3),2)</f>
        <v>0</v>
      </c>
      <c r="K181" s="47" t="n">
        <f aca="false">MIN(J181,Sorted!$G$3)</f>
        <v>0</v>
      </c>
      <c r="L181" s="47" t="n">
        <f aca="false">MAX(0,MIN(J181-K181,$C181-(H181)))</f>
        <v>0</v>
      </c>
      <c r="M181" s="47" t="n">
        <f aca="false">ROUND(J181-K181-L181,2)</f>
        <v>0</v>
      </c>
      <c r="N181" s="47" t="n">
        <f aca="false">ROUND(Q180*(1+Sorted!$H$4),2)</f>
        <v>0</v>
      </c>
      <c r="O181" s="47" t="n">
        <f aca="false">MIN(N181,Sorted!$G$4)</f>
        <v>0</v>
      </c>
      <c r="P181" s="47" t="n">
        <f aca="false">MAX(0,MIN(N181-O181,$C181-(H181+L181)))</f>
        <v>0</v>
      </c>
      <c r="Q181" s="47" t="n">
        <f aca="false">ROUND(N181-O181-P181,2)</f>
        <v>0</v>
      </c>
      <c r="R181" s="47" t="n">
        <f aca="false">ROUND(U180*(1+Sorted!$H$5),2)</f>
        <v>0</v>
      </c>
      <c r="S181" s="47" t="n">
        <f aca="false">MIN(R181,Sorted!$G$5)</f>
        <v>0</v>
      </c>
      <c r="T181" s="47" t="n">
        <f aca="false">MAX(0,MIN(R181-S181,$C181-(H181+L181+P181)))</f>
        <v>0</v>
      </c>
      <c r="U181" s="47" t="n">
        <f aca="false">ROUND(R181-S181-T181,2)</f>
        <v>0</v>
      </c>
      <c r="V181" s="47" t="n">
        <f aca="false">ROUND(Y180*(1+Sorted!$H$6),2)</f>
        <v>0</v>
      </c>
      <c r="W181" s="47" t="n">
        <f aca="false">MIN(V181,Sorted!$G$6)</f>
        <v>0</v>
      </c>
      <c r="X181" s="47" t="n">
        <f aca="false">MAX(0,MIN(V181-W181,$C181-(H181+L181+P181+T181)))</f>
        <v>0</v>
      </c>
      <c r="Y181" s="47" t="n">
        <f aca="false">ROUND(V181-W181-X181,2)</f>
        <v>0</v>
      </c>
      <c r="Z181" s="47" t="n">
        <f aca="false">ROUND(AC180*(1+Sorted!$H$7),2)</f>
        <v>0</v>
      </c>
      <c r="AA181" s="47" t="n">
        <f aca="false">MIN(Z181,Sorted!$G$7)</f>
        <v>0</v>
      </c>
      <c r="AB181" s="47" t="n">
        <f aca="false">MAX(0,MIN(Z181-AA181,$C181-(H181+L181+P181+T181+X181)))</f>
        <v>0</v>
      </c>
      <c r="AC181" s="47" t="n">
        <f aca="false">ROUND(Z181-AA181-AB181,2)</f>
        <v>0</v>
      </c>
      <c r="AD181" s="47" t="n">
        <f aca="false">ROUND(AG180*(1+Sorted!$H$8),2)</f>
        <v>0</v>
      </c>
      <c r="AE181" s="47" t="n">
        <f aca="false">MIN(AD181,Sorted!$G$8)</f>
        <v>0</v>
      </c>
      <c r="AF181" s="47" t="n">
        <f aca="false">MAX(0,MIN(AD181-AE181,$C181-(H181+L181+P181+T181+X181+AB181)))</f>
        <v>0</v>
      </c>
      <c r="AG181" s="47" t="n">
        <f aca="false">ROUND(AD181-AE181-AF181,2)</f>
        <v>0</v>
      </c>
      <c r="AH181" s="47" t="n">
        <f aca="false">ROUND(AK180*(1+Sorted!$H$9),2)</f>
        <v>0</v>
      </c>
      <c r="AI181" s="47" t="n">
        <f aca="false">MIN(AH181,Sorted!$G$9)</f>
        <v>0</v>
      </c>
      <c r="AJ181" s="47" t="n">
        <f aca="false">MAX(0,MIN(AH181-AI181,$C181-(H181+L181+P181+T181+X181+AB181+AF181)))</f>
        <v>0</v>
      </c>
      <c r="AK181" s="47" t="n">
        <f aca="false">ROUND(AH181-AI181-AJ181,2)</f>
        <v>0</v>
      </c>
      <c r="AL181" s="47" t="n">
        <f aca="false">ROUND(AO180*(1+Sorted!$H$10),2)</f>
        <v>0</v>
      </c>
      <c r="AM181" s="47" t="n">
        <f aca="false">MIN(AL181,Sorted!$G$10)</f>
        <v>0</v>
      </c>
      <c r="AN181" s="47" t="n">
        <f aca="false">MAX(0,MIN(AL181-AM181,$C181-(H181+L181+P181+T181+X181+AB181+AF181+AJ181)))</f>
        <v>0</v>
      </c>
      <c r="AO181" s="47" t="n">
        <f aca="false">ROUND(AL181-AM181-AN181,2)</f>
        <v>0</v>
      </c>
      <c r="AP181" s="47" t="n">
        <f aca="false">ROUND(AS180*(1+Sorted!$H$11),2)</f>
        <v>0</v>
      </c>
      <c r="AQ181" s="47" t="n">
        <f aca="false">MIN(AP181,Sorted!$G$11)</f>
        <v>0</v>
      </c>
      <c r="AR181" s="47" t="n">
        <f aca="false">MAX(0,MIN(AP181-AQ181,$C181-(H181+L181+P181+T181+X181+AB181+AF181+AJ181+AN181)))</f>
        <v>0</v>
      </c>
      <c r="AS181" s="47" t="n">
        <f aca="false">ROUND(AP181-AQ181-AR181,2)</f>
        <v>0</v>
      </c>
    </row>
    <row r="182" customFormat="false" ht="15" hidden="false" customHeight="false" outlineLevel="0" collapsed="false">
      <c r="A182" s="45" t="n">
        <v>179</v>
      </c>
      <c r="B182" s="46" t="n">
        <f aca="false">EDATE('My Debts'!$C$7,A182-1)</f>
        <v>51745</v>
      </c>
      <c r="C182" s="47" t="n">
        <f aca="false">MAX(0,'My Debts'!$E$6-(G182+K182+O182+S182+W182+AA182+AE182+AI182+AM182+AQ182))</f>
        <v>730</v>
      </c>
      <c r="D182" s="47" t="n">
        <f aca="false">(F182+J182+N182+R182+V182+Z182+AD182+AH182+AL182+AP182)-(I182+M182+Q182+U182+Y182+AC182+AG182+AK182+AO182+AS182)</f>
        <v>0</v>
      </c>
      <c r="E182" s="48" t="n">
        <f aca="false">I182+M182+Q182+U182+Y182+AC182+AG182+AK182+AO182+AS182</f>
        <v>0</v>
      </c>
      <c r="F182" s="47" t="n">
        <f aca="false">ROUND(I181*(1+Sorted!$H$2),2)</f>
        <v>0</v>
      </c>
      <c r="G182" s="47" t="n">
        <f aca="false">MIN(F182,Sorted!$G$2)</f>
        <v>0</v>
      </c>
      <c r="H182" s="47" t="n">
        <f aca="false">MAX(0,MIN(F182-G182,$C182-(0)))</f>
        <v>0</v>
      </c>
      <c r="I182" s="47" t="n">
        <f aca="false">ROUND(F182-G182-H182,2)</f>
        <v>0</v>
      </c>
      <c r="J182" s="47" t="n">
        <f aca="false">ROUND(M181*(1+Sorted!$H$3),2)</f>
        <v>0</v>
      </c>
      <c r="K182" s="47" t="n">
        <f aca="false">MIN(J182,Sorted!$G$3)</f>
        <v>0</v>
      </c>
      <c r="L182" s="47" t="n">
        <f aca="false">MAX(0,MIN(J182-K182,$C182-(H182)))</f>
        <v>0</v>
      </c>
      <c r="M182" s="47" t="n">
        <f aca="false">ROUND(J182-K182-L182,2)</f>
        <v>0</v>
      </c>
      <c r="N182" s="47" t="n">
        <f aca="false">ROUND(Q181*(1+Sorted!$H$4),2)</f>
        <v>0</v>
      </c>
      <c r="O182" s="47" t="n">
        <f aca="false">MIN(N182,Sorted!$G$4)</f>
        <v>0</v>
      </c>
      <c r="P182" s="47" t="n">
        <f aca="false">MAX(0,MIN(N182-O182,$C182-(H182+L182)))</f>
        <v>0</v>
      </c>
      <c r="Q182" s="47" t="n">
        <f aca="false">ROUND(N182-O182-P182,2)</f>
        <v>0</v>
      </c>
      <c r="R182" s="47" t="n">
        <f aca="false">ROUND(U181*(1+Sorted!$H$5),2)</f>
        <v>0</v>
      </c>
      <c r="S182" s="47" t="n">
        <f aca="false">MIN(R182,Sorted!$G$5)</f>
        <v>0</v>
      </c>
      <c r="T182" s="47" t="n">
        <f aca="false">MAX(0,MIN(R182-S182,$C182-(H182+L182+P182)))</f>
        <v>0</v>
      </c>
      <c r="U182" s="47" t="n">
        <f aca="false">ROUND(R182-S182-T182,2)</f>
        <v>0</v>
      </c>
      <c r="V182" s="47" t="n">
        <f aca="false">ROUND(Y181*(1+Sorted!$H$6),2)</f>
        <v>0</v>
      </c>
      <c r="W182" s="47" t="n">
        <f aca="false">MIN(V182,Sorted!$G$6)</f>
        <v>0</v>
      </c>
      <c r="X182" s="47" t="n">
        <f aca="false">MAX(0,MIN(V182-W182,$C182-(H182+L182+P182+T182)))</f>
        <v>0</v>
      </c>
      <c r="Y182" s="47" t="n">
        <f aca="false">ROUND(V182-W182-X182,2)</f>
        <v>0</v>
      </c>
      <c r="Z182" s="47" t="n">
        <f aca="false">ROUND(AC181*(1+Sorted!$H$7),2)</f>
        <v>0</v>
      </c>
      <c r="AA182" s="47" t="n">
        <f aca="false">MIN(Z182,Sorted!$G$7)</f>
        <v>0</v>
      </c>
      <c r="AB182" s="47" t="n">
        <f aca="false">MAX(0,MIN(Z182-AA182,$C182-(H182+L182+P182+T182+X182)))</f>
        <v>0</v>
      </c>
      <c r="AC182" s="47" t="n">
        <f aca="false">ROUND(Z182-AA182-AB182,2)</f>
        <v>0</v>
      </c>
      <c r="AD182" s="47" t="n">
        <f aca="false">ROUND(AG181*(1+Sorted!$H$8),2)</f>
        <v>0</v>
      </c>
      <c r="AE182" s="47" t="n">
        <f aca="false">MIN(AD182,Sorted!$G$8)</f>
        <v>0</v>
      </c>
      <c r="AF182" s="47" t="n">
        <f aca="false">MAX(0,MIN(AD182-AE182,$C182-(H182+L182+P182+T182+X182+AB182)))</f>
        <v>0</v>
      </c>
      <c r="AG182" s="47" t="n">
        <f aca="false">ROUND(AD182-AE182-AF182,2)</f>
        <v>0</v>
      </c>
      <c r="AH182" s="47" t="n">
        <f aca="false">ROUND(AK181*(1+Sorted!$H$9),2)</f>
        <v>0</v>
      </c>
      <c r="AI182" s="47" t="n">
        <f aca="false">MIN(AH182,Sorted!$G$9)</f>
        <v>0</v>
      </c>
      <c r="AJ182" s="47" t="n">
        <f aca="false">MAX(0,MIN(AH182-AI182,$C182-(H182+L182+P182+T182+X182+AB182+AF182)))</f>
        <v>0</v>
      </c>
      <c r="AK182" s="47" t="n">
        <f aca="false">ROUND(AH182-AI182-AJ182,2)</f>
        <v>0</v>
      </c>
      <c r="AL182" s="47" t="n">
        <f aca="false">ROUND(AO181*(1+Sorted!$H$10),2)</f>
        <v>0</v>
      </c>
      <c r="AM182" s="47" t="n">
        <f aca="false">MIN(AL182,Sorted!$G$10)</f>
        <v>0</v>
      </c>
      <c r="AN182" s="47" t="n">
        <f aca="false">MAX(0,MIN(AL182-AM182,$C182-(H182+L182+P182+T182+X182+AB182+AF182+AJ182)))</f>
        <v>0</v>
      </c>
      <c r="AO182" s="47" t="n">
        <f aca="false">ROUND(AL182-AM182-AN182,2)</f>
        <v>0</v>
      </c>
      <c r="AP182" s="47" t="n">
        <f aca="false">ROUND(AS181*(1+Sorted!$H$11),2)</f>
        <v>0</v>
      </c>
      <c r="AQ182" s="47" t="n">
        <f aca="false">MIN(AP182,Sorted!$G$11)</f>
        <v>0</v>
      </c>
      <c r="AR182" s="47" t="n">
        <f aca="false">MAX(0,MIN(AP182-AQ182,$C182-(H182+L182+P182+T182+X182+AB182+AF182+AJ182+AN182)))</f>
        <v>0</v>
      </c>
      <c r="AS182" s="47" t="n">
        <f aca="false">ROUND(AP182-AQ182-AR182,2)</f>
        <v>0</v>
      </c>
    </row>
    <row r="183" customFormat="false" ht="15" hidden="false" customHeight="false" outlineLevel="0" collapsed="false">
      <c r="A183" s="45" t="n">
        <v>180</v>
      </c>
      <c r="B183" s="46" t="n">
        <f aca="false">EDATE('My Debts'!$C$7,A183-1)</f>
        <v>51775</v>
      </c>
      <c r="C183" s="47" t="n">
        <f aca="false">MAX(0,'My Debts'!$E$6-(G183+K183+O183+S183+W183+AA183+AE183+AI183+AM183+AQ183))</f>
        <v>730</v>
      </c>
      <c r="D183" s="47" t="n">
        <f aca="false">(F183+J183+N183+R183+V183+Z183+AD183+AH183+AL183+AP183)-(I183+M183+Q183+U183+Y183+AC183+AG183+AK183+AO183+AS183)</f>
        <v>0</v>
      </c>
      <c r="E183" s="48" t="n">
        <f aca="false">I183+M183+Q183+U183+Y183+AC183+AG183+AK183+AO183+AS183</f>
        <v>0</v>
      </c>
      <c r="F183" s="47" t="n">
        <f aca="false">ROUND(I182*(1+Sorted!$H$2),2)</f>
        <v>0</v>
      </c>
      <c r="G183" s="47" t="n">
        <f aca="false">MIN(F183,Sorted!$G$2)</f>
        <v>0</v>
      </c>
      <c r="H183" s="47" t="n">
        <f aca="false">MAX(0,MIN(F183-G183,$C183-(0)))</f>
        <v>0</v>
      </c>
      <c r="I183" s="47" t="n">
        <f aca="false">ROUND(F183-G183-H183,2)</f>
        <v>0</v>
      </c>
      <c r="J183" s="47" t="n">
        <f aca="false">ROUND(M182*(1+Sorted!$H$3),2)</f>
        <v>0</v>
      </c>
      <c r="K183" s="47" t="n">
        <f aca="false">MIN(J183,Sorted!$G$3)</f>
        <v>0</v>
      </c>
      <c r="L183" s="47" t="n">
        <f aca="false">MAX(0,MIN(J183-K183,$C183-(H183)))</f>
        <v>0</v>
      </c>
      <c r="M183" s="47" t="n">
        <f aca="false">ROUND(J183-K183-L183,2)</f>
        <v>0</v>
      </c>
      <c r="N183" s="47" t="n">
        <f aca="false">ROUND(Q182*(1+Sorted!$H$4),2)</f>
        <v>0</v>
      </c>
      <c r="O183" s="47" t="n">
        <f aca="false">MIN(N183,Sorted!$G$4)</f>
        <v>0</v>
      </c>
      <c r="P183" s="47" t="n">
        <f aca="false">MAX(0,MIN(N183-O183,$C183-(H183+L183)))</f>
        <v>0</v>
      </c>
      <c r="Q183" s="47" t="n">
        <f aca="false">ROUND(N183-O183-P183,2)</f>
        <v>0</v>
      </c>
      <c r="R183" s="47" t="n">
        <f aca="false">ROUND(U182*(1+Sorted!$H$5),2)</f>
        <v>0</v>
      </c>
      <c r="S183" s="47" t="n">
        <f aca="false">MIN(R183,Sorted!$G$5)</f>
        <v>0</v>
      </c>
      <c r="T183" s="47" t="n">
        <f aca="false">MAX(0,MIN(R183-S183,$C183-(H183+L183+P183)))</f>
        <v>0</v>
      </c>
      <c r="U183" s="47" t="n">
        <f aca="false">ROUND(R183-S183-T183,2)</f>
        <v>0</v>
      </c>
      <c r="V183" s="47" t="n">
        <f aca="false">ROUND(Y182*(1+Sorted!$H$6),2)</f>
        <v>0</v>
      </c>
      <c r="W183" s="47" t="n">
        <f aca="false">MIN(V183,Sorted!$G$6)</f>
        <v>0</v>
      </c>
      <c r="X183" s="47" t="n">
        <f aca="false">MAX(0,MIN(V183-W183,$C183-(H183+L183+P183+T183)))</f>
        <v>0</v>
      </c>
      <c r="Y183" s="47" t="n">
        <f aca="false">ROUND(V183-W183-X183,2)</f>
        <v>0</v>
      </c>
      <c r="Z183" s="47" t="n">
        <f aca="false">ROUND(AC182*(1+Sorted!$H$7),2)</f>
        <v>0</v>
      </c>
      <c r="AA183" s="47" t="n">
        <f aca="false">MIN(Z183,Sorted!$G$7)</f>
        <v>0</v>
      </c>
      <c r="AB183" s="47" t="n">
        <f aca="false">MAX(0,MIN(Z183-AA183,$C183-(H183+L183+P183+T183+X183)))</f>
        <v>0</v>
      </c>
      <c r="AC183" s="47" t="n">
        <f aca="false">ROUND(Z183-AA183-AB183,2)</f>
        <v>0</v>
      </c>
      <c r="AD183" s="47" t="n">
        <f aca="false">ROUND(AG182*(1+Sorted!$H$8),2)</f>
        <v>0</v>
      </c>
      <c r="AE183" s="47" t="n">
        <f aca="false">MIN(AD183,Sorted!$G$8)</f>
        <v>0</v>
      </c>
      <c r="AF183" s="47" t="n">
        <f aca="false">MAX(0,MIN(AD183-AE183,$C183-(H183+L183+P183+T183+X183+AB183)))</f>
        <v>0</v>
      </c>
      <c r="AG183" s="47" t="n">
        <f aca="false">ROUND(AD183-AE183-AF183,2)</f>
        <v>0</v>
      </c>
      <c r="AH183" s="47" t="n">
        <f aca="false">ROUND(AK182*(1+Sorted!$H$9),2)</f>
        <v>0</v>
      </c>
      <c r="AI183" s="47" t="n">
        <f aca="false">MIN(AH183,Sorted!$G$9)</f>
        <v>0</v>
      </c>
      <c r="AJ183" s="47" t="n">
        <f aca="false">MAX(0,MIN(AH183-AI183,$C183-(H183+L183+P183+T183+X183+AB183+AF183)))</f>
        <v>0</v>
      </c>
      <c r="AK183" s="47" t="n">
        <f aca="false">ROUND(AH183-AI183-AJ183,2)</f>
        <v>0</v>
      </c>
      <c r="AL183" s="47" t="n">
        <f aca="false">ROUND(AO182*(1+Sorted!$H$10),2)</f>
        <v>0</v>
      </c>
      <c r="AM183" s="47" t="n">
        <f aca="false">MIN(AL183,Sorted!$G$10)</f>
        <v>0</v>
      </c>
      <c r="AN183" s="47" t="n">
        <f aca="false">MAX(0,MIN(AL183-AM183,$C183-(H183+L183+P183+T183+X183+AB183+AF183+AJ183)))</f>
        <v>0</v>
      </c>
      <c r="AO183" s="47" t="n">
        <f aca="false">ROUND(AL183-AM183-AN183,2)</f>
        <v>0</v>
      </c>
      <c r="AP183" s="47" t="n">
        <f aca="false">ROUND(AS182*(1+Sorted!$H$11),2)</f>
        <v>0</v>
      </c>
      <c r="AQ183" s="47" t="n">
        <f aca="false">MIN(AP183,Sorted!$G$11)</f>
        <v>0</v>
      </c>
      <c r="AR183" s="47" t="n">
        <f aca="false">MAX(0,MIN(AP183-AQ183,$C183-(H183+L183+P183+T183+X183+AB183+AF183+AJ183+AN183)))</f>
        <v>0</v>
      </c>
      <c r="AS183" s="47" t="n">
        <f aca="false">ROUND(AP183-AQ183-AR183,2)</f>
        <v>0</v>
      </c>
    </row>
    <row r="184" customFormat="false" ht="15" hidden="false" customHeight="false" outlineLevel="0" collapsed="false">
      <c r="A184" s="45" t="n">
        <v>181</v>
      </c>
      <c r="B184" s="46" t="n">
        <f aca="false">EDATE('My Debts'!$C$7,A184-1)</f>
        <v>51806</v>
      </c>
      <c r="C184" s="47" t="n">
        <f aca="false">MAX(0,'My Debts'!$E$6-(G184+K184+O184+S184+W184+AA184+AE184+AI184+AM184+AQ184))</f>
        <v>730</v>
      </c>
      <c r="D184" s="47" t="n">
        <f aca="false">(F184+J184+N184+R184+V184+Z184+AD184+AH184+AL184+AP184)-(I184+M184+Q184+U184+Y184+AC184+AG184+AK184+AO184+AS184)</f>
        <v>0</v>
      </c>
      <c r="E184" s="48" t="n">
        <f aca="false">I184+M184+Q184+U184+Y184+AC184+AG184+AK184+AO184+AS184</f>
        <v>0</v>
      </c>
      <c r="F184" s="47" t="n">
        <f aca="false">ROUND(I183*(1+Sorted!$H$2),2)</f>
        <v>0</v>
      </c>
      <c r="G184" s="47" t="n">
        <f aca="false">MIN(F184,Sorted!$G$2)</f>
        <v>0</v>
      </c>
      <c r="H184" s="47" t="n">
        <f aca="false">MAX(0,MIN(F184-G184,$C184-(0)))</f>
        <v>0</v>
      </c>
      <c r="I184" s="47" t="n">
        <f aca="false">ROUND(F184-G184-H184,2)</f>
        <v>0</v>
      </c>
      <c r="J184" s="47" t="n">
        <f aca="false">ROUND(M183*(1+Sorted!$H$3),2)</f>
        <v>0</v>
      </c>
      <c r="K184" s="47" t="n">
        <f aca="false">MIN(J184,Sorted!$G$3)</f>
        <v>0</v>
      </c>
      <c r="L184" s="47" t="n">
        <f aca="false">MAX(0,MIN(J184-K184,$C184-(H184)))</f>
        <v>0</v>
      </c>
      <c r="M184" s="47" t="n">
        <f aca="false">ROUND(J184-K184-L184,2)</f>
        <v>0</v>
      </c>
      <c r="N184" s="47" t="n">
        <f aca="false">ROUND(Q183*(1+Sorted!$H$4),2)</f>
        <v>0</v>
      </c>
      <c r="O184" s="47" t="n">
        <f aca="false">MIN(N184,Sorted!$G$4)</f>
        <v>0</v>
      </c>
      <c r="P184" s="47" t="n">
        <f aca="false">MAX(0,MIN(N184-O184,$C184-(H184+L184)))</f>
        <v>0</v>
      </c>
      <c r="Q184" s="47" t="n">
        <f aca="false">ROUND(N184-O184-P184,2)</f>
        <v>0</v>
      </c>
      <c r="R184" s="47" t="n">
        <f aca="false">ROUND(U183*(1+Sorted!$H$5),2)</f>
        <v>0</v>
      </c>
      <c r="S184" s="47" t="n">
        <f aca="false">MIN(R184,Sorted!$G$5)</f>
        <v>0</v>
      </c>
      <c r="T184" s="47" t="n">
        <f aca="false">MAX(0,MIN(R184-S184,$C184-(H184+L184+P184)))</f>
        <v>0</v>
      </c>
      <c r="U184" s="47" t="n">
        <f aca="false">ROUND(R184-S184-T184,2)</f>
        <v>0</v>
      </c>
      <c r="V184" s="47" t="n">
        <f aca="false">ROUND(Y183*(1+Sorted!$H$6),2)</f>
        <v>0</v>
      </c>
      <c r="W184" s="47" t="n">
        <f aca="false">MIN(V184,Sorted!$G$6)</f>
        <v>0</v>
      </c>
      <c r="X184" s="47" t="n">
        <f aca="false">MAX(0,MIN(V184-W184,$C184-(H184+L184+P184+T184)))</f>
        <v>0</v>
      </c>
      <c r="Y184" s="47" t="n">
        <f aca="false">ROUND(V184-W184-X184,2)</f>
        <v>0</v>
      </c>
      <c r="Z184" s="47" t="n">
        <f aca="false">ROUND(AC183*(1+Sorted!$H$7),2)</f>
        <v>0</v>
      </c>
      <c r="AA184" s="47" t="n">
        <f aca="false">MIN(Z184,Sorted!$G$7)</f>
        <v>0</v>
      </c>
      <c r="AB184" s="47" t="n">
        <f aca="false">MAX(0,MIN(Z184-AA184,$C184-(H184+L184+P184+T184+X184)))</f>
        <v>0</v>
      </c>
      <c r="AC184" s="47" t="n">
        <f aca="false">ROUND(Z184-AA184-AB184,2)</f>
        <v>0</v>
      </c>
      <c r="AD184" s="47" t="n">
        <f aca="false">ROUND(AG183*(1+Sorted!$H$8),2)</f>
        <v>0</v>
      </c>
      <c r="AE184" s="47" t="n">
        <f aca="false">MIN(AD184,Sorted!$G$8)</f>
        <v>0</v>
      </c>
      <c r="AF184" s="47" t="n">
        <f aca="false">MAX(0,MIN(AD184-AE184,$C184-(H184+L184+P184+T184+X184+AB184)))</f>
        <v>0</v>
      </c>
      <c r="AG184" s="47" t="n">
        <f aca="false">ROUND(AD184-AE184-AF184,2)</f>
        <v>0</v>
      </c>
      <c r="AH184" s="47" t="n">
        <f aca="false">ROUND(AK183*(1+Sorted!$H$9),2)</f>
        <v>0</v>
      </c>
      <c r="AI184" s="47" t="n">
        <f aca="false">MIN(AH184,Sorted!$G$9)</f>
        <v>0</v>
      </c>
      <c r="AJ184" s="47" t="n">
        <f aca="false">MAX(0,MIN(AH184-AI184,$C184-(H184+L184+P184+T184+X184+AB184+AF184)))</f>
        <v>0</v>
      </c>
      <c r="AK184" s="47" t="n">
        <f aca="false">ROUND(AH184-AI184-AJ184,2)</f>
        <v>0</v>
      </c>
      <c r="AL184" s="47" t="n">
        <f aca="false">ROUND(AO183*(1+Sorted!$H$10),2)</f>
        <v>0</v>
      </c>
      <c r="AM184" s="47" t="n">
        <f aca="false">MIN(AL184,Sorted!$G$10)</f>
        <v>0</v>
      </c>
      <c r="AN184" s="47" t="n">
        <f aca="false">MAX(0,MIN(AL184-AM184,$C184-(H184+L184+P184+T184+X184+AB184+AF184+AJ184)))</f>
        <v>0</v>
      </c>
      <c r="AO184" s="47" t="n">
        <f aca="false">ROUND(AL184-AM184-AN184,2)</f>
        <v>0</v>
      </c>
      <c r="AP184" s="47" t="n">
        <f aca="false">ROUND(AS183*(1+Sorted!$H$11),2)</f>
        <v>0</v>
      </c>
      <c r="AQ184" s="47" t="n">
        <f aca="false">MIN(AP184,Sorted!$G$11)</f>
        <v>0</v>
      </c>
      <c r="AR184" s="47" t="n">
        <f aca="false">MAX(0,MIN(AP184-AQ184,$C184-(H184+L184+P184+T184+X184+AB184+AF184+AJ184+AN184)))</f>
        <v>0</v>
      </c>
      <c r="AS184" s="47" t="n">
        <f aca="false">ROUND(AP184-AQ184-AR184,2)</f>
        <v>0</v>
      </c>
    </row>
    <row r="185" customFormat="false" ht="15" hidden="false" customHeight="false" outlineLevel="0" collapsed="false">
      <c r="A185" s="45" t="n">
        <v>182</v>
      </c>
      <c r="B185" s="46" t="n">
        <f aca="false">EDATE('My Debts'!$C$7,A185-1)</f>
        <v>51836</v>
      </c>
      <c r="C185" s="47" t="n">
        <f aca="false">MAX(0,'My Debts'!$E$6-(G185+K185+O185+S185+W185+AA185+AE185+AI185+AM185+AQ185))</f>
        <v>730</v>
      </c>
      <c r="D185" s="47" t="n">
        <f aca="false">(F185+J185+N185+R185+V185+Z185+AD185+AH185+AL185+AP185)-(I185+M185+Q185+U185+Y185+AC185+AG185+AK185+AO185+AS185)</f>
        <v>0</v>
      </c>
      <c r="E185" s="48" t="n">
        <f aca="false">I185+M185+Q185+U185+Y185+AC185+AG185+AK185+AO185+AS185</f>
        <v>0</v>
      </c>
      <c r="F185" s="47" t="n">
        <f aca="false">ROUND(I184*(1+Sorted!$H$2),2)</f>
        <v>0</v>
      </c>
      <c r="G185" s="47" t="n">
        <f aca="false">MIN(F185,Sorted!$G$2)</f>
        <v>0</v>
      </c>
      <c r="H185" s="47" t="n">
        <f aca="false">MAX(0,MIN(F185-G185,$C185-(0)))</f>
        <v>0</v>
      </c>
      <c r="I185" s="47" t="n">
        <f aca="false">ROUND(F185-G185-H185,2)</f>
        <v>0</v>
      </c>
      <c r="J185" s="47" t="n">
        <f aca="false">ROUND(M184*(1+Sorted!$H$3),2)</f>
        <v>0</v>
      </c>
      <c r="K185" s="47" t="n">
        <f aca="false">MIN(J185,Sorted!$G$3)</f>
        <v>0</v>
      </c>
      <c r="L185" s="47" t="n">
        <f aca="false">MAX(0,MIN(J185-K185,$C185-(H185)))</f>
        <v>0</v>
      </c>
      <c r="M185" s="47" t="n">
        <f aca="false">ROUND(J185-K185-L185,2)</f>
        <v>0</v>
      </c>
      <c r="N185" s="47" t="n">
        <f aca="false">ROUND(Q184*(1+Sorted!$H$4),2)</f>
        <v>0</v>
      </c>
      <c r="O185" s="47" t="n">
        <f aca="false">MIN(N185,Sorted!$G$4)</f>
        <v>0</v>
      </c>
      <c r="P185" s="47" t="n">
        <f aca="false">MAX(0,MIN(N185-O185,$C185-(H185+L185)))</f>
        <v>0</v>
      </c>
      <c r="Q185" s="47" t="n">
        <f aca="false">ROUND(N185-O185-P185,2)</f>
        <v>0</v>
      </c>
      <c r="R185" s="47" t="n">
        <f aca="false">ROUND(U184*(1+Sorted!$H$5),2)</f>
        <v>0</v>
      </c>
      <c r="S185" s="47" t="n">
        <f aca="false">MIN(R185,Sorted!$G$5)</f>
        <v>0</v>
      </c>
      <c r="T185" s="47" t="n">
        <f aca="false">MAX(0,MIN(R185-S185,$C185-(H185+L185+P185)))</f>
        <v>0</v>
      </c>
      <c r="U185" s="47" t="n">
        <f aca="false">ROUND(R185-S185-T185,2)</f>
        <v>0</v>
      </c>
      <c r="V185" s="47" t="n">
        <f aca="false">ROUND(Y184*(1+Sorted!$H$6),2)</f>
        <v>0</v>
      </c>
      <c r="W185" s="47" t="n">
        <f aca="false">MIN(V185,Sorted!$G$6)</f>
        <v>0</v>
      </c>
      <c r="X185" s="47" t="n">
        <f aca="false">MAX(0,MIN(V185-W185,$C185-(H185+L185+P185+T185)))</f>
        <v>0</v>
      </c>
      <c r="Y185" s="47" t="n">
        <f aca="false">ROUND(V185-W185-X185,2)</f>
        <v>0</v>
      </c>
      <c r="Z185" s="47" t="n">
        <f aca="false">ROUND(AC184*(1+Sorted!$H$7),2)</f>
        <v>0</v>
      </c>
      <c r="AA185" s="47" t="n">
        <f aca="false">MIN(Z185,Sorted!$G$7)</f>
        <v>0</v>
      </c>
      <c r="AB185" s="47" t="n">
        <f aca="false">MAX(0,MIN(Z185-AA185,$C185-(H185+L185+P185+T185+X185)))</f>
        <v>0</v>
      </c>
      <c r="AC185" s="47" t="n">
        <f aca="false">ROUND(Z185-AA185-AB185,2)</f>
        <v>0</v>
      </c>
      <c r="AD185" s="47" t="n">
        <f aca="false">ROUND(AG184*(1+Sorted!$H$8),2)</f>
        <v>0</v>
      </c>
      <c r="AE185" s="47" t="n">
        <f aca="false">MIN(AD185,Sorted!$G$8)</f>
        <v>0</v>
      </c>
      <c r="AF185" s="47" t="n">
        <f aca="false">MAX(0,MIN(AD185-AE185,$C185-(H185+L185+P185+T185+X185+AB185)))</f>
        <v>0</v>
      </c>
      <c r="AG185" s="47" t="n">
        <f aca="false">ROUND(AD185-AE185-AF185,2)</f>
        <v>0</v>
      </c>
      <c r="AH185" s="47" t="n">
        <f aca="false">ROUND(AK184*(1+Sorted!$H$9),2)</f>
        <v>0</v>
      </c>
      <c r="AI185" s="47" t="n">
        <f aca="false">MIN(AH185,Sorted!$G$9)</f>
        <v>0</v>
      </c>
      <c r="AJ185" s="47" t="n">
        <f aca="false">MAX(0,MIN(AH185-AI185,$C185-(H185+L185+P185+T185+X185+AB185+AF185)))</f>
        <v>0</v>
      </c>
      <c r="AK185" s="47" t="n">
        <f aca="false">ROUND(AH185-AI185-AJ185,2)</f>
        <v>0</v>
      </c>
      <c r="AL185" s="47" t="n">
        <f aca="false">ROUND(AO184*(1+Sorted!$H$10),2)</f>
        <v>0</v>
      </c>
      <c r="AM185" s="47" t="n">
        <f aca="false">MIN(AL185,Sorted!$G$10)</f>
        <v>0</v>
      </c>
      <c r="AN185" s="47" t="n">
        <f aca="false">MAX(0,MIN(AL185-AM185,$C185-(H185+L185+P185+T185+X185+AB185+AF185+AJ185)))</f>
        <v>0</v>
      </c>
      <c r="AO185" s="47" t="n">
        <f aca="false">ROUND(AL185-AM185-AN185,2)</f>
        <v>0</v>
      </c>
      <c r="AP185" s="47" t="n">
        <f aca="false">ROUND(AS184*(1+Sorted!$H$11),2)</f>
        <v>0</v>
      </c>
      <c r="AQ185" s="47" t="n">
        <f aca="false">MIN(AP185,Sorted!$G$11)</f>
        <v>0</v>
      </c>
      <c r="AR185" s="47" t="n">
        <f aca="false">MAX(0,MIN(AP185-AQ185,$C185-(H185+L185+P185+T185+X185+AB185+AF185+AJ185+AN185)))</f>
        <v>0</v>
      </c>
      <c r="AS185" s="47" t="n">
        <f aca="false">ROUND(AP185-AQ185-AR185,2)</f>
        <v>0</v>
      </c>
    </row>
    <row r="186" customFormat="false" ht="15" hidden="false" customHeight="false" outlineLevel="0" collapsed="false">
      <c r="A186" s="45" t="n">
        <v>183</v>
      </c>
      <c r="B186" s="46" t="n">
        <f aca="false">EDATE('My Debts'!$C$7,A186-1)</f>
        <v>51867</v>
      </c>
      <c r="C186" s="47" t="n">
        <f aca="false">MAX(0,'My Debts'!$E$6-(G186+K186+O186+S186+W186+AA186+AE186+AI186+AM186+AQ186))</f>
        <v>730</v>
      </c>
      <c r="D186" s="47" t="n">
        <f aca="false">(F186+J186+N186+R186+V186+Z186+AD186+AH186+AL186+AP186)-(I186+M186+Q186+U186+Y186+AC186+AG186+AK186+AO186+AS186)</f>
        <v>0</v>
      </c>
      <c r="E186" s="48" t="n">
        <f aca="false">I186+M186+Q186+U186+Y186+AC186+AG186+AK186+AO186+AS186</f>
        <v>0</v>
      </c>
      <c r="F186" s="47" t="n">
        <f aca="false">ROUND(I185*(1+Sorted!$H$2),2)</f>
        <v>0</v>
      </c>
      <c r="G186" s="47" t="n">
        <f aca="false">MIN(F186,Sorted!$G$2)</f>
        <v>0</v>
      </c>
      <c r="H186" s="47" t="n">
        <f aca="false">MAX(0,MIN(F186-G186,$C186-(0)))</f>
        <v>0</v>
      </c>
      <c r="I186" s="47" t="n">
        <f aca="false">ROUND(F186-G186-H186,2)</f>
        <v>0</v>
      </c>
      <c r="J186" s="47" t="n">
        <f aca="false">ROUND(M185*(1+Sorted!$H$3),2)</f>
        <v>0</v>
      </c>
      <c r="K186" s="47" t="n">
        <f aca="false">MIN(J186,Sorted!$G$3)</f>
        <v>0</v>
      </c>
      <c r="L186" s="47" t="n">
        <f aca="false">MAX(0,MIN(J186-K186,$C186-(H186)))</f>
        <v>0</v>
      </c>
      <c r="M186" s="47" t="n">
        <f aca="false">ROUND(J186-K186-L186,2)</f>
        <v>0</v>
      </c>
      <c r="N186" s="47" t="n">
        <f aca="false">ROUND(Q185*(1+Sorted!$H$4),2)</f>
        <v>0</v>
      </c>
      <c r="O186" s="47" t="n">
        <f aca="false">MIN(N186,Sorted!$G$4)</f>
        <v>0</v>
      </c>
      <c r="P186" s="47" t="n">
        <f aca="false">MAX(0,MIN(N186-O186,$C186-(H186+L186)))</f>
        <v>0</v>
      </c>
      <c r="Q186" s="47" t="n">
        <f aca="false">ROUND(N186-O186-P186,2)</f>
        <v>0</v>
      </c>
      <c r="R186" s="47" t="n">
        <f aca="false">ROUND(U185*(1+Sorted!$H$5),2)</f>
        <v>0</v>
      </c>
      <c r="S186" s="47" t="n">
        <f aca="false">MIN(R186,Sorted!$G$5)</f>
        <v>0</v>
      </c>
      <c r="T186" s="47" t="n">
        <f aca="false">MAX(0,MIN(R186-S186,$C186-(H186+L186+P186)))</f>
        <v>0</v>
      </c>
      <c r="U186" s="47" t="n">
        <f aca="false">ROUND(R186-S186-T186,2)</f>
        <v>0</v>
      </c>
      <c r="V186" s="47" t="n">
        <f aca="false">ROUND(Y185*(1+Sorted!$H$6),2)</f>
        <v>0</v>
      </c>
      <c r="W186" s="47" t="n">
        <f aca="false">MIN(V186,Sorted!$G$6)</f>
        <v>0</v>
      </c>
      <c r="X186" s="47" t="n">
        <f aca="false">MAX(0,MIN(V186-W186,$C186-(H186+L186+P186+T186)))</f>
        <v>0</v>
      </c>
      <c r="Y186" s="47" t="n">
        <f aca="false">ROUND(V186-W186-X186,2)</f>
        <v>0</v>
      </c>
      <c r="Z186" s="47" t="n">
        <f aca="false">ROUND(AC185*(1+Sorted!$H$7),2)</f>
        <v>0</v>
      </c>
      <c r="AA186" s="47" t="n">
        <f aca="false">MIN(Z186,Sorted!$G$7)</f>
        <v>0</v>
      </c>
      <c r="AB186" s="47" t="n">
        <f aca="false">MAX(0,MIN(Z186-AA186,$C186-(H186+L186+P186+T186+X186)))</f>
        <v>0</v>
      </c>
      <c r="AC186" s="47" t="n">
        <f aca="false">ROUND(Z186-AA186-AB186,2)</f>
        <v>0</v>
      </c>
      <c r="AD186" s="47" t="n">
        <f aca="false">ROUND(AG185*(1+Sorted!$H$8),2)</f>
        <v>0</v>
      </c>
      <c r="AE186" s="47" t="n">
        <f aca="false">MIN(AD186,Sorted!$G$8)</f>
        <v>0</v>
      </c>
      <c r="AF186" s="47" t="n">
        <f aca="false">MAX(0,MIN(AD186-AE186,$C186-(H186+L186+P186+T186+X186+AB186)))</f>
        <v>0</v>
      </c>
      <c r="AG186" s="47" t="n">
        <f aca="false">ROUND(AD186-AE186-AF186,2)</f>
        <v>0</v>
      </c>
      <c r="AH186" s="47" t="n">
        <f aca="false">ROUND(AK185*(1+Sorted!$H$9),2)</f>
        <v>0</v>
      </c>
      <c r="AI186" s="47" t="n">
        <f aca="false">MIN(AH186,Sorted!$G$9)</f>
        <v>0</v>
      </c>
      <c r="AJ186" s="47" t="n">
        <f aca="false">MAX(0,MIN(AH186-AI186,$C186-(H186+L186+P186+T186+X186+AB186+AF186)))</f>
        <v>0</v>
      </c>
      <c r="AK186" s="47" t="n">
        <f aca="false">ROUND(AH186-AI186-AJ186,2)</f>
        <v>0</v>
      </c>
      <c r="AL186" s="47" t="n">
        <f aca="false">ROUND(AO185*(1+Sorted!$H$10),2)</f>
        <v>0</v>
      </c>
      <c r="AM186" s="47" t="n">
        <f aca="false">MIN(AL186,Sorted!$G$10)</f>
        <v>0</v>
      </c>
      <c r="AN186" s="47" t="n">
        <f aca="false">MAX(0,MIN(AL186-AM186,$C186-(H186+L186+P186+T186+X186+AB186+AF186+AJ186)))</f>
        <v>0</v>
      </c>
      <c r="AO186" s="47" t="n">
        <f aca="false">ROUND(AL186-AM186-AN186,2)</f>
        <v>0</v>
      </c>
      <c r="AP186" s="47" t="n">
        <f aca="false">ROUND(AS185*(1+Sorted!$H$11),2)</f>
        <v>0</v>
      </c>
      <c r="AQ186" s="47" t="n">
        <f aca="false">MIN(AP186,Sorted!$G$11)</f>
        <v>0</v>
      </c>
      <c r="AR186" s="47" t="n">
        <f aca="false">MAX(0,MIN(AP186-AQ186,$C186-(H186+L186+P186+T186+X186+AB186+AF186+AJ186+AN186)))</f>
        <v>0</v>
      </c>
      <c r="AS186" s="47" t="n">
        <f aca="false">ROUND(AP186-AQ186-AR186,2)</f>
        <v>0</v>
      </c>
    </row>
    <row r="187" customFormat="false" ht="15" hidden="false" customHeight="false" outlineLevel="0" collapsed="false">
      <c r="A187" s="45" t="n">
        <v>184</v>
      </c>
      <c r="B187" s="46" t="n">
        <f aca="false">EDATE('My Debts'!$C$7,A187-1)</f>
        <v>51898</v>
      </c>
      <c r="C187" s="47" t="n">
        <f aca="false">MAX(0,'My Debts'!$E$6-(G187+K187+O187+S187+W187+AA187+AE187+AI187+AM187+AQ187))</f>
        <v>730</v>
      </c>
      <c r="D187" s="47" t="n">
        <f aca="false">(F187+J187+N187+R187+V187+Z187+AD187+AH187+AL187+AP187)-(I187+M187+Q187+U187+Y187+AC187+AG187+AK187+AO187+AS187)</f>
        <v>0</v>
      </c>
      <c r="E187" s="48" t="n">
        <f aca="false">I187+M187+Q187+U187+Y187+AC187+AG187+AK187+AO187+AS187</f>
        <v>0</v>
      </c>
      <c r="F187" s="47" t="n">
        <f aca="false">ROUND(I186*(1+Sorted!$H$2),2)</f>
        <v>0</v>
      </c>
      <c r="G187" s="47" t="n">
        <f aca="false">MIN(F187,Sorted!$G$2)</f>
        <v>0</v>
      </c>
      <c r="H187" s="47" t="n">
        <f aca="false">MAX(0,MIN(F187-G187,$C187-(0)))</f>
        <v>0</v>
      </c>
      <c r="I187" s="47" t="n">
        <f aca="false">ROUND(F187-G187-H187,2)</f>
        <v>0</v>
      </c>
      <c r="J187" s="47" t="n">
        <f aca="false">ROUND(M186*(1+Sorted!$H$3),2)</f>
        <v>0</v>
      </c>
      <c r="K187" s="47" t="n">
        <f aca="false">MIN(J187,Sorted!$G$3)</f>
        <v>0</v>
      </c>
      <c r="L187" s="47" t="n">
        <f aca="false">MAX(0,MIN(J187-K187,$C187-(H187)))</f>
        <v>0</v>
      </c>
      <c r="M187" s="47" t="n">
        <f aca="false">ROUND(J187-K187-L187,2)</f>
        <v>0</v>
      </c>
      <c r="N187" s="47" t="n">
        <f aca="false">ROUND(Q186*(1+Sorted!$H$4),2)</f>
        <v>0</v>
      </c>
      <c r="O187" s="47" t="n">
        <f aca="false">MIN(N187,Sorted!$G$4)</f>
        <v>0</v>
      </c>
      <c r="P187" s="47" t="n">
        <f aca="false">MAX(0,MIN(N187-O187,$C187-(H187+L187)))</f>
        <v>0</v>
      </c>
      <c r="Q187" s="47" t="n">
        <f aca="false">ROUND(N187-O187-P187,2)</f>
        <v>0</v>
      </c>
      <c r="R187" s="47" t="n">
        <f aca="false">ROUND(U186*(1+Sorted!$H$5),2)</f>
        <v>0</v>
      </c>
      <c r="S187" s="47" t="n">
        <f aca="false">MIN(R187,Sorted!$G$5)</f>
        <v>0</v>
      </c>
      <c r="T187" s="47" t="n">
        <f aca="false">MAX(0,MIN(R187-S187,$C187-(H187+L187+P187)))</f>
        <v>0</v>
      </c>
      <c r="U187" s="47" t="n">
        <f aca="false">ROUND(R187-S187-T187,2)</f>
        <v>0</v>
      </c>
      <c r="V187" s="47" t="n">
        <f aca="false">ROUND(Y186*(1+Sorted!$H$6),2)</f>
        <v>0</v>
      </c>
      <c r="W187" s="47" t="n">
        <f aca="false">MIN(V187,Sorted!$G$6)</f>
        <v>0</v>
      </c>
      <c r="X187" s="47" t="n">
        <f aca="false">MAX(0,MIN(V187-W187,$C187-(H187+L187+P187+T187)))</f>
        <v>0</v>
      </c>
      <c r="Y187" s="47" t="n">
        <f aca="false">ROUND(V187-W187-X187,2)</f>
        <v>0</v>
      </c>
      <c r="Z187" s="47" t="n">
        <f aca="false">ROUND(AC186*(1+Sorted!$H$7),2)</f>
        <v>0</v>
      </c>
      <c r="AA187" s="47" t="n">
        <f aca="false">MIN(Z187,Sorted!$G$7)</f>
        <v>0</v>
      </c>
      <c r="AB187" s="47" t="n">
        <f aca="false">MAX(0,MIN(Z187-AA187,$C187-(H187+L187+P187+T187+X187)))</f>
        <v>0</v>
      </c>
      <c r="AC187" s="47" t="n">
        <f aca="false">ROUND(Z187-AA187-AB187,2)</f>
        <v>0</v>
      </c>
      <c r="AD187" s="47" t="n">
        <f aca="false">ROUND(AG186*(1+Sorted!$H$8),2)</f>
        <v>0</v>
      </c>
      <c r="AE187" s="47" t="n">
        <f aca="false">MIN(AD187,Sorted!$G$8)</f>
        <v>0</v>
      </c>
      <c r="AF187" s="47" t="n">
        <f aca="false">MAX(0,MIN(AD187-AE187,$C187-(H187+L187+P187+T187+X187+AB187)))</f>
        <v>0</v>
      </c>
      <c r="AG187" s="47" t="n">
        <f aca="false">ROUND(AD187-AE187-AF187,2)</f>
        <v>0</v>
      </c>
      <c r="AH187" s="47" t="n">
        <f aca="false">ROUND(AK186*(1+Sorted!$H$9),2)</f>
        <v>0</v>
      </c>
      <c r="AI187" s="47" t="n">
        <f aca="false">MIN(AH187,Sorted!$G$9)</f>
        <v>0</v>
      </c>
      <c r="AJ187" s="47" t="n">
        <f aca="false">MAX(0,MIN(AH187-AI187,$C187-(H187+L187+P187+T187+X187+AB187+AF187)))</f>
        <v>0</v>
      </c>
      <c r="AK187" s="47" t="n">
        <f aca="false">ROUND(AH187-AI187-AJ187,2)</f>
        <v>0</v>
      </c>
      <c r="AL187" s="47" t="n">
        <f aca="false">ROUND(AO186*(1+Sorted!$H$10),2)</f>
        <v>0</v>
      </c>
      <c r="AM187" s="47" t="n">
        <f aca="false">MIN(AL187,Sorted!$G$10)</f>
        <v>0</v>
      </c>
      <c r="AN187" s="47" t="n">
        <f aca="false">MAX(0,MIN(AL187-AM187,$C187-(H187+L187+P187+T187+X187+AB187+AF187+AJ187)))</f>
        <v>0</v>
      </c>
      <c r="AO187" s="47" t="n">
        <f aca="false">ROUND(AL187-AM187-AN187,2)</f>
        <v>0</v>
      </c>
      <c r="AP187" s="47" t="n">
        <f aca="false">ROUND(AS186*(1+Sorted!$H$11),2)</f>
        <v>0</v>
      </c>
      <c r="AQ187" s="47" t="n">
        <f aca="false">MIN(AP187,Sorted!$G$11)</f>
        <v>0</v>
      </c>
      <c r="AR187" s="47" t="n">
        <f aca="false">MAX(0,MIN(AP187-AQ187,$C187-(H187+L187+P187+T187+X187+AB187+AF187+AJ187+AN187)))</f>
        <v>0</v>
      </c>
      <c r="AS187" s="47" t="n">
        <f aca="false">ROUND(AP187-AQ187-AR187,2)</f>
        <v>0</v>
      </c>
    </row>
    <row r="188" customFormat="false" ht="15" hidden="false" customHeight="false" outlineLevel="0" collapsed="false">
      <c r="A188" s="45" t="n">
        <v>185</v>
      </c>
      <c r="B188" s="46" t="n">
        <f aca="false">EDATE('My Debts'!$C$7,A188-1)</f>
        <v>51926</v>
      </c>
      <c r="C188" s="47" t="n">
        <f aca="false">MAX(0,'My Debts'!$E$6-(G188+K188+O188+S188+W188+AA188+AE188+AI188+AM188+AQ188))</f>
        <v>730</v>
      </c>
      <c r="D188" s="47" t="n">
        <f aca="false">(F188+J188+N188+R188+V188+Z188+AD188+AH188+AL188+AP188)-(I188+M188+Q188+U188+Y188+AC188+AG188+AK188+AO188+AS188)</f>
        <v>0</v>
      </c>
      <c r="E188" s="48" t="n">
        <f aca="false">I188+M188+Q188+U188+Y188+AC188+AG188+AK188+AO188+AS188</f>
        <v>0</v>
      </c>
      <c r="F188" s="47" t="n">
        <f aca="false">ROUND(I187*(1+Sorted!$H$2),2)</f>
        <v>0</v>
      </c>
      <c r="G188" s="47" t="n">
        <f aca="false">MIN(F188,Sorted!$G$2)</f>
        <v>0</v>
      </c>
      <c r="H188" s="47" t="n">
        <f aca="false">MAX(0,MIN(F188-G188,$C188-(0)))</f>
        <v>0</v>
      </c>
      <c r="I188" s="47" t="n">
        <f aca="false">ROUND(F188-G188-H188,2)</f>
        <v>0</v>
      </c>
      <c r="J188" s="47" t="n">
        <f aca="false">ROUND(M187*(1+Sorted!$H$3),2)</f>
        <v>0</v>
      </c>
      <c r="K188" s="47" t="n">
        <f aca="false">MIN(J188,Sorted!$G$3)</f>
        <v>0</v>
      </c>
      <c r="L188" s="47" t="n">
        <f aca="false">MAX(0,MIN(J188-K188,$C188-(H188)))</f>
        <v>0</v>
      </c>
      <c r="M188" s="47" t="n">
        <f aca="false">ROUND(J188-K188-L188,2)</f>
        <v>0</v>
      </c>
      <c r="N188" s="47" t="n">
        <f aca="false">ROUND(Q187*(1+Sorted!$H$4),2)</f>
        <v>0</v>
      </c>
      <c r="O188" s="47" t="n">
        <f aca="false">MIN(N188,Sorted!$G$4)</f>
        <v>0</v>
      </c>
      <c r="P188" s="47" t="n">
        <f aca="false">MAX(0,MIN(N188-O188,$C188-(H188+L188)))</f>
        <v>0</v>
      </c>
      <c r="Q188" s="47" t="n">
        <f aca="false">ROUND(N188-O188-P188,2)</f>
        <v>0</v>
      </c>
      <c r="R188" s="47" t="n">
        <f aca="false">ROUND(U187*(1+Sorted!$H$5),2)</f>
        <v>0</v>
      </c>
      <c r="S188" s="47" t="n">
        <f aca="false">MIN(R188,Sorted!$G$5)</f>
        <v>0</v>
      </c>
      <c r="T188" s="47" t="n">
        <f aca="false">MAX(0,MIN(R188-S188,$C188-(H188+L188+P188)))</f>
        <v>0</v>
      </c>
      <c r="U188" s="47" t="n">
        <f aca="false">ROUND(R188-S188-T188,2)</f>
        <v>0</v>
      </c>
      <c r="V188" s="47" t="n">
        <f aca="false">ROUND(Y187*(1+Sorted!$H$6),2)</f>
        <v>0</v>
      </c>
      <c r="W188" s="47" t="n">
        <f aca="false">MIN(V188,Sorted!$G$6)</f>
        <v>0</v>
      </c>
      <c r="X188" s="47" t="n">
        <f aca="false">MAX(0,MIN(V188-W188,$C188-(H188+L188+P188+T188)))</f>
        <v>0</v>
      </c>
      <c r="Y188" s="47" t="n">
        <f aca="false">ROUND(V188-W188-X188,2)</f>
        <v>0</v>
      </c>
      <c r="Z188" s="47" t="n">
        <f aca="false">ROUND(AC187*(1+Sorted!$H$7),2)</f>
        <v>0</v>
      </c>
      <c r="AA188" s="47" t="n">
        <f aca="false">MIN(Z188,Sorted!$G$7)</f>
        <v>0</v>
      </c>
      <c r="AB188" s="47" t="n">
        <f aca="false">MAX(0,MIN(Z188-AA188,$C188-(H188+L188+P188+T188+X188)))</f>
        <v>0</v>
      </c>
      <c r="AC188" s="47" t="n">
        <f aca="false">ROUND(Z188-AA188-AB188,2)</f>
        <v>0</v>
      </c>
      <c r="AD188" s="47" t="n">
        <f aca="false">ROUND(AG187*(1+Sorted!$H$8),2)</f>
        <v>0</v>
      </c>
      <c r="AE188" s="47" t="n">
        <f aca="false">MIN(AD188,Sorted!$G$8)</f>
        <v>0</v>
      </c>
      <c r="AF188" s="47" t="n">
        <f aca="false">MAX(0,MIN(AD188-AE188,$C188-(H188+L188+P188+T188+X188+AB188)))</f>
        <v>0</v>
      </c>
      <c r="AG188" s="47" t="n">
        <f aca="false">ROUND(AD188-AE188-AF188,2)</f>
        <v>0</v>
      </c>
      <c r="AH188" s="47" t="n">
        <f aca="false">ROUND(AK187*(1+Sorted!$H$9),2)</f>
        <v>0</v>
      </c>
      <c r="AI188" s="47" t="n">
        <f aca="false">MIN(AH188,Sorted!$G$9)</f>
        <v>0</v>
      </c>
      <c r="AJ188" s="47" t="n">
        <f aca="false">MAX(0,MIN(AH188-AI188,$C188-(H188+L188+P188+T188+X188+AB188+AF188)))</f>
        <v>0</v>
      </c>
      <c r="AK188" s="47" t="n">
        <f aca="false">ROUND(AH188-AI188-AJ188,2)</f>
        <v>0</v>
      </c>
      <c r="AL188" s="47" t="n">
        <f aca="false">ROUND(AO187*(1+Sorted!$H$10),2)</f>
        <v>0</v>
      </c>
      <c r="AM188" s="47" t="n">
        <f aca="false">MIN(AL188,Sorted!$G$10)</f>
        <v>0</v>
      </c>
      <c r="AN188" s="47" t="n">
        <f aca="false">MAX(0,MIN(AL188-AM188,$C188-(H188+L188+P188+T188+X188+AB188+AF188+AJ188)))</f>
        <v>0</v>
      </c>
      <c r="AO188" s="47" t="n">
        <f aca="false">ROUND(AL188-AM188-AN188,2)</f>
        <v>0</v>
      </c>
      <c r="AP188" s="47" t="n">
        <f aca="false">ROUND(AS187*(1+Sorted!$H$11),2)</f>
        <v>0</v>
      </c>
      <c r="AQ188" s="47" t="n">
        <f aca="false">MIN(AP188,Sorted!$G$11)</f>
        <v>0</v>
      </c>
      <c r="AR188" s="47" t="n">
        <f aca="false">MAX(0,MIN(AP188-AQ188,$C188-(H188+L188+P188+T188+X188+AB188+AF188+AJ188+AN188)))</f>
        <v>0</v>
      </c>
      <c r="AS188" s="47" t="n">
        <f aca="false">ROUND(AP188-AQ188-AR188,2)</f>
        <v>0</v>
      </c>
    </row>
    <row r="189" customFormat="false" ht="15" hidden="false" customHeight="false" outlineLevel="0" collapsed="false">
      <c r="A189" s="45" t="n">
        <v>186</v>
      </c>
      <c r="B189" s="46" t="n">
        <f aca="false">EDATE('My Debts'!$C$7,A189-1)</f>
        <v>51957</v>
      </c>
      <c r="C189" s="47" t="n">
        <f aca="false">MAX(0,'My Debts'!$E$6-(G189+K189+O189+S189+W189+AA189+AE189+AI189+AM189+AQ189))</f>
        <v>730</v>
      </c>
      <c r="D189" s="47" t="n">
        <f aca="false">(F189+J189+N189+R189+V189+Z189+AD189+AH189+AL189+AP189)-(I189+M189+Q189+U189+Y189+AC189+AG189+AK189+AO189+AS189)</f>
        <v>0</v>
      </c>
      <c r="E189" s="48" t="n">
        <f aca="false">I189+M189+Q189+U189+Y189+AC189+AG189+AK189+AO189+AS189</f>
        <v>0</v>
      </c>
      <c r="F189" s="47" t="n">
        <f aca="false">ROUND(I188*(1+Sorted!$H$2),2)</f>
        <v>0</v>
      </c>
      <c r="G189" s="47" t="n">
        <f aca="false">MIN(F189,Sorted!$G$2)</f>
        <v>0</v>
      </c>
      <c r="H189" s="47" t="n">
        <f aca="false">MAX(0,MIN(F189-G189,$C189-(0)))</f>
        <v>0</v>
      </c>
      <c r="I189" s="47" t="n">
        <f aca="false">ROUND(F189-G189-H189,2)</f>
        <v>0</v>
      </c>
      <c r="J189" s="47" t="n">
        <f aca="false">ROUND(M188*(1+Sorted!$H$3),2)</f>
        <v>0</v>
      </c>
      <c r="K189" s="47" t="n">
        <f aca="false">MIN(J189,Sorted!$G$3)</f>
        <v>0</v>
      </c>
      <c r="L189" s="47" t="n">
        <f aca="false">MAX(0,MIN(J189-K189,$C189-(H189)))</f>
        <v>0</v>
      </c>
      <c r="M189" s="47" t="n">
        <f aca="false">ROUND(J189-K189-L189,2)</f>
        <v>0</v>
      </c>
      <c r="N189" s="47" t="n">
        <f aca="false">ROUND(Q188*(1+Sorted!$H$4),2)</f>
        <v>0</v>
      </c>
      <c r="O189" s="47" t="n">
        <f aca="false">MIN(N189,Sorted!$G$4)</f>
        <v>0</v>
      </c>
      <c r="P189" s="47" t="n">
        <f aca="false">MAX(0,MIN(N189-O189,$C189-(H189+L189)))</f>
        <v>0</v>
      </c>
      <c r="Q189" s="47" t="n">
        <f aca="false">ROUND(N189-O189-P189,2)</f>
        <v>0</v>
      </c>
      <c r="R189" s="47" t="n">
        <f aca="false">ROUND(U188*(1+Sorted!$H$5),2)</f>
        <v>0</v>
      </c>
      <c r="S189" s="47" t="n">
        <f aca="false">MIN(R189,Sorted!$G$5)</f>
        <v>0</v>
      </c>
      <c r="T189" s="47" t="n">
        <f aca="false">MAX(0,MIN(R189-S189,$C189-(H189+L189+P189)))</f>
        <v>0</v>
      </c>
      <c r="U189" s="47" t="n">
        <f aca="false">ROUND(R189-S189-T189,2)</f>
        <v>0</v>
      </c>
      <c r="V189" s="47" t="n">
        <f aca="false">ROUND(Y188*(1+Sorted!$H$6),2)</f>
        <v>0</v>
      </c>
      <c r="W189" s="47" t="n">
        <f aca="false">MIN(V189,Sorted!$G$6)</f>
        <v>0</v>
      </c>
      <c r="X189" s="47" t="n">
        <f aca="false">MAX(0,MIN(V189-W189,$C189-(H189+L189+P189+T189)))</f>
        <v>0</v>
      </c>
      <c r="Y189" s="47" t="n">
        <f aca="false">ROUND(V189-W189-X189,2)</f>
        <v>0</v>
      </c>
      <c r="Z189" s="47" t="n">
        <f aca="false">ROUND(AC188*(1+Sorted!$H$7),2)</f>
        <v>0</v>
      </c>
      <c r="AA189" s="47" t="n">
        <f aca="false">MIN(Z189,Sorted!$G$7)</f>
        <v>0</v>
      </c>
      <c r="AB189" s="47" t="n">
        <f aca="false">MAX(0,MIN(Z189-AA189,$C189-(H189+L189+P189+T189+X189)))</f>
        <v>0</v>
      </c>
      <c r="AC189" s="47" t="n">
        <f aca="false">ROUND(Z189-AA189-AB189,2)</f>
        <v>0</v>
      </c>
      <c r="AD189" s="47" t="n">
        <f aca="false">ROUND(AG188*(1+Sorted!$H$8),2)</f>
        <v>0</v>
      </c>
      <c r="AE189" s="47" t="n">
        <f aca="false">MIN(AD189,Sorted!$G$8)</f>
        <v>0</v>
      </c>
      <c r="AF189" s="47" t="n">
        <f aca="false">MAX(0,MIN(AD189-AE189,$C189-(H189+L189+P189+T189+X189+AB189)))</f>
        <v>0</v>
      </c>
      <c r="AG189" s="47" t="n">
        <f aca="false">ROUND(AD189-AE189-AF189,2)</f>
        <v>0</v>
      </c>
      <c r="AH189" s="47" t="n">
        <f aca="false">ROUND(AK188*(1+Sorted!$H$9),2)</f>
        <v>0</v>
      </c>
      <c r="AI189" s="47" t="n">
        <f aca="false">MIN(AH189,Sorted!$G$9)</f>
        <v>0</v>
      </c>
      <c r="AJ189" s="47" t="n">
        <f aca="false">MAX(0,MIN(AH189-AI189,$C189-(H189+L189+P189+T189+X189+AB189+AF189)))</f>
        <v>0</v>
      </c>
      <c r="AK189" s="47" t="n">
        <f aca="false">ROUND(AH189-AI189-AJ189,2)</f>
        <v>0</v>
      </c>
      <c r="AL189" s="47" t="n">
        <f aca="false">ROUND(AO188*(1+Sorted!$H$10),2)</f>
        <v>0</v>
      </c>
      <c r="AM189" s="47" t="n">
        <f aca="false">MIN(AL189,Sorted!$G$10)</f>
        <v>0</v>
      </c>
      <c r="AN189" s="47" t="n">
        <f aca="false">MAX(0,MIN(AL189-AM189,$C189-(H189+L189+P189+T189+X189+AB189+AF189+AJ189)))</f>
        <v>0</v>
      </c>
      <c r="AO189" s="47" t="n">
        <f aca="false">ROUND(AL189-AM189-AN189,2)</f>
        <v>0</v>
      </c>
      <c r="AP189" s="47" t="n">
        <f aca="false">ROUND(AS188*(1+Sorted!$H$11),2)</f>
        <v>0</v>
      </c>
      <c r="AQ189" s="47" t="n">
        <f aca="false">MIN(AP189,Sorted!$G$11)</f>
        <v>0</v>
      </c>
      <c r="AR189" s="47" t="n">
        <f aca="false">MAX(0,MIN(AP189-AQ189,$C189-(H189+L189+P189+T189+X189+AB189+AF189+AJ189+AN189)))</f>
        <v>0</v>
      </c>
      <c r="AS189" s="47" t="n">
        <f aca="false">ROUND(AP189-AQ189-AR189,2)</f>
        <v>0</v>
      </c>
    </row>
    <row r="190" customFormat="false" ht="15" hidden="false" customHeight="false" outlineLevel="0" collapsed="false">
      <c r="A190" s="45" t="n">
        <v>187</v>
      </c>
      <c r="B190" s="46" t="n">
        <f aca="false">EDATE('My Debts'!$C$7,A190-1)</f>
        <v>51987</v>
      </c>
      <c r="C190" s="47" t="n">
        <f aca="false">MAX(0,'My Debts'!$E$6-(G190+K190+O190+S190+W190+AA190+AE190+AI190+AM190+AQ190))</f>
        <v>730</v>
      </c>
      <c r="D190" s="47" t="n">
        <f aca="false">(F190+J190+N190+R190+V190+Z190+AD190+AH190+AL190+AP190)-(I190+M190+Q190+U190+Y190+AC190+AG190+AK190+AO190+AS190)</f>
        <v>0</v>
      </c>
      <c r="E190" s="48" t="n">
        <f aca="false">I190+M190+Q190+U190+Y190+AC190+AG190+AK190+AO190+AS190</f>
        <v>0</v>
      </c>
      <c r="F190" s="47" t="n">
        <f aca="false">ROUND(I189*(1+Sorted!$H$2),2)</f>
        <v>0</v>
      </c>
      <c r="G190" s="47" t="n">
        <f aca="false">MIN(F190,Sorted!$G$2)</f>
        <v>0</v>
      </c>
      <c r="H190" s="47" t="n">
        <f aca="false">MAX(0,MIN(F190-G190,$C190-(0)))</f>
        <v>0</v>
      </c>
      <c r="I190" s="47" t="n">
        <f aca="false">ROUND(F190-G190-H190,2)</f>
        <v>0</v>
      </c>
      <c r="J190" s="47" t="n">
        <f aca="false">ROUND(M189*(1+Sorted!$H$3),2)</f>
        <v>0</v>
      </c>
      <c r="K190" s="47" t="n">
        <f aca="false">MIN(J190,Sorted!$G$3)</f>
        <v>0</v>
      </c>
      <c r="L190" s="47" t="n">
        <f aca="false">MAX(0,MIN(J190-K190,$C190-(H190)))</f>
        <v>0</v>
      </c>
      <c r="M190" s="47" t="n">
        <f aca="false">ROUND(J190-K190-L190,2)</f>
        <v>0</v>
      </c>
      <c r="N190" s="47" t="n">
        <f aca="false">ROUND(Q189*(1+Sorted!$H$4),2)</f>
        <v>0</v>
      </c>
      <c r="O190" s="47" t="n">
        <f aca="false">MIN(N190,Sorted!$G$4)</f>
        <v>0</v>
      </c>
      <c r="P190" s="47" t="n">
        <f aca="false">MAX(0,MIN(N190-O190,$C190-(H190+L190)))</f>
        <v>0</v>
      </c>
      <c r="Q190" s="47" t="n">
        <f aca="false">ROUND(N190-O190-P190,2)</f>
        <v>0</v>
      </c>
      <c r="R190" s="47" t="n">
        <f aca="false">ROUND(U189*(1+Sorted!$H$5),2)</f>
        <v>0</v>
      </c>
      <c r="S190" s="47" t="n">
        <f aca="false">MIN(R190,Sorted!$G$5)</f>
        <v>0</v>
      </c>
      <c r="T190" s="47" t="n">
        <f aca="false">MAX(0,MIN(R190-S190,$C190-(H190+L190+P190)))</f>
        <v>0</v>
      </c>
      <c r="U190" s="47" t="n">
        <f aca="false">ROUND(R190-S190-T190,2)</f>
        <v>0</v>
      </c>
      <c r="V190" s="47" t="n">
        <f aca="false">ROUND(Y189*(1+Sorted!$H$6),2)</f>
        <v>0</v>
      </c>
      <c r="W190" s="47" t="n">
        <f aca="false">MIN(V190,Sorted!$G$6)</f>
        <v>0</v>
      </c>
      <c r="X190" s="47" t="n">
        <f aca="false">MAX(0,MIN(V190-W190,$C190-(H190+L190+P190+T190)))</f>
        <v>0</v>
      </c>
      <c r="Y190" s="47" t="n">
        <f aca="false">ROUND(V190-W190-X190,2)</f>
        <v>0</v>
      </c>
      <c r="Z190" s="47" t="n">
        <f aca="false">ROUND(AC189*(1+Sorted!$H$7),2)</f>
        <v>0</v>
      </c>
      <c r="AA190" s="47" t="n">
        <f aca="false">MIN(Z190,Sorted!$G$7)</f>
        <v>0</v>
      </c>
      <c r="AB190" s="47" t="n">
        <f aca="false">MAX(0,MIN(Z190-AA190,$C190-(H190+L190+P190+T190+X190)))</f>
        <v>0</v>
      </c>
      <c r="AC190" s="47" t="n">
        <f aca="false">ROUND(Z190-AA190-AB190,2)</f>
        <v>0</v>
      </c>
      <c r="AD190" s="47" t="n">
        <f aca="false">ROUND(AG189*(1+Sorted!$H$8),2)</f>
        <v>0</v>
      </c>
      <c r="AE190" s="47" t="n">
        <f aca="false">MIN(AD190,Sorted!$G$8)</f>
        <v>0</v>
      </c>
      <c r="AF190" s="47" t="n">
        <f aca="false">MAX(0,MIN(AD190-AE190,$C190-(H190+L190+P190+T190+X190+AB190)))</f>
        <v>0</v>
      </c>
      <c r="AG190" s="47" t="n">
        <f aca="false">ROUND(AD190-AE190-AF190,2)</f>
        <v>0</v>
      </c>
      <c r="AH190" s="47" t="n">
        <f aca="false">ROUND(AK189*(1+Sorted!$H$9),2)</f>
        <v>0</v>
      </c>
      <c r="AI190" s="47" t="n">
        <f aca="false">MIN(AH190,Sorted!$G$9)</f>
        <v>0</v>
      </c>
      <c r="AJ190" s="47" t="n">
        <f aca="false">MAX(0,MIN(AH190-AI190,$C190-(H190+L190+P190+T190+X190+AB190+AF190)))</f>
        <v>0</v>
      </c>
      <c r="AK190" s="47" t="n">
        <f aca="false">ROUND(AH190-AI190-AJ190,2)</f>
        <v>0</v>
      </c>
      <c r="AL190" s="47" t="n">
        <f aca="false">ROUND(AO189*(1+Sorted!$H$10),2)</f>
        <v>0</v>
      </c>
      <c r="AM190" s="47" t="n">
        <f aca="false">MIN(AL190,Sorted!$G$10)</f>
        <v>0</v>
      </c>
      <c r="AN190" s="47" t="n">
        <f aca="false">MAX(0,MIN(AL190-AM190,$C190-(H190+L190+P190+T190+X190+AB190+AF190+AJ190)))</f>
        <v>0</v>
      </c>
      <c r="AO190" s="47" t="n">
        <f aca="false">ROUND(AL190-AM190-AN190,2)</f>
        <v>0</v>
      </c>
      <c r="AP190" s="47" t="n">
        <f aca="false">ROUND(AS189*(1+Sorted!$H$11),2)</f>
        <v>0</v>
      </c>
      <c r="AQ190" s="47" t="n">
        <f aca="false">MIN(AP190,Sorted!$G$11)</f>
        <v>0</v>
      </c>
      <c r="AR190" s="47" t="n">
        <f aca="false">MAX(0,MIN(AP190-AQ190,$C190-(H190+L190+P190+T190+X190+AB190+AF190+AJ190+AN190)))</f>
        <v>0</v>
      </c>
      <c r="AS190" s="47" t="n">
        <f aca="false">ROUND(AP190-AQ190-AR190,2)</f>
        <v>0</v>
      </c>
    </row>
    <row r="191" customFormat="false" ht="15" hidden="false" customHeight="false" outlineLevel="0" collapsed="false">
      <c r="A191" s="45" t="n">
        <v>188</v>
      </c>
      <c r="B191" s="46" t="n">
        <f aca="false">EDATE('My Debts'!$C$7,A191-1)</f>
        <v>52018</v>
      </c>
      <c r="C191" s="47" t="n">
        <f aca="false">MAX(0,'My Debts'!$E$6-(G191+K191+O191+S191+W191+AA191+AE191+AI191+AM191+AQ191))</f>
        <v>730</v>
      </c>
      <c r="D191" s="47" t="n">
        <f aca="false">(F191+J191+N191+R191+V191+Z191+AD191+AH191+AL191+AP191)-(I191+M191+Q191+U191+Y191+AC191+AG191+AK191+AO191+AS191)</f>
        <v>0</v>
      </c>
      <c r="E191" s="48" t="n">
        <f aca="false">I191+M191+Q191+U191+Y191+AC191+AG191+AK191+AO191+AS191</f>
        <v>0</v>
      </c>
      <c r="F191" s="47" t="n">
        <f aca="false">ROUND(I190*(1+Sorted!$H$2),2)</f>
        <v>0</v>
      </c>
      <c r="G191" s="47" t="n">
        <f aca="false">MIN(F191,Sorted!$G$2)</f>
        <v>0</v>
      </c>
      <c r="H191" s="47" t="n">
        <f aca="false">MAX(0,MIN(F191-G191,$C191-(0)))</f>
        <v>0</v>
      </c>
      <c r="I191" s="47" t="n">
        <f aca="false">ROUND(F191-G191-H191,2)</f>
        <v>0</v>
      </c>
      <c r="J191" s="47" t="n">
        <f aca="false">ROUND(M190*(1+Sorted!$H$3),2)</f>
        <v>0</v>
      </c>
      <c r="K191" s="47" t="n">
        <f aca="false">MIN(J191,Sorted!$G$3)</f>
        <v>0</v>
      </c>
      <c r="L191" s="47" t="n">
        <f aca="false">MAX(0,MIN(J191-K191,$C191-(H191)))</f>
        <v>0</v>
      </c>
      <c r="M191" s="47" t="n">
        <f aca="false">ROUND(J191-K191-L191,2)</f>
        <v>0</v>
      </c>
      <c r="N191" s="47" t="n">
        <f aca="false">ROUND(Q190*(1+Sorted!$H$4),2)</f>
        <v>0</v>
      </c>
      <c r="O191" s="47" t="n">
        <f aca="false">MIN(N191,Sorted!$G$4)</f>
        <v>0</v>
      </c>
      <c r="P191" s="47" t="n">
        <f aca="false">MAX(0,MIN(N191-O191,$C191-(H191+L191)))</f>
        <v>0</v>
      </c>
      <c r="Q191" s="47" t="n">
        <f aca="false">ROUND(N191-O191-P191,2)</f>
        <v>0</v>
      </c>
      <c r="R191" s="47" t="n">
        <f aca="false">ROUND(U190*(1+Sorted!$H$5),2)</f>
        <v>0</v>
      </c>
      <c r="S191" s="47" t="n">
        <f aca="false">MIN(R191,Sorted!$G$5)</f>
        <v>0</v>
      </c>
      <c r="T191" s="47" t="n">
        <f aca="false">MAX(0,MIN(R191-S191,$C191-(H191+L191+P191)))</f>
        <v>0</v>
      </c>
      <c r="U191" s="47" t="n">
        <f aca="false">ROUND(R191-S191-T191,2)</f>
        <v>0</v>
      </c>
      <c r="V191" s="47" t="n">
        <f aca="false">ROUND(Y190*(1+Sorted!$H$6),2)</f>
        <v>0</v>
      </c>
      <c r="W191" s="47" t="n">
        <f aca="false">MIN(V191,Sorted!$G$6)</f>
        <v>0</v>
      </c>
      <c r="X191" s="47" t="n">
        <f aca="false">MAX(0,MIN(V191-W191,$C191-(H191+L191+P191+T191)))</f>
        <v>0</v>
      </c>
      <c r="Y191" s="47" t="n">
        <f aca="false">ROUND(V191-W191-X191,2)</f>
        <v>0</v>
      </c>
      <c r="Z191" s="47" t="n">
        <f aca="false">ROUND(AC190*(1+Sorted!$H$7),2)</f>
        <v>0</v>
      </c>
      <c r="AA191" s="47" t="n">
        <f aca="false">MIN(Z191,Sorted!$G$7)</f>
        <v>0</v>
      </c>
      <c r="AB191" s="47" t="n">
        <f aca="false">MAX(0,MIN(Z191-AA191,$C191-(H191+L191+P191+T191+X191)))</f>
        <v>0</v>
      </c>
      <c r="AC191" s="47" t="n">
        <f aca="false">ROUND(Z191-AA191-AB191,2)</f>
        <v>0</v>
      </c>
      <c r="AD191" s="47" t="n">
        <f aca="false">ROUND(AG190*(1+Sorted!$H$8),2)</f>
        <v>0</v>
      </c>
      <c r="AE191" s="47" t="n">
        <f aca="false">MIN(AD191,Sorted!$G$8)</f>
        <v>0</v>
      </c>
      <c r="AF191" s="47" t="n">
        <f aca="false">MAX(0,MIN(AD191-AE191,$C191-(H191+L191+P191+T191+X191+AB191)))</f>
        <v>0</v>
      </c>
      <c r="AG191" s="47" t="n">
        <f aca="false">ROUND(AD191-AE191-AF191,2)</f>
        <v>0</v>
      </c>
      <c r="AH191" s="47" t="n">
        <f aca="false">ROUND(AK190*(1+Sorted!$H$9),2)</f>
        <v>0</v>
      </c>
      <c r="AI191" s="47" t="n">
        <f aca="false">MIN(AH191,Sorted!$G$9)</f>
        <v>0</v>
      </c>
      <c r="AJ191" s="47" t="n">
        <f aca="false">MAX(0,MIN(AH191-AI191,$C191-(H191+L191+P191+T191+X191+AB191+AF191)))</f>
        <v>0</v>
      </c>
      <c r="AK191" s="47" t="n">
        <f aca="false">ROUND(AH191-AI191-AJ191,2)</f>
        <v>0</v>
      </c>
      <c r="AL191" s="47" t="n">
        <f aca="false">ROUND(AO190*(1+Sorted!$H$10),2)</f>
        <v>0</v>
      </c>
      <c r="AM191" s="47" t="n">
        <f aca="false">MIN(AL191,Sorted!$G$10)</f>
        <v>0</v>
      </c>
      <c r="AN191" s="47" t="n">
        <f aca="false">MAX(0,MIN(AL191-AM191,$C191-(H191+L191+P191+T191+X191+AB191+AF191+AJ191)))</f>
        <v>0</v>
      </c>
      <c r="AO191" s="47" t="n">
        <f aca="false">ROUND(AL191-AM191-AN191,2)</f>
        <v>0</v>
      </c>
      <c r="AP191" s="47" t="n">
        <f aca="false">ROUND(AS190*(1+Sorted!$H$11),2)</f>
        <v>0</v>
      </c>
      <c r="AQ191" s="47" t="n">
        <f aca="false">MIN(AP191,Sorted!$G$11)</f>
        <v>0</v>
      </c>
      <c r="AR191" s="47" t="n">
        <f aca="false">MAX(0,MIN(AP191-AQ191,$C191-(H191+L191+P191+T191+X191+AB191+AF191+AJ191+AN191)))</f>
        <v>0</v>
      </c>
      <c r="AS191" s="47" t="n">
        <f aca="false">ROUND(AP191-AQ191-AR191,2)</f>
        <v>0</v>
      </c>
    </row>
    <row r="192" customFormat="false" ht="15" hidden="false" customHeight="false" outlineLevel="0" collapsed="false">
      <c r="A192" s="45" t="n">
        <v>189</v>
      </c>
      <c r="B192" s="46" t="n">
        <f aca="false">EDATE('My Debts'!$C$7,A192-1)</f>
        <v>52048</v>
      </c>
      <c r="C192" s="47" t="n">
        <f aca="false">MAX(0,'My Debts'!$E$6-(G192+K192+O192+S192+W192+AA192+AE192+AI192+AM192+AQ192))</f>
        <v>730</v>
      </c>
      <c r="D192" s="47" t="n">
        <f aca="false">(F192+J192+N192+R192+V192+Z192+AD192+AH192+AL192+AP192)-(I192+M192+Q192+U192+Y192+AC192+AG192+AK192+AO192+AS192)</f>
        <v>0</v>
      </c>
      <c r="E192" s="48" t="n">
        <f aca="false">I192+M192+Q192+U192+Y192+AC192+AG192+AK192+AO192+AS192</f>
        <v>0</v>
      </c>
      <c r="F192" s="47" t="n">
        <f aca="false">ROUND(I191*(1+Sorted!$H$2),2)</f>
        <v>0</v>
      </c>
      <c r="G192" s="47" t="n">
        <f aca="false">MIN(F192,Sorted!$G$2)</f>
        <v>0</v>
      </c>
      <c r="H192" s="47" t="n">
        <f aca="false">MAX(0,MIN(F192-G192,$C192-(0)))</f>
        <v>0</v>
      </c>
      <c r="I192" s="47" t="n">
        <f aca="false">ROUND(F192-G192-H192,2)</f>
        <v>0</v>
      </c>
      <c r="J192" s="47" t="n">
        <f aca="false">ROUND(M191*(1+Sorted!$H$3),2)</f>
        <v>0</v>
      </c>
      <c r="K192" s="47" t="n">
        <f aca="false">MIN(J192,Sorted!$G$3)</f>
        <v>0</v>
      </c>
      <c r="L192" s="47" t="n">
        <f aca="false">MAX(0,MIN(J192-K192,$C192-(H192)))</f>
        <v>0</v>
      </c>
      <c r="M192" s="47" t="n">
        <f aca="false">ROUND(J192-K192-L192,2)</f>
        <v>0</v>
      </c>
      <c r="N192" s="47" t="n">
        <f aca="false">ROUND(Q191*(1+Sorted!$H$4),2)</f>
        <v>0</v>
      </c>
      <c r="O192" s="47" t="n">
        <f aca="false">MIN(N192,Sorted!$G$4)</f>
        <v>0</v>
      </c>
      <c r="P192" s="47" t="n">
        <f aca="false">MAX(0,MIN(N192-O192,$C192-(H192+L192)))</f>
        <v>0</v>
      </c>
      <c r="Q192" s="47" t="n">
        <f aca="false">ROUND(N192-O192-P192,2)</f>
        <v>0</v>
      </c>
      <c r="R192" s="47" t="n">
        <f aca="false">ROUND(U191*(1+Sorted!$H$5),2)</f>
        <v>0</v>
      </c>
      <c r="S192" s="47" t="n">
        <f aca="false">MIN(R192,Sorted!$G$5)</f>
        <v>0</v>
      </c>
      <c r="T192" s="47" t="n">
        <f aca="false">MAX(0,MIN(R192-S192,$C192-(H192+L192+P192)))</f>
        <v>0</v>
      </c>
      <c r="U192" s="47" t="n">
        <f aca="false">ROUND(R192-S192-T192,2)</f>
        <v>0</v>
      </c>
      <c r="V192" s="47" t="n">
        <f aca="false">ROUND(Y191*(1+Sorted!$H$6),2)</f>
        <v>0</v>
      </c>
      <c r="W192" s="47" t="n">
        <f aca="false">MIN(V192,Sorted!$G$6)</f>
        <v>0</v>
      </c>
      <c r="X192" s="47" t="n">
        <f aca="false">MAX(0,MIN(V192-W192,$C192-(H192+L192+P192+T192)))</f>
        <v>0</v>
      </c>
      <c r="Y192" s="47" t="n">
        <f aca="false">ROUND(V192-W192-X192,2)</f>
        <v>0</v>
      </c>
      <c r="Z192" s="47" t="n">
        <f aca="false">ROUND(AC191*(1+Sorted!$H$7),2)</f>
        <v>0</v>
      </c>
      <c r="AA192" s="47" t="n">
        <f aca="false">MIN(Z192,Sorted!$G$7)</f>
        <v>0</v>
      </c>
      <c r="AB192" s="47" t="n">
        <f aca="false">MAX(0,MIN(Z192-AA192,$C192-(H192+L192+P192+T192+X192)))</f>
        <v>0</v>
      </c>
      <c r="AC192" s="47" t="n">
        <f aca="false">ROUND(Z192-AA192-AB192,2)</f>
        <v>0</v>
      </c>
      <c r="AD192" s="47" t="n">
        <f aca="false">ROUND(AG191*(1+Sorted!$H$8),2)</f>
        <v>0</v>
      </c>
      <c r="AE192" s="47" t="n">
        <f aca="false">MIN(AD192,Sorted!$G$8)</f>
        <v>0</v>
      </c>
      <c r="AF192" s="47" t="n">
        <f aca="false">MAX(0,MIN(AD192-AE192,$C192-(H192+L192+P192+T192+X192+AB192)))</f>
        <v>0</v>
      </c>
      <c r="AG192" s="47" t="n">
        <f aca="false">ROUND(AD192-AE192-AF192,2)</f>
        <v>0</v>
      </c>
      <c r="AH192" s="47" t="n">
        <f aca="false">ROUND(AK191*(1+Sorted!$H$9),2)</f>
        <v>0</v>
      </c>
      <c r="AI192" s="47" t="n">
        <f aca="false">MIN(AH192,Sorted!$G$9)</f>
        <v>0</v>
      </c>
      <c r="AJ192" s="47" t="n">
        <f aca="false">MAX(0,MIN(AH192-AI192,$C192-(H192+L192+P192+T192+X192+AB192+AF192)))</f>
        <v>0</v>
      </c>
      <c r="AK192" s="47" t="n">
        <f aca="false">ROUND(AH192-AI192-AJ192,2)</f>
        <v>0</v>
      </c>
      <c r="AL192" s="47" t="n">
        <f aca="false">ROUND(AO191*(1+Sorted!$H$10),2)</f>
        <v>0</v>
      </c>
      <c r="AM192" s="47" t="n">
        <f aca="false">MIN(AL192,Sorted!$G$10)</f>
        <v>0</v>
      </c>
      <c r="AN192" s="47" t="n">
        <f aca="false">MAX(0,MIN(AL192-AM192,$C192-(H192+L192+P192+T192+X192+AB192+AF192+AJ192)))</f>
        <v>0</v>
      </c>
      <c r="AO192" s="47" t="n">
        <f aca="false">ROUND(AL192-AM192-AN192,2)</f>
        <v>0</v>
      </c>
      <c r="AP192" s="47" t="n">
        <f aca="false">ROUND(AS191*(1+Sorted!$H$11),2)</f>
        <v>0</v>
      </c>
      <c r="AQ192" s="47" t="n">
        <f aca="false">MIN(AP192,Sorted!$G$11)</f>
        <v>0</v>
      </c>
      <c r="AR192" s="47" t="n">
        <f aca="false">MAX(0,MIN(AP192-AQ192,$C192-(H192+L192+P192+T192+X192+AB192+AF192+AJ192+AN192)))</f>
        <v>0</v>
      </c>
      <c r="AS192" s="47" t="n">
        <f aca="false">ROUND(AP192-AQ192-AR192,2)</f>
        <v>0</v>
      </c>
    </row>
    <row r="193" customFormat="false" ht="15" hidden="false" customHeight="false" outlineLevel="0" collapsed="false">
      <c r="A193" s="45" t="n">
        <v>190</v>
      </c>
      <c r="B193" s="46" t="n">
        <f aca="false">EDATE('My Debts'!$C$7,A193-1)</f>
        <v>52079</v>
      </c>
      <c r="C193" s="47" t="n">
        <f aca="false">MAX(0,'My Debts'!$E$6-(G193+K193+O193+S193+W193+AA193+AE193+AI193+AM193+AQ193))</f>
        <v>730</v>
      </c>
      <c r="D193" s="47" t="n">
        <f aca="false">(F193+J193+N193+R193+V193+Z193+AD193+AH193+AL193+AP193)-(I193+M193+Q193+U193+Y193+AC193+AG193+AK193+AO193+AS193)</f>
        <v>0</v>
      </c>
      <c r="E193" s="48" t="n">
        <f aca="false">I193+M193+Q193+U193+Y193+AC193+AG193+AK193+AO193+AS193</f>
        <v>0</v>
      </c>
      <c r="F193" s="47" t="n">
        <f aca="false">ROUND(I192*(1+Sorted!$H$2),2)</f>
        <v>0</v>
      </c>
      <c r="G193" s="47" t="n">
        <f aca="false">MIN(F193,Sorted!$G$2)</f>
        <v>0</v>
      </c>
      <c r="H193" s="47" t="n">
        <f aca="false">MAX(0,MIN(F193-G193,$C193-(0)))</f>
        <v>0</v>
      </c>
      <c r="I193" s="47" t="n">
        <f aca="false">ROUND(F193-G193-H193,2)</f>
        <v>0</v>
      </c>
      <c r="J193" s="47" t="n">
        <f aca="false">ROUND(M192*(1+Sorted!$H$3),2)</f>
        <v>0</v>
      </c>
      <c r="K193" s="47" t="n">
        <f aca="false">MIN(J193,Sorted!$G$3)</f>
        <v>0</v>
      </c>
      <c r="L193" s="47" t="n">
        <f aca="false">MAX(0,MIN(J193-K193,$C193-(H193)))</f>
        <v>0</v>
      </c>
      <c r="M193" s="47" t="n">
        <f aca="false">ROUND(J193-K193-L193,2)</f>
        <v>0</v>
      </c>
      <c r="N193" s="47" t="n">
        <f aca="false">ROUND(Q192*(1+Sorted!$H$4),2)</f>
        <v>0</v>
      </c>
      <c r="O193" s="47" t="n">
        <f aca="false">MIN(N193,Sorted!$G$4)</f>
        <v>0</v>
      </c>
      <c r="P193" s="47" t="n">
        <f aca="false">MAX(0,MIN(N193-O193,$C193-(H193+L193)))</f>
        <v>0</v>
      </c>
      <c r="Q193" s="47" t="n">
        <f aca="false">ROUND(N193-O193-P193,2)</f>
        <v>0</v>
      </c>
      <c r="R193" s="47" t="n">
        <f aca="false">ROUND(U192*(1+Sorted!$H$5),2)</f>
        <v>0</v>
      </c>
      <c r="S193" s="47" t="n">
        <f aca="false">MIN(R193,Sorted!$G$5)</f>
        <v>0</v>
      </c>
      <c r="T193" s="47" t="n">
        <f aca="false">MAX(0,MIN(R193-S193,$C193-(H193+L193+P193)))</f>
        <v>0</v>
      </c>
      <c r="U193" s="47" t="n">
        <f aca="false">ROUND(R193-S193-T193,2)</f>
        <v>0</v>
      </c>
      <c r="V193" s="47" t="n">
        <f aca="false">ROUND(Y192*(1+Sorted!$H$6),2)</f>
        <v>0</v>
      </c>
      <c r="W193" s="47" t="n">
        <f aca="false">MIN(V193,Sorted!$G$6)</f>
        <v>0</v>
      </c>
      <c r="X193" s="47" t="n">
        <f aca="false">MAX(0,MIN(V193-W193,$C193-(H193+L193+P193+T193)))</f>
        <v>0</v>
      </c>
      <c r="Y193" s="47" t="n">
        <f aca="false">ROUND(V193-W193-X193,2)</f>
        <v>0</v>
      </c>
      <c r="Z193" s="47" t="n">
        <f aca="false">ROUND(AC192*(1+Sorted!$H$7),2)</f>
        <v>0</v>
      </c>
      <c r="AA193" s="47" t="n">
        <f aca="false">MIN(Z193,Sorted!$G$7)</f>
        <v>0</v>
      </c>
      <c r="AB193" s="47" t="n">
        <f aca="false">MAX(0,MIN(Z193-AA193,$C193-(H193+L193+P193+T193+X193)))</f>
        <v>0</v>
      </c>
      <c r="AC193" s="47" t="n">
        <f aca="false">ROUND(Z193-AA193-AB193,2)</f>
        <v>0</v>
      </c>
      <c r="AD193" s="47" t="n">
        <f aca="false">ROUND(AG192*(1+Sorted!$H$8),2)</f>
        <v>0</v>
      </c>
      <c r="AE193" s="47" t="n">
        <f aca="false">MIN(AD193,Sorted!$G$8)</f>
        <v>0</v>
      </c>
      <c r="AF193" s="47" t="n">
        <f aca="false">MAX(0,MIN(AD193-AE193,$C193-(H193+L193+P193+T193+X193+AB193)))</f>
        <v>0</v>
      </c>
      <c r="AG193" s="47" t="n">
        <f aca="false">ROUND(AD193-AE193-AF193,2)</f>
        <v>0</v>
      </c>
      <c r="AH193" s="47" t="n">
        <f aca="false">ROUND(AK192*(1+Sorted!$H$9),2)</f>
        <v>0</v>
      </c>
      <c r="AI193" s="47" t="n">
        <f aca="false">MIN(AH193,Sorted!$G$9)</f>
        <v>0</v>
      </c>
      <c r="AJ193" s="47" t="n">
        <f aca="false">MAX(0,MIN(AH193-AI193,$C193-(H193+L193+P193+T193+X193+AB193+AF193)))</f>
        <v>0</v>
      </c>
      <c r="AK193" s="47" t="n">
        <f aca="false">ROUND(AH193-AI193-AJ193,2)</f>
        <v>0</v>
      </c>
      <c r="AL193" s="47" t="n">
        <f aca="false">ROUND(AO192*(1+Sorted!$H$10),2)</f>
        <v>0</v>
      </c>
      <c r="AM193" s="47" t="n">
        <f aca="false">MIN(AL193,Sorted!$G$10)</f>
        <v>0</v>
      </c>
      <c r="AN193" s="47" t="n">
        <f aca="false">MAX(0,MIN(AL193-AM193,$C193-(H193+L193+P193+T193+X193+AB193+AF193+AJ193)))</f>
        <v>0</v>
      </c>
      <c r="AO193" s="47" t="n">
        <f aca="false">ROUND(AL193-AM193-AN193,2)</f>
        <v>0</v>
      </c>
      <c r="AP193" s="47" t="n">
        <f aca="false">ROUND(AS192*(1+Sorted!$H$11),2)</f>
        <v>0</v>
      </c>
      <c r="AQ193" s="47" t="n">
        <f aca="false">MIN(AP193,Sorted!$G$11)</f>
        <v>0</v>
      </c>
      <c r="AR193" s="47" t="n">
        <f aca="false">MAX(0,MIN(AP193-AQ193,$C193-(H193+L193+P193+T193+X193+AB193+AF193+AJ193+AN193)))</f>
        <v>0</v>
      </c>
      <c r="AS193" s="47" t="n">
        <f aca="false">ROUND(AP193-AQ193-AR193,2)</f>
        <v>0</v>
      </c>
    </row>
    <row r="194" customFormat="false" ht="15" hidden="false" customHeight="false" outlineLevel="0" collapsed="false">
      <c r="A194" s="45" t="n">
        <v>191</v>
      </c>
      <c r="B194" s="46" t="n">
        <f aca="false">EDATE('My Debts'!$C$7,A194-1)</f>
        <v>52110</v>
      </c>
      <c r="C194" s="47" t="n">
        <f aca="false">MAX(0,'My Debts'!$E$6-(G194+K194+O194+S194+W194+AA194+AE194+AI194+AM194+AQ194))</f>
        <v>730</v>
      </c>
      <c r="D194" s="47" t="n">
        <f aca="false">(F194+J194+N194+R194+V194+Z194+AD194+AH194+AL194+AP194)-(I194+M194+Q194+U194+Y194+AC194+AG194+AK194+AO194+AS194)</f>
        <v>0</v>
      </c>
      <c r="E194" s="48" t="n">
        <f aca="false">I194+M194+Q194+U194+Y194+AC194+AG194+AK194+AO194+AS194</f>
        <v>0</v>
      </c>
      <c r="F194" s="47" t="n">
        <f aca="false">ROUND(I193*(1+Sorted!$H$2),2)</f>
        <v>0</v>
      </c>
      <c r="G194" s="47" t="n">
        <f aca="false">MIN(F194,Sorted!$G$2)</f>
        <v>0</v>
      </c>
      <c r="H194" s="47" t="n">
        <f aca="false">MAX(0,MIN(F194-G194,$C194-(0)))</f>
        <v>0</v>
      </c>
      <c r="I194" s="47" t="n">
        <f aca="false">ROUND(F194-G194-H194,2)</f>
        <v>0</v>
      </c>
      <c r="J194" s="47" t="n">
        <f aca="false">ROUND(M193*(1+Sorted!$H$3),2)</f>
        <v>0</v>
      </c>
      <c r="K194" s="47" t="n">
        <f aca="false">MIN(J194,Sorted!$G$3)</f>
        <v>0</v>
      </c>
      <c r="L194" s="47" t="n">
        <f aca="false">MAX(0,MIN(J194-K194,$C194-(H194)))</f>
        <v>0</v>
      </c>
      <c r="M194" s="47" t="n">
        <f aca="false">ROUND(J194-K194-L194,2)</f>
        <v>0</v>
      </c>
      <c r="N194" s="47" t="n">
        <f aca="false">ROUND(Q193*(1+Sorted!$H$4),2)</f>
        <v>0</v>
      </c>
      <c r="O194" s="47" t="n">
        <f aca="false">MIN(N194,Sorted!$G$4)</f>
        <v>0</v>
      </c>
      <c r="P194" s="47" t="n">
        <f aca="false">MAX(0,MIN(N194-O194,$C194-(H194+L194)))</f>
        <v>0</v>
      </c>
      <c r="Q194" s="47" t="n">
        <f aca="false">ROUND(N194-O194-P194,2)</f>
        <v>0</v>
      </c>
      <c r="R194" s="47" t="n">
        <f aca="false">ROUND(U193*(1+Sorted!$H$5),2)</f>
        <v>0</v>
      </c>
      <c r="S194" s="47" t="n">
        <f aca="false">MIN(R194,Sorted!$G$5)</f>
        <v>0</v>
      </c>
      <c r="T194" s="47" t="n">
        <f aca="false">MAX(0,MIN(R194-S194,$C194-(H194+L194+P194)))</f>
        <v>0</v>
      </c>
      <c r="U194" s="47" t="n">
        <f aca="false">ROUND(R194-S194-T194,2)</f>
        <v>0</v>
      </c>
      <c r="V194" s="47" t="n">
        <f aca="false">ROUND(Y193*(1+Sorted!$H$6),2)</f>
        <v>0</v>
      </c>
      <c r="W194" s="47" t="n">
        <f aca="false">MIN(V194,Sorted!$G$6)</f>
        <v>0</v>
      </c>
      <c r="X194" s="47" t="n">
        <f aca="false">MAX(0,MIN(V194-W194,$C194-(H194+L194+P194+T194)))</f>
        <v>0</v>
      </c>
      <c r="Y194" s="47" t="n">
        <f aca="false">ROUND(V194-W194-X194,2)</f>
        <v>0</v>
      </c>
      <c r="Z194" s="47" t="n">
        <f aca="false">ROUND(AC193*(1+Sorted!$H$7),2)</f>
        <v>0</v>
      </c>
      <c r="AA194" s="47" t="n">
        <f aca="false">MIN(Z194,Sorted!$G$7)</f>
        <v>0</v>
      </c>
      <c r="AB194" s="47" t="n">
        <f aca="false">MAX(0,MIN(Z194-AA194,$C194-(H194+L194+P194+T194+X194)))</f>
        <v>0</v>
      </c>
      <c r="AC194" s="47" t="n">
        <f aca="false">ROUND(Z194-AA194-AB194,2)</f>
        <v>0</v>
      </c>
      <c r="AD194" s="47" t="n">
        <f aca="false">ROUND(AG193*(1+Sorted!$H$8),2)</f>
        <v>0</v>
      </c>
      <c r="AE194" s="47" t="n">
        <f aca="false">MIN(AD194,Sorted!$G$8)</f>
        <v>0</v>
      </c>
      <c r="AF194" s="47" t="n">
        <f aca="false">MAX(0,MIN(AD194-AE194,$C194-(H194+L194+P194+T194+X194+AB194)))</f>
        <v>0</v>
      </c>
      <c r="AG194" s="47" t="n">
        <f aca="false">ROUND(AD194-AE194-AF194,2)</f>
        <v>0</v>
      </c>
      <c r="AH194" s="47" t="n">
        <f aca="false">ROUND(AK193*(1+Sorted!$H$9),2)</f>
        <v>0</v>
      </c>
      <c r="AI194" s="47" t="n">
        <f aca="false">MIN(AH194,Sorted!$G$9)</f>
        <v>0</v>
      </c>
      <c r="AJ194" s="47" t="n">
        <f aca="false">MAX(0,MIN(AH194-AI194,$C194-(H194+L194+P194+T194+X194+AB194+AF194)))</f>
        <v>0</v>
      </c>
      <c r="AK194" s="47" t="n">
        <f aca="false">ROUND(AH194-AI194-AJ194,2)</f>
        <v>0</v>
      </c>
      <c r="AL194" s="47" t="n">
        <f aca="false">ROUND(AO193*(1+Sorted!$H$10),2)</f>
        <v>0</v>
      </c>
      <c r="AM194" s="47" t="n">
        <f aca="false">MIN(AL194,Sorted!$G$10)</f>
        <v>0</v>
      </c>
      <c r="AN194" s="47" t="n">
        <f aca="false">MAX(0,MIN(AL194-AM194,$C194-(H194+L194+P194+T194+X194+AB194+AF194+AJ194)))</f>
        <v>0</v>
      </c>
      <c r="AO194" s="47" t="n">
        <f aca="false">ROUND(AL194-AM194-AN194,2)</f>
        <v>0</v>
      </c>
      <c r="AP194" s="47" t="n">
        <f aca="false">ROUND(AS193*(1+Sorted!$H$11),2)</f>
        <v>0</v>
      </c>
      <c r="AQ194" s="47" t="n">
        <f aca="false">MIN(AP194,Sorted!$G$11)</f>
        <v>0</v>
      </c>
      <c r="AR194" s="47" t="n">
        <f aca="false">MAX(0,MIN(AP194-AQ194,$C194-(H194+L194+P194+T194+X194+AB194+AF194+AJ194+AN194)))</f>
        <v>0</v>
      </c>
      <c r="AS194" s="47" t="n">
        <f aca="false">ROUND(AP194-AQ194-AR194,2)</f>
        <v>0</v>
      </c>
    </row>
    <row r="195" customFormat="false" ht="15" hidden="false" customHeight="false" outlineLevel="0" collapsed="false">
      <c r="A195" s="45" t="n">
        <v>192</v>
      </c>
      <c r="B195" s="46" t="n">
        <f aca="false">EDATE('My Debts'!$C$7,A195-1)</f>
        <v>52140</v>
      </c>
      <c r="C195" s="47" t="n">
        <f aca="false">MAX(0,'My Debts'!$E$6-(G195+K195+O195+S195+W195+AA195+AE195+AI195+AM195+AQ195))</f>
        <v>730</v>
      </c>
      <c r="D195" s="47" t="n">
        <f aca="false">(F195+J195+N195+R195+V195+Z195+AD195+AH195+AL195+AP195)-(I195+M195+Q195+U195+Y195+AC195+AG195+AK195+AO195+AS195)</f>
        <v>0</v>
      </c>
      <c r="E195" s="48" t="n">
        <f aca="false">I195+M195+Q195+U195+Y195+AC195+AG195+AK195+AO195+AS195</f>
        <v>0</v>
      </c>
      <c r="F195" s="47" t="n">
        <f aca="false">ROUND(I194*(1+Sorted!$H$2),2)</f>
        <v>0</v>
      </c>
      <c r="G195" s="47" t="n">
        <f aca="false">MIN(F195,Sorted!$G$2)</f>
        <v>0</v>
      </c>
      <c r="H195" s="47" t="n">
        <f aca="false">MAX(0,MIN(F195-G195,$C195-(0)))</f>
        <v>0</v>
      </c>
      <c r="I195" s="47" t="n">
        <f aca="false">ROUND(F195-G195-H195,2)</f>
        <v>0</v>
      </c>
      <c r="J195" s="47" t="n">
        <f aca="false">ROUND(M194*(1+Sorted!$H$3),2)</f>
        <v>0</v>
      </c>
      <c r="K195" s="47" t="n">
        <f aca="false">MIN(J195,Sorted!$G$3)</f>
        <v>0</v>
      </c>
      <c r="L195" s="47" t="n">
        <f aca="false">MAX(0,MIN(J195-K195,$C195-(H195)))</f>
        <v>0</v>
      </c>
      <c r="M195" s="47" t="n">
        <f aca="false">ROUND(J195-K195-L195,2)</f>
        <v>0</v>
      </c>
      <c r="N195" s="47" t="n">
        <f aca="false">ROUND(Q194*(1+Sorted!$H$4),2)</f>
        <v>0</v>
      </c>
      <c r="O195" s="47" t="n">
        <f aca="false">MIN(N195,Sorted!$G$4)</f>
        <v>0</v>
      </c>
      <c r="P195" s="47" t="n">
        <f aca="false">MAX(0,MIN(N195-O195,$C195-(H195+L195)))</f>
        <v>0</v>
      </c>
      <c r="Q195" s="47" t="n">
        <f aca="false">ROUND(N195-O195-P195,2)</f>
        <v>0</v>
      </c>
      <c r="R195" s="47" t="n">
        <f aca="false">ROUND(U194*(1+Sorted!$H$5),2)</f>
        <v>0</v>
      </c>
      <c r="S195" s="47" t="n">
        <f aca="false">MIN(R195,Sorted!$G$5)</f>
        <v>0</v>
      </c>
      <c r="T195" s="47" t="n">
        <f aca="false">MAX(0,MIN(R195-S195,$C195-(H195+L195+P195)))</f>
        <v>0</v>
      </c>
      <c r="U195" s="47" t="n">
        <f aca="false">ROUND(R195-S195-T195,2)</f>
        <v>0</v>
      </c>
      <c r="V195" s="47" t="n">
        <f aca="false">ROUND(Y194*(1+Sorted!$H$6),2)</f>
        <v>0</v>
      </c>
      <c r="W195" s="47" t="n">
        <f aca="false">MIN(V195,Sorted!$G$6)</f>
        <v>0</v>
      </c>
      <c r="X195" s="47" t="n">
        <f aca="false">MAX(0,MIN(V195-W195,$C195-(H195+L195+P195+T195)))</f>
        <v>0</v>
      </c>
      <c r="Y195" s="47" t="n">
        <f aca="false">ROUND(V195-W195-X195,2)</f>
        <v>0</v>
      </c>
      <c r="Z195" s="47" t="n">
        <f aca="false">ROUND(AC194*(1+Sorted!$H$7),2)</f>
        <v>0</v>
      </c>
      <c r="AA195" s="47" t="n">
        <f aca="false">MIN(Z195,Sorted!$G$7)</f>
        <v>0</v>
      </c>
      <c r="AB195" s="47" t="n">
        <f aca="false">MAX(0,MIN(Z195-AA195,$C195-(H195+L195+P195+T195+X195)))</f>
        <v>0</v>
      </c>
      <c r="AC195" s="47" t="n">
        <f aca="false">ROUND(Z195-AA195-AB195,2)</f>
        <v>0</v>
      </c>
      <c r="AD195" s="47" t="n">
        <f aca="false">ROUND(AG194*(1+Sorted!$H$8),2)</f>
        <v>0</v>
      </c>
      <c r="AE195" s="47" t="n">
        <f aca="false">MIN(AD195,Sorted!$G$8)</f>
        <v>0</v>
      </c>
      <c r="AF195" s="47" t="n">
        <f aca="false">MAX(0,MIN(AD195-AE195,$C195-(H195+L195+P195+T195+X195+AB195)))</f>
        <v>0</v>
      </c>
      <c r="AG195" s="47" t="n">
        <f aca="false">ROUND(AD195-AE195-AF195,2)</f>
        <v>0</v>
      </c>
      <c r="AH195" s="47" t="n">
        <f aca="false">ROUND(AK194*(1+Sorted!$H$9),2)</f>
        <v>0</v>
      </c>
      <c r="AI195" s="47" t="n">
        <f aca="false">MIN(AH195,Sorted!$G$9)</f>
        <v>0</v>
      </c>
      <c r="AJ195" s="47" t="n">
        <f aca="false">MAX(0,MIN(AH195-AI195,$C195-(H195+L195+P195+T195+X195+AB195+AF195)))</f>
        <v>0</v>
      </c>
      <c r="AK195" s="47" t="n">
        <f aca="false">ROUND(AH195-AI195-AJ195,2)</f>
        <v>0</v>
      </c>
      <c r="AL195" s="47" t="n">
        <f aca="false">ROUND(AO194*(1+Sorted!$H$10),2)</f>
        <v>0</v>
      </c>
      <c r="AM195" s="47" t="n">
        <f aca="false">MIN(AL195,Sorted!$G$10)</f>
        <v>0</v>
      </c>
      <c r="AN195" s="47" t="n">
        <f aca="false">MAX(0,MIN(AL195-AM195,$C195-(H195+L195+P195+T195+X195+AB195+AF195+AJ195)))</f>
        <v>0</v>
      </c>
      <c r="AO195" s="47" t="n">
        <f aca="false">ROUND(AL195-AM195-AN195,2)</f>
        <v>0</v>
      </c>
      <c r="AP195" s="47" t="n">
        <f aca="false">ROUND(AS194*(1+Sorted!$H$11),2)</f>
        <v>0</v>
      </c>
      <c r="AQ195" s="47" t="n">
        <f aca="false">MIN(AP195,Sorted!$G$11)</f>
        <v>0</v>
      </c>
      <c r="AR195" s="47" t="n">
        <f aca="false">MAX(0,MIN(AP195-AQ195,$C195-(H195+L195+P195+T195+X195+AB195+AF195+AJ195+AN195)))</f>
        <v>0</v>
      </c>
      <c r="AS195" s="47" t="n">
        <f aca="false">ROUND(AP195-AQ195-AR195,2)</f>
        <v>0</v>
      </c>
    </row>
    <row r="196" customFormat="false" ht="15" hidden="false" customHeight="false" outlineLevel="0" collapsed="false">
      <c r="A196" s="45" t="n">
        <v>193</v>
      </c>
      <c r="B196" s="46" t="n">
        <f aca="false">EDATE('My Debts'!$C$7,A196-1)</f>
        <v>52171</v>
      </c>
      <c r="C196" s="47" t="n">
        <f aca="false">MAX(0,'My Debts'!$E$6-(G196+K196+O196+S196+W196+AA196+AE196+AI196+AM196+AQ196))</f>
        <v>730</v>
      </c>
      <c r="D196" s="47" t="n">
        <f aca="false">(F196+J196+N196+R196+V196+Z196+AD196+AH196+AL196+AP196)-(I196+M196+Q196+U196+Y196+AC196+AG196+AK196+AO196+AS196)</f>
        <v>0</v>
      </c>
      <c r="E196" s="48" t="n">
        <f aca="false">I196+M196+Q196+U196+Y196+AC196+AG196+AK196+AO196+AS196</f>
        <v>0</v>
      </c>
      <c r="F196" s="47" t="n">
        <f aca="false">ROUND(I195*(1+Sorted!$H$2),2)</f>
        <v>0</v>
      </c>
      <c r="G196" s="47" t="n">
        <f aca="false">MIN(F196,Sorted!$G$2)</f>
        <v>0</v>
      </c>
      <c r="H196" s="47" t="n">
        <f aca="false">MAX(0,MIN(F196-G196,$C196-(0)))</f>
        <v>0</v>
      </c>
      <c r="I196" s="47" t="n">
        <f aca="false">ROUND(F196-G196-H196,2)</f>
        <v>0</v>
      </c>
      <c r="J196" s="47" t="n">
        <f aca="false">ROUND(M195*(1+Sorted!$H$3),2)</f>
        <v>0</v>
      </c>
      <c r="K196" s="47" t="n">
        <f aca="false">MIN(J196,Sorted!$G$3)</f>
        <v>0</v>
      </c>
      <c r="L196" s="47" t="n">
        <f aca="false">MAX(0,MIN(J196-K196,$C196-(H196)))</f>
        <v>0</v>
      </c>
      <c r="M196" s="47" t="n">
        <f aca="false">ROUND(J196-K196-L196,2)</f>
        <v>0</v>
      </c>
      <c r="N196" s="47" t="n">
        <f aca="false">ROUND(Q195*(1+Sorted!$H$4),2)</f>
        <v>0</v>
      </c>
      <c r="O196" s="47" t="n">
        <f aca="false">MIN(N196,Sorted!$G$4)</f>
        <v>0</v>
      </c>
      <c r="P196" s="47" t="n">
        <f aca="false">MAX(0,MIN(N196-O196,$C196-(H196+L196)))</f>
        <v>0</v>
      </c>
      <c r="Q196" s="47" t="n">
        <f aca="false">ROUND(N196-O196-P196,2)</f>
        <v>0</v>
      </c>
      <c r="R196" s="47" t="n">
        <f aca="false">ROUND(U195*(1+Sorted!$H$5),2)</f>
        <v>0</v>
      </c>
      <c r="S196" s="47" t="n">
        <f aca="false">MIN(R196,Sorted!$G$5)</f>
        <v>0</v>
      </c>
      <c r="T196" s="47" t="n">
        <f aca="false">MAX(0,MIN(R196-S196,$C196-(H196+L196+P196)))</f>
        <v>0</v>
      </c>
      <c r="U196" s="47" t="n">
        <f aca="false">ROUND(R196-S196-T196,2)</f>
        <v>0</v>
      </c>
      <c r="V196" s="47" t="n">
        <f aca="false">ROUND(Y195*(1+Sorted!$H$6),2)</f>
        <v>0</v>
      </c>
      <c r="W196" s="47" t="n">
        <f aca="false">MIN(V196,Sorted!$G$6)</f>
        <v>0</v>
      </c>
      <c r="X196" s="47" t="n">
        <f aca="false">MAX(0,MIN(V196-W196,$C196-(H196+L196+P196+T196)))</f>
        <v>0</v>
      </c>
      <c r="Y196" s="47" t="n">
        <f aca="false">ROUND(V196-W196-X196,2)</f>
        <v>0</v>
      </c>
      <c r="Z196" s="47" t="n">
        <f aca="false">ROUND(AC195*(1+Sorted!$H$7),2)</f>
        <v>0</v>
      </c>
      <c r="AA196" s="47" t="n">
        <f aca="false">MIN(Z196,Sorted!$G$7)</f>
        <v>0</v>
      </c>
      <c r="AB196" s="47" t="n">
        <f aca="false">MAX(0,MIN(Z196-AA196,$C196-(H196+L196+P196+T196+X196)))</f>
        <v>0</v>
      </c>
      <c r="AC196" s="47" t="n">
        <f aca="false">ROUND(Z196-AA196-AB196,2)</f>
        <v>0</v>
      </c>
      <c r="AD196" s="47" t="n">
        <f aca="false">ROUND(AG195*(1+Sorted!$H$8),2)</f>
        <v>0</v>
      </c>
      <c r="AE196" s="47" t="n">
        <f aca="false">MIN(AD196,Sorted!$G$8)</f>
        <v>0</v>
      </c>
      <c r="AF196" s="47" t="n">
        <f aca="false">MAX(0,MIN(AD196-AE196,$C196-(H196+L196+P196+T196+X196+AB196)))</f>
        <v>0</v>
      </c>
      <c r="AG196" s="47" t="n">
        <f aca="false">ROUND(AD196-AE196-AF196,2)</f>
        <v>0</v>
      </c>
      <c r="AH196" s="47" t="n">
        <f aca="false">ROUND(AK195*(1+Sorted!$H$9),2)</f>
        <v>0</v>
      </c>
      <c r="AI196" s="47" t="n">
        <f aca="false">MIN(AH196,Sorted!$G$9)</f>
        <v>0</v>
      </c>
      <c r="AJ196" s="47" t="n">
        <f aca="false">MAX(0,MIN(AH196-AI196,$C196-(H196+L196+P196+T196+X196+AB196+AF196)))</f>
        <v>0</v>
      </c>
      <c r="AK196" s="47" t="n">
        <f aca="false">ROUND(AH196-AI196-AJ196,2)</f>
        <v>0</v>
      </c>
      <c r="AL196" s="47" t="n">
        <f aca="false">ROUND(AO195*(1+Sorted!$H$10),2)</f>
        <v>0</v>
      </c>
      <c r="AM196" s="47" t="n">
        <f aca="false">MIN(AL196,Sorted!$G$10)</f>
        <v>0</v>
      </c>
      <c r="AN196" s="47" t="n">
        <f aca="false">MAX(0,MIN(AL196-AM196,$C196-(H196+L196+P196+T196+X196+AB196+AF196+AJ196)))</f>
        <v>0</v>
      </c>
      <c r="AO196" s="47" t="n">
        <f aca="false">ROUND(AL196-AM196-AN196,2)</f>
        <v>0</v>
      </c>
      <c r="AP196" s="47" t="n">
        <f aca="false">ROUND(AS195*(1+Sorted!$H$11),2)</f>
        <v>0</v>
      </c>
      <c r="AQ196" s="47" t="n">
        <f aca="false">MIN(AP196,Sorted!$G$11)</f>
        <v>0</v>
      </c>
      <c r="AR196" s="47" t="n">
        <f aca="false">MAX(0,MIN(AP196-AQ196,$C196-(H196+L196+P196+T196+X196+AB196+AF196+AJ196+AN196)))</f>
        <v>0</v>
      </c>
      <c r="AS196" s="47" t="n">
        <f aca="false">ROUND(AP196-AQ196-AR196,2)</f>
        <v>0</v>
      </c>
    </row>
    <row r="197" customFormat="false" ht="15" hidden="false" customHeight="false" outlineLevel="0" collapsed="false">
      <c r="A197" s="45" t="n">
        <v>194</v>
      </c>
      <c r="B197" s="46" t="n">
        <f aca="false">EDATE('My Debts'!$C$7,A197-1)</f>
        <v>52201</v>
      </c>
      <c r="C197" s="47" t="n">
        <f aca="false">MAX(0,'My Debts'!$E$6-(G197+K197+O197+S197+W197+AA197+AE197+AI197+AM197+AQ197))</f>
        <v>730</v>
      </c>
      <c r="D197" s="47" t="n">
        <f aca="false">(F197+J197+N197+R197+V197+Z197+AD197+AH197+AL197+AP197)-(I197+M197+Q197+U197+Y197+AC197+AG197+AK197+AO197+AS197)</f>
        <v>0</v>
      </c>
      <c r="E197" s="48" t="n">
        <f aca="false">I197+M197+Q197+U197+Y197+AC197+AG197+AK197+AO197+AS197</f>
        <v>0</v>
      </c>
      <c r="F197" s="47" t="n">
        <f aca="false">ROUND(I196*(1+Sorted!$H$2),2)</f>
        <v>0</v>
      </c>
      <c r="G197" s="47" t="n">
        <f aca="false">MIN(F197,Sorted!$G$2)</f>
        <v>0</v>
      </c>
      <c r="H197" s="47" t="n">
        <f aca="false">MAX(0,MIN(F197-G197,$C197-(0)))</f>
        <v>0</v>
      </c>
      <c r="I197" s="47" t="n">
        <f aca="false">ROUND(F197-G197-H197,2)</f>
        <v>0</v>
      </c>
      <c r="J197" s="47" t="n">
        <f aca="false">ROUND(M196*(1+Sorted!$H$3),2)</f>
        <v>0</v>
      </c>
      <c r="K197" s="47" t="n">
        <f aca="false">MIN(J197,Sorted!$G$3)</f>
        <v>0</v>
      </c>
      <c r="L197" s="47" t="n">
        <f aca="false">MAX(0,MIN(J197-K197,$C197-(H197)))</f>
        <v>0</v>
      </c>
      <c r="M197" s="47" t="n">
        <f aca="false">ROUND(J197-K197-L197,2)</f>
        <v>0</v>
      </c>
      <c r="N197" s="47" t="n">
        <f aca="false">ROUND(Q196*(1+Sorted!$H$4),2)</f>
        <v>0</v>
      </c>
      <c r="O197" s="47" t="n">
        <f aca="false">MIN(N197,Sorted!$G$4)</f>
        <v>0</v>
      </c>
      <c r="P197" s="47" t="n">
        <f aca="false">MAX(0,MIN(N197-O197,$C197-(H197+L197)))</f>
        <v>0</v>
      </c>
      <c r="Q197" s="47" t="n">
        <f aca="false">ROUND(N197-O197-P197,2)</f>
        <v>0</v>
      </c>
      <c r="R197" s="47" t="n">
        <f aca="false">ROUND(U196*(1+Sorted!$H$5),2)</f>
        <v>0</v>
      </c>
      <c r="S197" s="47" t="n">
        <f aca="false">MIN(R197,Sorted!$G$5)</f>
        <v>0</v>
      </c>
      <c r="T197" s="47" t="n">
        <f aca="false">MAX(0,MIN(R197-S197,$C197-(H197+L197+P197)))</f>
        <v>0</v>
      </c>
      <c r="U197" s="47" t="n">
        <f aca="false">ROUND(R197-S197-T197,2)</f>
        <v>0</v>
      </c>
      <c r="V197" s="47" t="n">
        <f aca="false">ROUND(Y196*(1+Sorted!$H$6),2)</f>
        <v>0</v>
      </c>
      <c r="W197" s="47" t="n">
        <f aca="false">MIN(V197,Sorted!$G$6)</f>
        <v>0</v>
      </c>
      <c r="X197" s="47" t="n">
        <f aca="false">MAX(0,MIN(V197-W197,$C197-(H197+L197+P197+T197)))</f>
        <v>0</v>
      </c>
      <c r="Y197" s="47" t="n">
        <f aca="false">ROUND(V197-W197-X197,2)</f>
        <v>0</v>
      </c>
      <c r="Z197" s="47" t="n">
        <f aca="false">ROUND(AC196*(1+Sorted!$H$7),2)</f>
        <v>0</v>
      </c>
      <c r="AA197" s="47" t="n">
        <f aca="false">MIN(Z197,Sorted!$G$7)</f>
        <v>0</v>
      </c>
      <c r="AB197" s="47" t="n">
        <f aca="false">MAX(0,MIN(Z197-AA197,$C197-(H197+L197+P197+T197+X197)))</f>
        <v>0</v>
      </c>
      <c r="AC197" s="47" t="n">
        <f aca="false">ROUND(Z197-AA197-AB197,2)</f>
        <v>0</v>
      </c>
      <c r="AD197" s="47" t="n">
        <f aca="false">ROUND(AG196*(1+Sorted!$H$8),2)</f>
        <v>0</v>
      </c>
      <c r="AE197" s="47" t="n">
        <f aca="false">MIN(AD197,Sorted!$G$8)</f>
        <v>0</v>
      </c>
      <c r="AF197" s="47" t="n">
        <f aca="false">MAX(0,MIN(AD197-AE197,$C197-(H197+L197+P197+T197+X197+AB197)))</f>
        <v>0</v>
      </c>
      <c r="AG197" s="47" t="n">
        <f aca="false">ROUND(AD197-AE197-AF197,2)</f>
        <v>0</v>
      </c>
      <c r="AH197" s="47" t="n">
        <f aca="false">ROUND(AK196*(1+Sorted!$H$9),2)</f>
        <v>0</v>
      </c>
      <c r="AI197" s="47" t="n">
        <f aca="false">MIN(AH197,Sorted!$G$9)</f>
        <v>0</v>
      </c>
      <c r="AJ197" s="47" t="n">
        <f aca="false">MAX(0,MIN(AH197-AI197,$C197-(H197+L197+P197+T197+X197+AB197+AF197)))</f>
        <v>0</v>
      </c>
      <c r="AK197" s="47" t="n">
        <f aca="false">ROUND(AH197-AI197-AJ197,2)</f>
        <v>0</v>
      </c>
      <c r="AL197" s="47" t="n">
        <f aca="false">ROUND(AO196*(1+Sorted!$H$10),2)</f>
        <v>0</v>
      </c>
      <c r="AM197" s="47" t="n">
        <f aca="false">MIN(AL197,Sorted!$G$10)</f>
        <v>0</v>
      </c>
      <c r="AN197" s="47" t="n">
        <f aca="false">MAX(0,MIN(AL197-AM197,$C197-(H197+L197+P197+T197+X197+AB197+AF197+AJ197)))</f>
        <v>0</v>
      </c>
      <c r="AO197" s="47" t="n">
        <f aca="false">ROUND(AL197-AM197-AN197,2)</f>
        <v>0</v>
      </c>
      <c r="AP197" s="47" t="n">
        <f aca="false">ROUND(AS196*(1+Sorted!$H$11),2)</f>
        <v>0</v>
      </c>
      <c r="AQ197" s="47" t="n">
        <f aca="false">MIN(AP197,Sorted!$G$11)</f>
        <v>0</v>
      </c>
      <c r="AR197" s="47" t="n">
        <f aca="false">MAX(0,MIN(AP197-AQ197,$C197-(H197+L197+P197+T197+X197+AB197+AF197+AJ197+AN197)))</f>
        <v>0</v>
      </c>
      <c r="AS197" s="47" t="n">
        <f aca="false">ROUND(AP197-AQ197-AR197,2)</f>
        <v>0</v>
      </c>
    </row>
    <row r="198" customFormat="false" ht="15" hidden="false" customHeight="false" outlineLevel="0" collapsed="false">
      <c r="A198" s="45" t="n">
        <v>195</v>
      </c>
      <c r="B198" s="46" t="n">
        <f aca="false">EDATE('My Debts'!$C$7,A198-1)</f>
        <v>52232</v>
      </c>
      <c r="C198" s="47" t="n">
        <f aca="false">MAX(0,'My Debts'!$E$6-(G198+K198+O198+S198+W198+AA198+AE198+AI198+AM198+AQ198))</f>
        <v>730</v>
      </c>
      <c r="D198" s="47" t="n">
        <f aca="false">(F198+J198+N198+R198+V198+Z198+AD198+AH198+AL198+AP198)-(I198+M198+Q198+U198+Y198+AC198+AG198+AK198+AO198+AS198)</f>
        <v>0</v>
      </c>
      <c r="E198" s="48" t="n">
        <f aca="false">I198+M198+Q198+U198+Y198+AC198+AG198+AK198+AO198+AS198</f>
        <v>0</v>
      </c>
      <c r="F198" s="47" t="n">
        <f aca="false">ROUND(I197*(1+Sorted!$H$2),2)</f>
        <v>0</v>
      </c>
      <c r="G198" s="47" t="n">
        <f aca="false">MIN(F198,Sorted!$G$2)</f>
        <v>0</v>
      </c>
      <c r="H198" s="47" t="n">
        <f aca="false">MAX(0,MIN(F198-G198,$C198-(0)))</f>
        <v>0</v>
      </c>
      <c r="I198" s="47" t="n">
        <f aca="false">ROUND(F198-G198-H198,2)</f>
        <v>0</v>
      </c>
      <c r="J198" s="47" t="n">
        <f aca="false">ROUND(M197*(1+Sorted!$H$3),2)</f>
        <v>0</v>
      </c>
      <c r="K198" s="47" t="n">
        <f aca="false">MIN(J198,Sorted!$G$3)</f>
        <v>0</v>
      </c>
      <c r="L198" s="47" t="n">
        <f aca="false">MAX(0,MIN(J198-K198,$C198-(H198)))</f>
        <v>0</v>
      </c>
      <c r="M198" s="47" t="n">
        <f aca="false">ROUND(J198-K198-L198,2)</f>
        <v>0</v>
      </c>
      <c r="N198" s="47" t="n">
        <f aca="false">ROUND(Q197*(1+Sorted!$H$4),2)</f>
        <v>0</v>
      </c>
      <c r="O198" s="47" t="n">
        <f aca="false">MIN(N198,Sorted!$G$4)</f>
        <v>0</v>
      </c>
      <c r="P198" s="47" t="n">
        <f aca="false">MAX(0,MIN(N198-O198,$C198-(H198+L198)))</f>
        <v>0</v>
      </c>
      <c r="Q198" s="47" t="n">
        <f aca="false">ROUND(N198-O198-P198,2)</f>
        <v>0</v>
      </c>
      <c r="R198" s="47" t="n">
        <f aca="false">ROUND(U197*(1+Sorted!$H$5),2)</f>
        <v>0</v>
      </c>
      <c r="S198" s="47" t="n">
        <f aca="false">MIN(R198,Sorted!$G$5)</f>
        <v>0</v>
      </c>
      <c r="T198" s="47" t="n">
        <f aca="false">MAX(0,MIN(R198-S198,$C198-(H198+L198+P198)))</f>
        <v>0</v>
      </c>
      <c r="U198" s="47" t="n">
        <f aca="false">ROUND(R198-S198-T198,2)</f>
        <v>0</v>
      </c>
      <c r="V198" s="47" t="n">
        <f aca="false">ROUND(Y197*(1+Sorted!$H$6),2)</f>
        <v>0</v>
      </c>
      <c r="W198" s="47" t="n">
        <f aca="false">MIN(V198,Sorted!$G$6)</f>
        <v>0</v>
      </c>
      <c r="X198" s="47" t="n">
        <f aca="false">MAX(0,MIN(V198-W198,$C198-(H198+L198+P198+T198)))</f>
        <v>0</v>
      </c>
      <c r="Y198" s="47" t="n">
        <f aca="false">ROUND(V198-W198-X198,2)</f>
        <v>0</v>
      </c>
      <c r="Z198" s="47" t="n">
        <f aca="false">ROUND(AC197*(1+Sorted!$H$7),2)</f>
        <v>0</v>
      </c>
      <c r="AA198" s="47" t="n">
        <f aca="false">MIN(Z198,Sorted!$G$7)</f>
        <v>0</v>
      </c>
      <c r="AB198" s="47" t="n">
        <f aca="false">MAX(0,MIN(Z198-AA198,$C198-(H198+L198+P198+T198+X198)))</f>
        <v>0</v>
      </c>
      <c r="AC198" s="47" t="n">
        <f aca="false">ROUND(Z198-AA198-AB198,2)</f>
        <v>0</v>
      </c>
      <c r="AD198" s="47" t="n">
        <f aca="false">ROUND(AG197*(1+Sorted!$H$8),2)</f>
        <v>0</v>
      </c>
      <c r="AE198" s="47" t="n">
        <f aca="false">MIN(AD198,Sorted!$G$8)</f>
        <v>0</v>
      </c>
      <c r="AF198" s="47" t="n">
        <f aca="false">MAX(0,MIN(AD198-AE198,$C198-(H198+L198+P198+T198+X198+AB198)))</f>
        <v>0</v>
      </c>
      <c r="AG198" s="47" t="n">
        <f aca="false">ROUND(AD198-AE198-AF198,2)</f>
        <v>0</v>
      </c>
      <c r="AH198" s="47" t="n">
        <f aca="false">ROUND(AK197*(1+Sorted!$H$9),2)</f>
        <v>0</v>
      </c>
      <c r="AI198" s="47" t="n">
        <f aca="false">MIN(AH198,Sorted!$G$9)</f>
        <v>0</v>
      </c>
      <c r="AJ198" s="47" t="n">
        <f aca="false">MAX(0,MIN(AH198-AI198,$C198-(H198+L198+P198+T198+X198+AB198+AF198)))</f>
        <v>0</v>
      </c>
      <c r="AK198" s="47" t="n">
        <f aca="false">ROUND(AH198-AI198-AJ198,2)</f>
        <v>0</v>
      </c>
      <c r="AL198" s="47" t="n">
        <f aca="false">ROUND(AO197*(1+Sorted!$H$10),2)</f>
        <v>0</v>
      </c>
      <c r="AM198" s="47" t="n">
        <f aca="false">MIN(AL198,Sorted!$G$10)</f>
        <v>0</v>
      </c>
      <c r="AN198" s="47" t="n">
        <f aca="false">MAX(0,MIN(AL198-AM198,$C198-(H198+L198+P198+T198+X198+AB198+AF198+AJ198)))</f>
        <v>0</v>
      </c>
      <c r="AO198" s="47" t="n">
        <f aca="false">ROUND(AL198-AM198-AN198,2)</f>
        <v>0</v>
      </c>
      <c r="AP198" s="47" t="n">
        <f aca="false">ROUND(AS197*(1+Sorted!$H$11),2)</f>
        <v>0</v>
      </c>
      <c r="AQ198" s="47" t="n">
        <f aca="false">MIN(AP198,Sorted!$G$11)</f>
        <v>0</v>
      </c>
      <c r="AR198" s="47" t="n">
        <f aca="false">MAX(0,MIN(AP198-AQ198,$C198-(H198+L198+P198+T198+X198+AB198+AF198+AJ198+AN198)))</f>
        <v>0</v>
      </c>
      <c r="AS198" s="47" t="n">
        <f aca="false">ROUND(AP198-AQ198-AR198,2)</f>
        <v>0</v>
      </c>
    </row>
    <row r="199" customFormat="false" ht="15" hidden="false" customHeight="false" outlineLevel="0" collapsed="false">
      <c r="A199" s="45" t="n">
        <v>196</v>
      </c>
      <c r="B199" s="46" t="n">
        <f aca="false">EDATE('My Debts'!$C$7,A199-1)</f>
        <v>52263</v>
      </c>
      <c r="C199" s="47" t="n">
        <f aca="false">MAX(0,'My Debts'!$E$6-(G199+K199+O199+S199+W199+AA199+AE199+AI199+AM199+AQ199))</f>
        <v>730</v>
      </c>
      <c r="D199" s="47" t="n">
        <f aca="false">(F199+J199+N199+R199+V199+Z199+AD199+AH199+AL199+AP199)-(I199+M199+Q199+U199+Y199+AC199+AG199+AK199+AO199+AS199)</f>
        <v>0</v>
      </c>
      <c r="E199" s="48" t="n">
        <f aca="false">I199+M199+Q199+U199+Y199+AC199+AG199+AK199+AO199+AS199</f>
        <v>0</v>
      </c>
      <c r="F199" s="47" t="n">
        <f aca="false">ROUND(I198*(1+Sorted!$H$2),2)</f>
        <v>0</v>
      </c>
      <c r="G199" s="47" t="n">
        <f aca="false">MIN(F199,Sorted!$G$2)</f>
        <v>0</v>
      </c>
      <c r="H199" s="47" t="n">
        <f aca="false">MAX(0,MIN(F199-G199,$C199-(0)))</f>
        <v>0</v>
      </c>
      <c r="I199" s="47" t="n">
        <f aca="false">ROUND(F199-G199-H199,2)</f>
        <v>0</v>
      </c>
      <c r="J199" s="47" t="n">
        <f aca="false">ROUND(M198*(1+Sorted!$H$3),2)</f>
        <v>0</v>
      </c>
      <c r="K199" s="47" t="n">
        <f aca="false">MIN(J199,Sorted!$G$3)</f>
        <v>0</v>
      </c>
      <c r="L199" s="47" t="n">
        <f aca="false">MAX(0,MIN(J199-K199,$C199-(H199)))</f>
        <v>0</v>
      </c>
      <c r="M199" s="47" t="n">
        <f aca="false">ROUND(J199-K199-L199,2)</f>
        <v>0</v>
      </c>
      <c r="N199" s="47" t="n">
        <f aca="false">ROUND(Q198*(1+Sorted!$H$4),2)</f>
        <v>0</v>
      </c>
      <c r="O199" s="47" t="n">
        <f aca="false">MIN(N199,Sorted!$G$4)</f>
        <v>0</v>
      </c>
      <c r="P199" s="47" t="n">
        <f aca="false">MAX(0,MIN(N199-O199,$C199-(H199+L199)))</f>
        <v>0</v>
      </c>
      <c r="Q199" s="47" t="n">
        <f aca="false">ROUND(N199-O199-P199,2)</f>
        <v>0</v>
      </c>
      <c r="R199" s="47" t="n">
        <f aca="false">ROUND(U198*(1+Sorted!$H$5),2)</f>
        <v>0</v>
      </c>
      <c r="S199" s="47" t="n">
        <f aca="false">MIN(R199,Sorted!$G$5)</f>
        <v>0</v>
      </c>
      <c r="T199" s="47" t="n">
        <f aca="false">MAX(0,MIN(R199-S199,$C199-(H199+L199+P199)))</f>
        <v>0</v>
      </c>
      <c r="U199" s="47" t="n">
        <f aca="false">ROUND(R199-S199-T199,2)</f>
        <v>0</v>
      </c>
      <c r="V199" s="47" t="n">
        <f aca="false">ROUND(Y198*(1+Sorted!$H$6),2)</f>
        <v>0</v>
      </c>
      <c r="W199" s="47" t="n">
        <f aca="false">MIN(V199,Sorted!$G$6)</f>
        <v>0</v>
      </c>
      <c r="X199" s="47" t="n">
        <f aca="false">MAX(0,MIN(V199-W199,$C199-(H199+L199+P199+T199)))</f>
        <v>0</v>
      </c>
      <c r="Y199" s="47" t="n">
        <f aca="false">ROUND(V199-W199-X199,2)</f>
        <v>0</v>
      </c>
      <c r="Z199" s="47" t="n">
        <f aca="false">ROUND(AC198*(1+Sorted!$H$7),2)</f>
        <v>0</v>
      </c>
      <c r="AA199" s="47" t="n">
        <f aca="false">MIN(Z199,Sorted!$G$7)</f>
        <v>0</v>
      </c>
      <c r="AB199" s="47" t="n">
        <f aca="false">MAX(0,MIN(Z199-AA199,$C199-(H199+L199+P199+T199+X199)))</f>
        <v>0</v>
      </c>
      <c r="AC199" s="47" t="n">
        <f aca="false">ROUND(Z199-AA199-AB199,2)</f>
        <v>0</v>
      </c>
      <c r="AD199" s="47" t="n">
        <f aca="false">ROUND(AG198*(1+Sorted!$H$8),2)</f>
        <v>0</v>
      </c>
      <c r="AE199" s="47" t="n">
        <f aca="false">MIN(AD199,Sorted!$G$8)</f>
        <v>0</v>
      </c>
      <c r="AF199" s="47" t="n">
        <f aca="false">MAX(0,MIN(AD199-AE199,$C199-(H199+L199+P199+T199+X199+AB199)))</f>
        <v>0</v>
      </c>
      <c r="AG199" s="47" t="n">
        <f aca="false">ROUND(AD199-AE199-AF199,2)</f>
        <v>0</v>
      </c>
      <c r="AH199" s="47" t="n">
        <f aca="false">ROUND(AK198*(1+Sorted!$H$9),2)</f>
        <v>0</v>
      </c>
      <c r="AI199" s="47" t="n">
        <f aca="false">MIN(AH199,Sorted!$G$9)</f>
        <v>0</v>
      </c>
      <c r="AJ199" s="47" t="n">
        <f aca="false">MAX(0,MIN(AH199-AI199,$C199-(H199+L199+P199+T199+X199+AB199+AF199)))</f>
        <v>0</v>
      </c>
      <c r="AK199" s="47" t="n">
        <f aca="false">ROUND(AH199-AI199-AJ199,2)</f>
        <v>0</v>
      </c>
      <c r="AL199" s="47" t="n">
        <f aca="false">ROUND(AO198*(1+Sorted!$H$10),2)</f>
        <v>0</v>
      </c>
      <c r="AM199" s="47" t="n">
        <f aca="false">MIN(AL199,Sorted!$G$10)</f>
        <v>0</v>
      </c>
      <c r="AN199" s="47" t="n">
        <f aca="false">MAX(0,MIN(AL199-AM199,$C199-(H199+L199+P199+T199+X199+AB199+AF199+AJ199)))</f>
        <v>0</v>
      </c>
      <c r="AO199" s="47" t="n">
        <f aca="false">ROUND(AL199-AM199-AN199,2)</f>
        <v>0</v>
      </c>
      <c r="AP199" s="47" t="n">
        <f aca="false">ROUND(AS198*(1+Sorted!$H$11),2)</f>
        <v>0</v>
      </c>
      <c r="AQ199" s="47" t="n">
        <f aca="false">MIN(AP199,Sorted!$G$11)</f>
        <v>0</v>
      </c>
      <c r="AR199" s="47" t="n">
        <f aca="false">MAX(0,MIN(AP199-AQ199,$C199-(H199+L199+P199+T199+X199+AB199+AF199+AJ199+AN199)))</f>
        <v>0</v>
      </c>
      <c r="AS199" s="47" t="n">
        <f aca="false">ROUND(AP199-AQ199-AR199,2)</f>
        <v>0</v>
      </c>
    </row>
    <row r="200" customFormat="false" ht="15" hidden="false" customHeight="false" outlineLevel="0" collapsed="false">
      <c r="A200" s="45" t="n">
        <v>197</v>
      </c>
      <c r="B200" s="46" t="n">
        <f aca="false">EDATE('My Debts'!$C$7,A200-1)</f>
        <v>52291</v>
      </c>
      <c r="C200" s="47" t="n">
        <f aca="false">MAX(0,'My Debts'!$E$6-(G200+K200+O200+S200+W200+AA200+AE200+AI200+AM200+AQ200))</f>
        <v>730</v>
      </c>
      <c r="D200" s="47" t="n">
        <f aca="false">(F200+J200+N200+R200+V200+Z200+AD200+AH200+AL200+AP200)-(I200+M200+Q200+U200+Y200+AC200+AG200+AK200+AO200+AS200)</f>
        <v>0</v>
      </c>
      <c r="E200" s="48" t="n">
        <f aca="false">I200+M200+Q200+U200+Y200+AC200+AG200+AK200+AO200+AS200</f>
        <v>0</v>
      </c>
      <c r="F200" s="47" t="n">
        <f aca="false">ROUND(I199*(1+Sorted!$H$2),2)</f>
        <v>0</v>
      </c>
      <c r="G200" s="47" t="n">
        <f aca="false">MIN(F200,Sorted!$G$2)</f>
        <v>0</v>
      </c>
      <c r="H200" s="47" t="n">
        <f aca="false">MAX(0,MIN(F200-G200,$C200-(0)))</f>
        <v>0</v>
      </c>
      <c r="I200" s="47" t="n">
        <f aca="false">ROUND(F200-G200-H200,2)</f>
        <v>0</v>
      </c>
      <c r="J200" s="47" t="n">
        <f aca="false">ROUND(M199*(1+Sorted!$H$3),2)</f>
        <v>0</v>
      </c>
      <c r="K200" s="47" t="n">
        <f aca="false">MIN(J200,Sorted!$G$3)</f>
        <v>0</v>
      </c>
      <c r="L200" s="47" t="n">
        <f aca="false">MAX(0,MIN(J200-K200,$C200-(H200)))</f>
        <v>0</v>
      </c>
      <c r="M200" s="47" t="n">
        <f aca="false">ROUND(J200-K200-L200,2)</f>
        <v>0</v>
      </c>
      <c r="N200" s="47" t="n">
        <f aca="false">ROUND(Q199*(1+Sorted!$H$4),2)</f>
        <v>0</v>
      </c>
      <c r="O200" s="47" t="n">
        <f aca="false">MIN(N200,Sorted!$G$4)</f>
        <v>0</v>
      </c>
      <c r="P200" s="47" t="n">
        <f aca="false">MAX(0,MIN(N200-O200,$C200-(H200+L200)))</f>
        <v>0</v>
      </c>
      <c r="Q200" s="47" t="n">
        <f aca="false">ROUND(N200-O200-P200,2)</f>
        <v>0</v>
      </c>
      <c r="R200" s="47" t="n">
        <f aca="false">ROUND(U199*(1+Sorted!$H$5),2)</f>
        <v>0</v>
      </c>
      <c r="S200" s="47" t="n">
        <f aca="false">MIN(R200,Sorted!$G$5)</f>
        <v>0</v>
      </c>
      <c r="T200" s="47" t="n">
        <f aca="false">MAX(0,MIN(R200-S200,$C200-(H200+L200+P200)))</f>
        <v>0</v>
      </c>
      <c r="U200" s="47" t="n">
        <f aca="false">ROUND(R200-S200-T200,2)</f>
        <v>0</v>
      </c>
      <c r="V200" s="47" t="n">
        <f aca="false">ROUND(Y199*(1+Sorted!$H$6),2)</f>
        <v>0</v>
      </c>
      <c r="W200" s="47" t="n">
        <f aca="false">MIN(V200,Sorted!$G$6)</f>
        <v>0</v>
      </c>
      <c r="X200" s="47" t="n">
        <f aca="false">MAX(0,MIN(V200-W200,$C200-(H200+L200+P200+T200)))</f>
        <v>0</v>
      </c>
      <c r="Y200" s="47" t="n">
        <f aca="false">ROUND(V200-W200-X200,2)</f>
        <v>0</v>
      </c>
      <c r="Z200" s="47" t="n">
        <f aca="false">ROUND(AC199*(1+Sorted!$H$7),2)</f>
        <v>0</v>
      </c>
      <c r="AA200" s="47" t="n">
        <f aca="false">MIN(Z200,Sorted!$G$7)</f>
        <v>0</v>
      </c>
      <c r="AB200" s="47" t="n">
        <f aca="false">MAX(0,MIN(Z200-AA200,$C200-(H200+L200+P200+T200+X200)))</f>
        <v>0</v>
      </c>
      <c r="AC200" s="47" t="n">
        <f aca="false">ROUND(Z200-AA200-AB200,2)</f>
        <v>0</v>
      </c>
      <c r="AD200" s="47" t="n">
        <f aca="false">ROUND(AG199*(1+Sorted!$H$8),2)</f>
        <v>0</v>
      </c>
      <c r="AE200" s="47" t="n">
        <f aca="false">MIN(AD200,Sorted!$G$8)</f>
        <v>0</v>
      </c>
      <c r="AF200" s="47" t="n">
        <f aca="false">MAX(0,MIN(AD200-AE200,$C200-(H200+L200+P200+T200+X200+AB200)))</f>
        <v>0</v>
      </c>
      <c r="AG200" s="47" t="n">
        <f aca="false">ROUND(AD200-AE200-AF200,2)</f>
        <v>0</v>
      </c>
      <c r="AH200" s="47" t="n">
        <f aca="false">ROUND(AK199*(1+Sorted!$H$9),2)</f>
        <v>0</v>
      </c>
      <c r="AI200" s="47" t="n">
        <f aca="false">MIN(AH200,Sorted!$G$9)</f>
        <v>0</v>
      </c>
      <c r="AJ200" s="47" t="n">
        <f aca="false">MAX(0,MIN(AH200-AI200,$C200-(H200+L200+P200+T200+X200+AB200+AF200)))</f>
        <v>0</v>
      </c>
      <c r="AK200" s="47" t="n">
        <f aca="false">ROUND(AH200-AI200-AJ200,2)</f>
        <v>0</v>
      </c>
      <c r="AL200" s="47" t="n">
        <f aca="false">ROUND(AO199*(1+Sorted!$H$10),2)</f>
        <v>0</v>
      </c>
      <c r="AM200" s="47" t="n">
        <f aca="false">MIN(AL200,Sorted!$G$10)</f>
        <v>0</v>
      </c>
      <c r="AN200" s="47" t="n">
        <f aca="false">MAX(0,MIN(AL200-AM200,$C200-(H200+L200+P200+T200+X200+AB200+AF200+AJ200)))</f>
        <v>0</v>
      </c>
      <c r="AO200" s="47" t="n">
        <f aca="false">ROUND(AL200-AM200-AN200,2)</f>
        <v>0</v>
      </c>
      <c r="AP200" s="47" t="n">
        <f aca="false">ROUND(AS199*(1+Sorted!$H$11),2)</f>
        <v>0</v>
      </c>
      <c r="AQ200" s="47" t="n">
        <f aca="false">MIN(AP200,Sorted!$G$11)</f>
        <v>0</v>
      </c>
      <c r="AR200" s="47" t="n">
        <f aca="false">MAX(0,MIN(AP200-AQ200,$C200-(H200+L200+P200+T200+X200+AB200+AF200+AJ200+AN200)))</f>
        <v>0</v>
      </c>
      <c r="AS200" s="47" t="n">
        <f aca="false">ROUND(AP200-AQ200-AR200,2)</f>
        <v>0</v>
      </c>
    </row>
    <row r="201" customFormat="false" ht="15" hidden="false" customHeight="false" outlineLevel="0" collapsed="false">
      <c r="A201" s="45" t="n">
        <v>198</v>
      </c>
      <c r="B201" s="46" t="n">
        <f aca="false">EDATE('My Debts'!$C$7,A201-1)</f>
        <v>52322</v>
      </c>
      <c r="C201" s="47" t="n">
        <f aca="false">MAX(0,'My Debts'!$E$6-(G201+K201+O201+S201+W201+AA201+AE201+AI201+AM201+AQ201))</f>
        <v>730</v>
      </c>
      <c r="D201" s="47" t="n">
        <f aca="false">(F201+J201+N201+R201+V201+Z201+AD201+AH201+AL201+AP201)-(I201+M201+Q201+U201+Y201+AC201+AG201+AK201+AO201+AS201)</f>
        <v>0</v>
      </c>
      <c r="E201" s="48" t="n">
        <f aca="false">I201+M201+Q201+U201+Y201+AC201+AG201+AK201+AO201+AS201</f>
        <v>0</v>
      </c>
      <c r="F201" s="47" t="n">
        <f aca="false">ROUND(I200*(1+Sorted!$H$2),2)</f>
        <v>0</v>
      </c>
      <c r="G201" s="47" t="n">
        <f aca="false">MIN(F201,Sorted!$G$2)</f>
        <v>0</v>
      </c>
      <c r="H201" s="47" t="n">
        <f aca="false">MAX(0,MIN(F201-G201,$C201-(0)))</f>
        <v>0</v>
      </c>
      <c r="I201" s="47" t="n">
        <f aca="false">ROUND(F201-G201-H201,2)</f>
        <v>0</v>
      </c>
      <c r="J201" s="47" t="n">
        <f aca="false">ROUND(M200*(1+Sorted!$H$3),2)</f>
        <v>0</v>
      </c>
      <c r="K201" s="47" t="n">
        <f aca="false">MIN(J201,Sorted!$G$3)</f>
        <v>0</v>
      </c>
      <c r="L201" s="47" t="n">
        <f aca="false">MAX(0,MIN(J201-K201,$C201-(H201)))</f>
        <v>0</v>
      </c>
      <c r="M201" s="47" t="n">
        <f aca="false">ROUND(J201-K201-L201,2)</f>
        <v>0</v>
      </c>
      <c r="N201" s="47" t="n">
        <f aca="false">ROUND(Q200*(1+Sorted!$H$4),2)</f>
        <v>0</v>
      </c>
      <c r="O201" s="47" t="n">
        <f aca="false">MIN(N201,Sorted!$G$4)</f>
        <v>0</v>
      </c>
      <c r="P201" s="47" t="n">
        <f aca="false">MAX(0,MIN(N201-O201,$C201-(H201+L201)))</f>
        <v>0</v>
      </c>
      <c r="Q201" s="47" t="n">
        <f aca="false">ROUND(N201-O201-P201,2)</f>
        <v>0</v>
      </c>
      <c r="R201" s="47" t="n">
        <f aca="false">ROUND(U200*(1+Sorted!$H$5),2)</f>
        <v>0</v>
      </c>
      <c r="S201" s="47" t="n">
        <f aca="false">MIN(R201,Sorted!$G$5)</f>
        <v>0</v>
      </c>
      <c r="T201" s="47" t="n">
        <f aca="false">MAX(0,MIN(R201-S201,$C201-(H201+L201+P201)))</f>
        <v>0</v>
      </c>
      <c r="U201" s="47" t="n">
        <f aca="false">ROUND(R201-S201-T201,2)</f>
        <v>0</v>
      </c>
      <c r="V201" s="47" t="n">
        <f aca="false">ROUND(Y200*(1+Sorted!$H$6),2)</f>
        <v>0</v>
      </c>
      <c r="W201" s="47" t="n">
        <f aca="false">MIN(V201,Sorted!$G$6)</f>
        <v>0</v>
      </c>
      <c r="X201" s="47" t="n">
        <f aca="false">MAX(0,MIN(V201-W201,$C201-(H201+L201+P201+T201)))</f>
        <v>0</v>
      </c>
      <c r="Y201" s="47" t="n">
        <f aca="false">ROUND(V201-W201-X201,2)</f>
        <v>0</v>
      </c>
      <c r="Z201" s="47" t="n">
        <f aca="false">ROUND(AC200*(1+Sorted!$H$7),2)</f>
        <v>0</v>
      </c>
      <c r="AA201" s="47" t="n">
        <f aca="false">MIN(Z201,Sorted!$G$7)</f>
        <v>0</v>
      </c>
      <c r="AB201" s="47" t="n">
        <f aca="false">MAX(0,MIN(Z201-AA201,$C201-(H201+L201+P201+T201+X201)))</f>
        <v>0</v>
      </c>
      <c r="AC201" s="47" t="n">
        <f aca="false">ROUND(Z201-AA201-AB201,2)</f>
        <v>0</v>
      </c>
      <c r="AD201" s="47" t="n">
        <f aca="false">ROUND(AG200*(1+Sorted!$H$8),2)</f>
        <v>0</v>
      </c>
      <c r="AE201" s="47" t="n">
        <f aca="false">MIN(AD201,Sorted!$G$8)</f>
        <v>0</v>
      </c>
      <c r="AF201" s="47" t="n">
        <f aca="false">MAX(0,MIN(AD201-AE201,$C201-(H201+L201+P201+T201+X201+AB201)))</f>
        <v>0</v>
      </c>
      <c r="AG201" s="47" t="n">
        <f aca="false">ROUND(AD201-AE201-AF201,2)</f>
        <v>0</v>
      </c>
      <c r="AH201" s="47" t="n">
        <f aca="false">ROUND(AK200*(1+Sorted!$H$9),2)</f>
        <v>0</v>
      </c>
      <c r="AI201" s="47" t="n">
        <f aca="false">MIN(AH201,Sorted!$G$9)</f>
        <v>0</v>
      </c>
      <c r="AJ201" s="47" t="n">
        <f aca="false">MAX(0,MIN(AH201-AI201,$C201-(H201+L201+P201+T201+X201+AB201+AF201)))</f>
        <v>0</v>
      </c>
      <c r="AK201" s="47" t="n">
        <f aca="false">ROUND(AH201-AI201-AJ201,2)</f>
        <v>0</v>
      </c>
      <c r="AL201" s="47" t="n">
        <f aca="false">ROUND(AO200*(1+Sorted!$H$10),2)</f>
        <v>0</v>
      </c>
      <c r="AM201" s="47" t="n">
        <f aca="false">MIN(AL201,Sorted!$G$10)</f>
        <v>0</v>
      </c>
      <c r="AN201" s="47" t="n">
        <f aca="false">MAX(0,MIN(AL201-AM201,$C201-(H201+L201+P201+T201+X201+AB201+AF201+AJ201)))</f>
        <v>0</v>
      </c>
      <c r="AO201" s="47" t="n">
        <f aca="false">ROUND(AL201-AM201-AN201,2)</f>
        <v>0</v>
      </c>
      <c r="AP201" s="47" t="n">
        <f aca="false">ROUND(AS200*(1+Sorted!$H$11),2)</f>
        <v>0</v>
      </c>
      <c r="AQ201" s="47" t="n">
        <f aca="false">MIN(AP201,Sorted!$G$11)</f>
        <v>0</v>
      </c>
      <c r="AR201" s="47" t="n">
        <f aca="false">MAX(0,MIN(AP201-AQ201,$C201-(H201+L201+P201+T201+X201+AB201+AF201+AJ201+AN201)))</f>
        <v>0</v>
      </c>
      <c r="AS201" s="47" t="n">
        <f aca="false">ROUND(AP201-AQ201-AR201,2)</f>
        <v>0</v>
      </c>
    </row>
    <row r="202" customFormat="false" ht="15" hidden="false" customHeight="false" outlineLevel="0" collapsed="false">
      <c r="A202" s="45" t="n">
        <v>199</v>
      </c>
      <c r="B202" s="46" t="n">
        <f aca="false">EDATE('My Debts'!$C$7,A202-1)</f>
        <v>52352</v>
      </c>
      <c r="C202" s="47" t="n">
        <f aca="false">MAX(0,'My Debts'!$E$6-(G202+K202+O202+S202+W202+AA202+AE202+AI202+AM202+AQ202))</f>
        <v>730</v>
      </c>
      <c r="D202" s="47" t="n">
        <f aca="false">(F202+J202+N202+R202+V202+Z202+AD202+AH202+AL202+AP202)-(I202+M202+Q202+U202+Y202+AC202+AG202+AK202+AO202+AS202)</f>
        <v>0</v>
      </c>
      <c r="E202" s="48" t="n">
        <f aca="false">I202+M202+Q202+U202+Y202+AC202+AG202+AK202+AO202+AS202</f>
        <v>0</v>
      </c>
      <c r="F202" s="47" t="n">
        <f aca="false">ROUND(I201*(1+Sorted!$H$2),2)</f>
        <v>0</v>
      </c>
      <c r="G202" s="47" t="n">
        <f aca="false">MIN(F202,Sorted!$G$2)</f>
        <v>0</v>
      </c>
      <c r="H202" s="47" t="n">
        <f aca="false">MAX(0,MIN(F202-G202,$C202-(0)))</f>
        <v>0</v>
      </c>
      <c r="I202" s="47" t="n">
        <f aca="false">ROUND(F202-G202-H202,2)</f>
        <v>0</v>
      </c>
      <c r="J202" s="47" t="n">
        <f aca="false">ROUND(M201*(1+Sorted!$H$3),2)</f>
        <v>0</v>
      </c>
      <c r="K202" s="47" t="n">
        <f aca="false">MIN(J202,Sorted!$G$3)</f>
        <v>0</v>
      </c>
      <c r="L202" s="47" t="n">
        <f aca="false">MAX(0,MIN(J202-K202,$C202-(H202)))</f>
        <v>0</v>
      </c>
      <c r="M202" s="47" t="n">
        <f aca="false">ROUND(J202-K202-L202,2)</f>
        <v>0</v>
      </c>
      <c r="N202" s="47" t="n">
        <f aca="false">ROUND(Q201*(1+Sorted!$H$4),2)</f>
        <v>0</v>
      </c>
      <c r="O202" s="47" t="n">
        <f aca="false">MIN(N202,Sorted!$G$4)</f>
        <v>0</v>
      </c>
      <c r="P202" s="47" t="n">
        <f aca="false">MAX(0,MIN(N202-O202,$C202-(H202+L202)))</f>
        <v>0</v>
      </c>
      <c r="Q202" s="47" t="n">
        <f aca="false">ROUND(N202-O202-P202,2)</f>
        <v>0</v>
      </c>
      <c r="R202" s="47" t="n">
        <f aca="false">ROUND(U201*(1+Sorted!$H$5),2)</f>
        <v>0</v>
      </c>
      <c r="S202" s="47" t="n">
        <f aca="false">MIN(R202,Sorted!$G$5)</f>
        <v>0</v>
      </c>
      <c r="T202" s="47" t="n">
        <f aca="false">MAX(0,MIN(R202-S202,$C202-(H202+L202+P202)))</f>
        <v>0</v>
      </c>
      <c r="U202" s="47" t="n">
        <f aca="false">ROUND(R202-S202-T202,2)</f>
        <v>0</v>
      </c>
      <c r="V202" s="47" t="n">
        <f aca="false">ROUND(Y201*(1+Sorted!$H$6),2)</f>
        <v>0</v>
      </c>
      <c r="W202" s="47" t="n">
        <f aca="false">MIN(V202,Sorted!$G$6)</f>
        <v>0</v>
      </c>
      <c r="X202" s="47" t="n">
        <f aca="false">MAX(0,MIN(V202-W202,$C202-(H202+L202+P202+T202)))</f>
        <v>0</v>
      </c>
      <c r="Y202" s="47" t="n">
        <f aca="false">ROUND(V202-W202-X202,2)</f>
        <v>0</v>
      </c>
      <c r="Z202" s="47" t="n">
        <f aca="false">ROUND(AC201*(1+Sorted!$H$7),2)</f>
        <v>0</v>
      </c>
      <c r="AA202" s="47" t="n">
        <f aca="false">MIN(Z202,Sorted!$G$7)</f>
        <v>0</v>
      </c>
      <c r="AB202" s="47" t="n">
        <f aca="false">MAX(0,MIN(Z202-AA202,$C202-(H202+L202+P202+T202+X202)))</f>
        <v>0</v>
      </c>
      <c r="AC202" s="47" t="n">
        <f aca="false">ROUND(Z202-AA202-AB202,2)</f>
        <v>0</v>
      </c>
      <c r="AD202" s="47" t="n">
        <f aca="false">ROUND(AG201*(1+Sorted!$H$8),2)</f>
        <v>0</v>
      </c>
      <c r="AE202" s="47" t="n">
        <f aca="false">MIN(AD202,Sorted!$G$8)</f>
        <v>0</v>
      </c>
      <c r="AF202" s="47" t="n">
        <f aca="false">MAX(0,MIN(AD202-AE202,$C202-(H202+L202+P202+T202+X202+AB202)))</f>
        <v>0</v>
      </c>
      <c r="AG202" s="47" t="n">
        <f aca="false">ROUND(AD202-AE202-AF202,2)</f>
        <v>0</v>
      </c>
      <c r="AH202" s="47" t="n">
        <f aca="false">ROUND(AK201*(1+Sorted!$H$9),2)</f>
        <v>0</v>
      </c>
      <c r="AI202" s="47" t="n">
        <f aca="false">MIN(AH202,Sorted!$G$9)</f>
        <v>0</v>
      </c>
      <c r="AJ202" s="47" t="n">
        <f aca="false">MAX(0,MIN(AH202-AI202,$C202-(H202+L202+P202+T202+X202+AB202+AF202)))</f>
        <v>0</v>
      </c>
      <c r="AK202" s="47" t="n">
        <f aca="false">ROUND(AH202-AI202-AJ202,2)</f>
        <v>0</v>
      </c>
      <c r="AL202" s="47" t="n">
        <f aca="false">ROUND(AO201*(1+Sorted!$H$10),2)</f>
        <v>0</v>
      </c>
      <c r="AM202" s="47" t="n">
        <f aca="false">MIN(AL202,Sorted!$G$10)</f>
        <v>0</v>
      </c>
      <c r="AN202" s="47" t="n">
        <f aca="false">MAX(0,MIN(AL202-AM202,$C202-(H202+L202+P202+T202+X202+AB202+AF202+AJ202)))</f>
        <v>0</v>
      </c>
      <c r="AO202" s="47" t="n">
        <f aca="false">ROUND(AL202-AM202-AN202,2)</f>
        <v>0</v>
      </c>
      <c r="AP202" s="47" t="n">
        <f aca="false">ROUND(AS201*(1+Sorted!$H$11),2)</f>
        <v>0</v>
      </c>
      <c r="AQ202" s="47" t="n">
        <f aca="false">MIN(AP202,Sorted!$G$11)</f>
        <v>0</v>
      </c>
      <c r="AR202" s="47" t="n">
        <f aca="false">MAX(0,MIN(AP202-AQ202,$C202-(H202+L202+P202+T202+X202+AB202+AF202+AJ202+AN202)))</f>
        <v>0</v>
      </c>
      <c r="AS202" s="47" t="n">
        <f aca="false">ROUND(AP202-AQ202-AR202,2)</f>
        <v>0</v>
      </c>
    </row>
    <row r="203" customFormat="false" ht="15" hidden="false" customHeight="false" outlineLevel="0" collapsed="false">
      <c r="A203" s="45" t="n">
        <v>200</v>
      </c>
      <c r="B203" s="46" t="n">
        <f aca="false">EDATE('My Debts'!$C$7,A203-1)</f>
        <v>52383</v>
      </c>
      <c r="C203" s="47" t="n">
        <f aca="false">MAX(0,'My Debts'!$E$6-(G203+K203+O203+S203+W203+AA203+AE203+AI203+AM203+AQ203))</f>
        <v>730</v>
      </c>
      <c r="D203" s="47" t="n">
        <f aca="false">(F203+J203+N203+R203+V203+Z203+AD203+AH203+AL203+AP203)-(I203+M203+Q203+U203+Y203+AC203+AG203+AK203+AO203+AS203)</f>
        <v>0</v>
      </c>
      <c r="E203" s="48" t="n">
        <f aca="false">I203+M203+Q203+U203+Y203+AC203+AG203+AK203+AO203+AS203</f>
        <v>0</v>
      </c>
      <c r="F203" s="47" t="n">
        <f aca="false">ROUND(I202*(1+Sorted!$H$2),2)</f>
        <v>0</v>
      </c>
      <c r="G203" s="47" t="n">
        <f aca="false">MIN(F203,Sorted!$G$2)</f>
        <v>0</v>
      </c>
      <c r="H203" s="47" t="n">
        <f aca="false">MAX(0,MIN(F203-G203,$C203-(0)))</f>
        <v>0</v>
      </c>
      <c r="I203" s="47" t="n">
        <f aca="false">ROUND(F203-G203-H203,2)</f>
        <v>0</v>
      </c>
      <c r="J203" s="47" t="n">
        <f aca="false">ROUND(M202*(1+Sorted!$H$3),2)</f>
        <v>0</v>
      </c>
      <c r="K203" s="47" t="n">
        <f aca="false">MIN(J203,Sorted!$G$3)</f>
        <v>0</v>
      </c>
      <c r="L203" s="47" t="n">
        <f aca="false">MAX(0,MIN(J203-K203,$C203-(H203)))</f>
        <v>0</v>
      </c>
      <c r="M203" s="47" t="n">
        <f aca="false">ROUND(J203-K203-L203,2)</f>
        <v>0</v>
      </c>
      <c r="N203" s="47" t="n">
        <f aca="false">ROUND(Q202*(1+Sorted!$H$4),2)</f>
        <v>0</v>
      </c>
      <c r="O203" s="47" t="n">
        <f aca="false">MIN(N203,Sorted!$G$4)</f>
        <v>0</v>
      </c>
      <c r="P203" s="47" t="n">
        <f aca="false">MAX(0,MIN(N203-O203,$C203-(H203+L203)))</f>
        <v>0</v>
      </c>
      <c r="Q203" s="47" t="n">
        <f aca="false">ROUND(N203-O203-P203,2)</f>
        <v>0</v>
      </c>
      <c r="R203" s="47" t="n">
        <f aca="false">ROUND(U202*(1+Sorted!$H$5),2)</f>
        <v>0</v>
      </c>
      <c r="S203" s="47" t="n">
        <f aca="false">MIN(R203,Sorted!$G$5)</f>
        <v>0</v>
      </c>
      <c r="T203" s="47" t="n">
        <f aca="false">MAX(0,MIN(R203-S203,$C203-(H203+L203+P203)))</f>
        <v>0</v>
      </c>
      <c r="U203" s="47" t="n">
        <f aca="false">ROUND(R203-S203-T203,2)</f>
        <v>0</v>
      </c>
      <c r="V203" s="47" t="n">
        <f aca="false">ROUND(Y202*(1+Sorted!$H$6),2)</f>
        <v>0</v>
      </c>
      <c r="W203" s="47" t="n">
        <f aca="false">MIN(V203,Sorted!$G$6)</f>
        <v>0</v>
      </c>
      <c r="X203" s="47" t="n">
        <f aca="false">MAX(0,MIN(V203-W203,$C203-(H203+L203+P203+T203)))</f>
        <v>0</v>
      </c>
      <c r="Y203" s="47" t="n">
        <f aca="false">ROUND(V203-W203-X203,2)</f>
        <v>0</v>
      </c>
      <c r="Z203" s="47" t="n">
        <f aca="false">ROUND(AC202*(1+Sorted!$H$7),2)</f>
        <v>0</v>
      </c>
      <c r="AA203" s="47" t="n">
        <f aca="false">MIN(Z203,Sorted!$G$7)</f>
        <v>0</v>
      </c>
      <c r="AB203" s="47" t="n">
        <f aca="false">MAX(0,MIN(Z203-AA203,$C203-(H203+L203+P203+T203+X203)))</f>
        <v>0</v>
      </c>
      <c r="AC203" s="47" t="n">
        <f aca="false">ROUND(Z203-AA203-AB203,2)</f>
        <v>0</v>
      </c>
      <c r="AD203" s="47" t="n">
        <f aca="false">ROUND(AG202*(1+Sorted!$H$8),2)</f>
        <v>0</v>
      </c>
      <c r="AE203" s="47" t="n">
        <f aca="false">MIN(AD203,Sorted!$G$8)</f>
        <v>0</v>
      </c>
      <c r="AF203" s="47" t="n">
        <f aca="false">MAX(0,MIN(AD203-AE203,$C203-(H203+L203+P203+T203+X203+AB203)))</f>
        <v>0</v>
      </c>
      <c r="AG203" s="47" t="n">
        <f aca="false">ROUND(AD203-AE203-AF203,2)</f>
        <v>0</v>
      </c>
      <c r="AH203" s="47" t="n">
        <f aca="false">ROUND(AK202*(1+Sorted!$H$9),2)</f>
        <v>0</v>
      </c>
      <c r="AI203" s="47" t="n">
        <f aca="false">MIN(AH203,Sorted!$G$9)</f>
        <v>0</v>
      </c>
      <c r="AJ203" s="47" t="n">
        <f aca="false">MAX(0,MIN(AH203-AI203,$C203-(H203+L203+P203+T203+X203+AB203+AF203)))</f>
        <v>0</v>
      </c>
      <c r="AK203" s="47" t="n">
        <f aca="false">ROUND(AH203-AI203-AJ203,2)</f>
        <v>0</v>
      </c>
      <c r="AL203" s="47" t="n">
        <f aca="false">ROUND(AO202*(1+Sorted!$H$10),2)</f>
        <v>0</v>
      </c>
      <c r="AM203" s="47" t="n">
        <f aca="false">MIN(AL203,Sorted!$G$10)</f>
        <v>0</v>
      </c>
      <c r="AN203" s="47" t="n">
        <f aca="false">MAX(0,MIN(AL203-AM203,$C203-(H203+L203+P203+T203+X203+AB203+AF203+AJ203)))</f>
        <v>0</v>
      </c>
      <c r="AO203" s="47" t="n">
        <f aca="false">ROUND(AL203-AM203-AN203,2)</f>
        <v>0</v>
      </c>
      <c r="AP203" s="47" t="n">
        <f aca="false">ROUND(AS202*(1+Sorted!$H$11),2)</f>
        <v>0</v>
      </c>
      <c r="AQ203" s="47" t="n">
        <f aca="false">MIN(AP203,Sorted!$G$11)</f>
        <v>0</v>
      </c>
      <c r="AR203" s="47" t="n">
        <f aca="false">MAX(0,MIN(AP203-AQ203,$C203-(H203+L203+P203+T203+X203+AB203+AF203+AJ203+AN203)))</f>
        <v>0</v>
      </c>
      <c r="AS203" s="47" t="n">
        <f aca="false">ROUND(AP203-AQ203-AR203,2)</f>
        <v>0</v>
      </c>
    </row>
    <row r="204" customFormat="false" ht="15" hidden="false" customHeight="false" outlineLevel="0" collapsed="false">
      <c r="A204" s="45" t="n">
        <v>201</v>
      </c>
      <c r="B204" s="46" t="n">
        <f aca="false">EDATE('My Debts'!$C$7,A204-1)</f>
        <v>52413</v>
      </c>
      <c r="C204" s="47" t="n">
        <f aca="false">MAX(0,'My Debts'!$E$6-(G204+K204+O204+S204+W204+AA204+AE204+AI204+AM204+AQ204))</f>
        <v>730</v>
      </c>
      <c r="D204" s="47" t="n">
        <f aca="false">(F204+J204+N204+R204+V204+Z204+AD204+AH204+AL204+AP204)-(I204+M204+Q204+U204+Y204+AC204+AG204+AK204+AO204+AS204)</f>
        <v>0</v>
      </c>
      <c r="E204" s="48" t="n">
        <f aca="false">I204+M204+Q204+U204+Y204+AC204+AG204+AK204+AO204+AS204</f>
        <v>0</v>
      </c>
      <c r="F204" s="47" t="n">
        <f aca="false">ROUND(I203*(1+Sorted!$H$2),2)</f>
        <v>0</v>
      </c>
      <c r="G204" s="47" t="n">
        <f aca="false">MIN(F204,Sorted!$G$2)</f>
        <v>0</v>
      </c>
      <c r="H204" s="47" t="n">
        <f aca="false">MAX(0,MIN(F204-G204,$C204-(0)))</f>
        <v>0</v>
      </c>
      <c r="I204" s="47" t="n">
        <f aca="false">ROUND(F204-G204-H204,2)</f>
        <v>0</v>
      </c>
      <c r="J204" s="47" t="n">
        <f aca="false">ROUND(M203*(1+Sorted!$H$3),2)</f>
        <v>0</v>
      </c>
      <c r="K204" s="47" t="n">
        <f aca="false">MIN(J204,Sorted!$G$3)</f>
        <v>0</v>
      </c>
      <c r="L204" s="47" t="n">
        <f aca="false">MAX(0,MIN(J204-K204,$C204-(H204)))</f>
        <v>0</v>
      </c>
      <c r="M204" s="47" t="n">
        <f aca="false">ROUND(J204-K204-L204,2)</f>
        <v>0</v>
      </c>
      <c r="N204" s="47" t="n">
        <f aca="false">ROUND(Q203*(1+Sorted!$H$4),2)</f>
        <v>0</v>
      </c>
      <c r="O204" s="47" t="n">
        <f aca="false">MIN(N204,Sorted!$G$4)</f>
        <v>0</v>
      </c>
      <c r="P204" s="47" t="n">
        <f aca="false">MAX(0,MIN(N204-O204,$C204-(H204+L204)))</f>
        <v>0</v>
      </c>
      <c r="Q204" s="47" t="n">
        <f aca="false">ROUND(N204-O204-P204,2)</f>
        <v>0</v>
      </c>
      <c r="R204" s="47" t="n">
        <f aca="false">ROUND(U203*(1+Sorted!$H$5),2)</f>
        <v>0</v>
      </c>
      <c r="S204" s="47" t="n">
        <f aca="false">MIN(R204,Sorted!$G$5)</f>
        <v>0</v>
      </c>
      <c r="T204" s="47" t="n">
        <f aca="false">MAX(0,MIN(R204-S204,$C204-(H204+L204+P204)))</f>
        <v>0</v>
      </c>
      <c r="U204" s="47" t="n">
        <f aca="false">ROUND(R204-S204-T204,2)</f>
        <v>0</v>
      </c>
      <c r="V204" s="47" t="n">
        <f aca="false">ROUND(Y203*(1+Sorted!$H$6),2)</f>
        <v>0</v>
      </c>
      <c r="W204" s="47" t="n">
        <f aca="false">MIN(V204,Sorted!$G$6)</f>
        <v>0</v>
      </c>
      <c r="X204" s="47" t="n">
        <f aca="false">MAX(0,MIN(V204-W204,$C204-(H204+L204+P204+T204)))</f>
        <v>0</v>
      </c>
      <c r="Y204" s="47" t="n">
        <f aca="false">ROUND(V204-W204-X204,2)</f>
        <v>0</v>
      </c>
      <c r="Z204" s="47" t="n">
        <f aca="false">ROUND(AC203*(1+Sorted!$H$7),2)</f>
        <v>0</v>
      </c>
      <c r="AA204" s="47" t="n">
        <f aca="false">MIN(Z204,Sorted!$G$7)</f>
        <v>0</v>
      </c>
      <c r="AB204" s="47" t="n">
        <f aca="false">MAX(0,MIN(Z204-AA204,$C204-(H204+L204+P204+T204+X204)))</f>
        <v>0</v>
      </c>
      <c r="AC204" s="47" t="n">
        <f aca="false">ROUND(Z204-AA204-AB204,2)</f>
        <v>0</v>
      </c>
      <c r="AD204" s="47" t="n">
        <f aca="false">ROUND(AG203*(1+Sorted!$H$8),2)</f>
        <v>0</v>
      </c>
      <c r="AE204" s="47" t="n">
        <f aca="false">MIN(AD204,Sorted!$G$8)</f>
        <v>0</v>
      </c>
      <c r="AF204" s="47" t="n">
        <f aca="false">MAX(0,MIN(AD204-AE204,$C204-(H204+L204+P204+T204+X204+AB204)))</f>
        <v>0</v>
      </c>
      <c r="AG204" s="47" t="n">
        <f aca="false">ROUND(AD204-AE204-AF204,2)</f>
        <v>0</v>
      </c>
      <c r="AH204" s="47" t="n">
        <f aca="false">ROUND(AK203*(1+Sorted!$H$9),2)</f>
        <v>0</v>
      </c>
      <c r="AI204" s="47" t="n">
        <f aca="false">MIN(AH204,Sorted!$G$9)</f>
        <v>0</v>
      </c>
      <c r="AJ204" s="47" t="n">
        <f aca="false">MAX(0,MIN(AH204-AI204,$C204-(H204+L204+P204+T204+X204+AB204+AF204)))</f>
        <v>0</v>
      </c>
      <c r="AK204" s="47" t="n">
        <f aca="false">ROUND(AH204-AI204-AJ204,2)</f>
        <v>0</v>
      </c>
      <c r="AL204" s="47" t="n">
        <f aca="false">ROUND(AO203*(1+Sorted!$H$10),2)</f>
        <v>0</v>
      </c>
      <c r="AM204" s="47" t="n">
        <f aca="false">MIN(AL204,Sorted!$G$10)</f>
        <v>0</v>
      </c>
      <c r="AN204" s="47" t="n">
        <f aca="false">MAX(0,MIN(AL204-AM204,$C204-(H204+L204+P204+T204+X204+AB204+AF204+AJ204)))</f>
        <v>0</v>
      </c>
      <c r="AO204" s="47" t="n">
        <f aca="false">ROUND(AL204-AM204-AN204,2)</f>
        <v>0</v>
      </c>
      <c r="AP204" s="47" t="n">
        <f aca="false">ROUND(AS203*(1+Sorted!$H$11),2)</f>
        <v>0</v>
      </c>
      <c r="AQ204" s="47" t="n">
        <f aca="false">MIN(AP204,Sorted!$G$11)</f>
        <v>0</v>
      </c>
      <c r="AR204" s="47" t="n">
        <f aca="false">MAX(0,MIN(AP204-AQ204,$C204-(H204+L204+P204+T204+X204+AB204+AF204+AJ204+AN204)))</f>
        <v>0</v>
      </c>
      <c r="AS204" s="47" t="n">
        <f aca="false">ROUND(AP204-AQ204-AR204,2)</f>
        <v>0</v>
      </c>
    </row>
    <row r="205" customFormat="false" ht="15" hidden="false" customHeight="false" outlineLevel="0" collapsed="false">
      <c r="A205" s="45" t="n">
        <v>202</v>
      </c>
      <c r="B205" s="46" t="n">
        <f aca="false">EDATE('My Debts'!$C$7,A205-1)</f>
        <v>52444</v>
      </c>
      <c r="C205" s="47" t="n">
        <f aca="false">MAX(0,'My Debts'!$E$6-(G205+K205+O205+S205+W205+AA205+AE205+AI205+AM205+AQ205))</f>
        <v>730</v>
      </c>
      <c r="D205" s="47" t="n">
        <f aca="false">(F205+J205+N205+R205+V205+Z205+AD205+AH205+AL205+AP205)-(I205+M205+Q205+U205+Y205+AC205+AG205+AK205+AO205+AS205)</f>
        <v>0</v>
      </c>
      <c r="E205" s="48" t="n">
        <f aca="false">I205+M205+Q205+U205+Y205+AC205+AG205+AK205+AO205+AS205</f>
        <v>0</v>
      </c>
      <c r="F205" s="47" t="n">
        <f aca="false">ROUND(I204*(1+Sorted!$H$2),2)</f>
        <v>0</v>
      </c>
      <c r="G205" s="47" t="n">
        <f aca="false">MIN(F205,Sorted!$G$2)</f>
        <v>0</v>
      </c>
      <c r="H205" s="47" t="n">
        <f aca="false">MAX(0,MIN(F205-G205,$C205-(0)))</f>
        <v>0</v>
      </c>
      <c r="I205" s="47" t="n">
        <f aca="false">ROUND(F205-G205-H205,2)</f>
        <v>0</v>
      </c>
      <c r="J205" s="47" t="n">
        <f aca="false">ROUND(M204*(1+Sorted!$H$3),2)</f>
        <v>0</v>
      </c>
      <c r="K205" s="47" t="n">
        <f aca="false">MIN(J205,Sorted!$G$3)</f>
        <v>0</v>
      </c>
      <c r="L205" s="47" t="n">
        <f aca="false">MAX(0,MIN(J205-K205,$C205-(H205)))</f>
        <v>0</v>
      </c>
      <c r="M205" s="47" t="n">
        <f aca="false">ROUND(J205-K205-L205,2)</f>
        <v>0</v>
      </c>
      <c r="N205" s="47" t="n">
        <f aca="false">ROUND(Q204*(1+Sorted!$H$4),2)</f>
        <v>0</v>
      </c>
      <c r="O205" s="47" t="n">
        <f aca="false">MIN(N205,Sorted!$G$4)</f>
        <v>0</v>
      </c>
      <c r="P205" s="47" t="n">
        <f aca="false">MAX(0,MIN(N205-O205,$C205-(H205+L205)))</f>
        <v>0</v>
      </c>
      <c r="Q205" s="47" t="n">
        <f aca="false">ROUND(N205-O205-P205,2)</f>
        <v>0</v>
      </c>
      <c r="R205" s="47" t="n">
        <f aca="false">ROUND(U204*(1+Sorted!$H$5),2)</f>
        <v>0</v>
      </c>
      <c r="S205" s="47" t="n">
        <f aca="false">MIN(R205,Sorted!$G$5)</f>
        <v>0</v>
      </c>
      <c r="T205" s="47" t="n">
        <f aca="false">MAX(0,MIN(R205-S205,$C205-(H205+L205+P205)))</f>
        <v>0</v>
      </c>
      <c r="U205" s="47" t="n">
        <f aca="false">ROUND(R205-S205-T205,2)</f>
        <v>0</v>
      </c>
      <c r="V205" s="47" t="n">
        <f aca="false">ROUND(Y204*(1+Sorted!$H$6),2)</f>
        <v>0</v>
      </c>
      <c r="W205" s="47" t="n">
        <f aca="false">MIN(V205,Sorted!$G$6)</f>
        <v>0</v>
      </c>
      <c r="X205" s="47" t="n">
        <f aca="false">MAX(0,MIN(V205-W205,$C205-(H205+L205+P205+T205)))</f>
        <v>0</v>
      </c>
      <c r="Y205" s="47" t="n">
        <f aca="false">ROUND(V205-W205-X205,2)</f>
        <v>0</v>
      </c>
      <c r="Z205" s="47" t="n">
        <f aca="false">ROUND(AC204*(1+Sorted!$H$7),2)</f>
        <v>0</v>
      </c>
      <c r="AA205" s="47" t="n">
        <f aca="false">MIN(Z205,Sorted!$G$7)</f>
        <v>0</v>
      </c>
      <c r="AB205" s="47" t="n">
        <f aca="false">MAX(0,MIN(Z205-AA205,$C205-(H205+L205+P205+T205+X205)))</f>
        <v>0</v>
      </c>
      <c r="AC205" s="47" t="n">
        <f aca="false">ROUND(Z205-AA205-AB205,2)</f>
        <v>0</v>
      </c>
      <c r="AD205" s="47" t="n">
        <f aca="false">ROUND(AG204*(1+Sorted!$H$8),2)</f>
        <v>0</v>
      </c>
      <c r="AE205" s="47" t="n">
        <f aca="false">MIN(AD205,Sorted!$G$8)</f>
        <v>0</v>
      </c>
      <c r="AF205" s="47" t="n">
        <f aca="false">MAX(0,MIN(AD205-AE205,$C205-(H205+L205+P205+T205+X205+AB205)))</f>
        <v>0</v>
      </c>
      <c r="AG205" s="47" t="n">
        <f aca="false">ROUND(AD205-AE205-AF205,2)</f>
        <v>0</v>
      </c>
      <c r="AH205" s="47" t="n">
        <f aca="false">ROUND(AK204*(1+Sorted!$H$9),2)</f>
        <v>0</v>
      </c>
      <c r="AI205" s="47" t="n">
        <f aca="false">MIN(AH205,Sorted!$G$9)</f>
        <v>0</v>
      </c>
      <c r="AJ205" s="47" t="n">
        <f aca="false">MAX(0,MIN(AH205-AI205,$C205-(H205+L205+P205+T205+X205+AB205+AF205)))</f>
        <v>0</v>
      </c>
      <c r="AK205" s="47" t="n">
        <f aca="false">ROUND(AH205-AI205-AJ205,2)</f>
        <v>0</v>
      </c>
      <c r="AL205" s="47" t="n">
        <f aca="false">ROUND(AO204*(1+Sorted!$H$10),2)</f>
        <v>0</v>
      </c>
      <c r="AM205" s="47" t="n">
        <f aca="false">MIN(AL205,Sorted!$G$10)</f>
        <v>0</v>
      </c>
      <c r="AN205" s="47" t="n">
        <f aca="false">MAX(0,MIN(AL205-AM205,$C205-(H205+L205+P205+T205+X205+AB205+AF205+AJ205)))</f>
        <v>0</v>
      </c>
      <c r="AO205" s="47" t="n">
        <f aca="false">ROUND(AL205-AM205-AN205,2)</f>
        <v>0</v>
      </c>
      <c r="AP205" s="47" t="n">
        <f aca="false">ROUND(AS204*(1+Sorted!$H$11),2)</f>
        <v>0</v>
      </c>
      <c r="AQ205" s="47" t="n">
        <f aca="false">MIN(AP205,Sorted!$G$11)</f>
        <v>0</v>
      </c>
      <c r="AR205" s="47" t="n">
        <f aca="false">MAX(0,MIN(AP205-AQ205,$C205-(H205+L205+P205+T205+X205+AB205+AF205+AJ205+AN205)))</f>
        <v>0</v>
      </c>
      <c r="AS205" s="47" t="n">
        <f aca="false">ROUND(AP205-AQ205-AR205,2)</f>
        <v>0</v>
      </c>
    </row>
    <row r="206" customFormat="false" ht="15" hidden="false" customHeight="false" outlineLevel="0" collapsed="false">
      <c r="A206" s="45" t="n">
        <v>203</v>
      </c>
      <c r="B206" s="46" t="n">
        <f aca="false">EDATE('My Debts'!$C$7,A206-1)</f>
        <v>52475</v>
      </c>
      <c r="C206" s="47" t="n">
        <f aca="false">MAX(0,'My Debts'!$E$6-(G206+K206+O206+S206+W206+AA206+AE206+AI206+AM206+AQ206))</f>
        <v>730</v>
      </c>
      <c r="D206" s="47" t="n">
        <f aca="false">(F206+J206+N206+R206+V206+Z206+AD206+AH206+AL206+AP206)-(I206+M206+Q206+U206+Y206+AC206+AG206+AK206+AO206+AS206)</f>
        <v>0</v>
      </c>
      <c r="E206" s="48" t="n">
        <f aca="false">I206+M206+Q206+U206+Y206+AC206+AG206+AK206+AO206+AS206</f>
        <v>0</v>
      </c>
      <c r="F206" s="47" t="n">
        <f aca="false">ROUND(I205*(1+Sorted!$H$2),2)</f>
        <v>0</v>
      </c>
      <c r="G206" s="47" t="n">
        <f aca="false">MIN(F206,Sorted!$G$2)</f>
        <v>0</v>
      </c>
      <c r="H206" s="47" t="n">
        <f aca="false">MAX(0,MIN(F206-G206,$C206-(0)))</f>
        <v>0</v>
      </c>
      <c r="I206" s="47" t="n">
        <f aca="false">ROUND(F206-G206-H206,2)</f>
        <v>0</v>
      </c>
      <c r="J206" s="47" t="n">
        <f aca="false">ROUND(M205*(1+Sorted!$H$3),2)</f>
        <v>0</v>
      </c>
      <c r="K206" s="47" t="n">
        <f aca="false">MIN(J206,Sorted!$G$3)</f>
        <v>0</v>
      </c>
      <c r="L206" s="47" t="n">
        <f aca="false">MAX(0,MIN(J206-K206,$C206-(H206)))</f>
        <v>0</v>
      </c>
      <c r="M206" s="47" t="n">
        <f aca="false">ROUND(J206-K206-L206,2)</f>
        <v>0</v>
      </c>
      <c r="N206" s="47" t="n">
        <f aca="false">ROUND(Q205*(1+Sorted!$H$4),2)</f>
        <v>0</v>
      </c>
      <c r="O206" s="47" t="n">
        <f aca="false">MIN(N206,Sorted!$G$4)</f>
        <v>0</v>
      </c>
      <c r="P206" s="47" t="n">
        <f aca="false">MAX(0,MIN(N206-O206,$C206-(H206+L206)))</f>
        <v>0</v>
      </c>
      <c r="Q206" s="47" t="n">
        <f aca="false">ROUND(N206-O206-P206,2)</f>
        <v>0</v>
      </c>
      <c r="R206" s="47" t="n">
        <f aca="false">ROUND(U205*(1+Sorted!$H$5),2)</f>
        <v>0</v>
      </c>
      <c r="S206" s="47" t="n">
        <f aca="false">MIN(R206,Sorted!$G$5)</f>
        <v>0</v>
      </c>
      <c r="T206" s="47" t="n">
        <f aca="false">MAX(0,MIN(R206-S206,$C206-(H206+L206+P206)))</f>
        <v>0</v>
      </c>
      <c r="U206" s="47" t="n">
        <f aca="false">ROUND(R206-S206-T206,2)</f>
        <v>0</v>
      </c>
      <c r="V206" s="47" t="n">
        <f aca="false">ROUND(Y205*(1+Sorted!$H$6),2)</f>
        <v>0</v>
      </c>
      <c r="W206" s="47" t="n">
        <f aca="false">MIN(V206,Sorted!$G$6)</f>
        <v>0</v>
      </c>
      <c r="X206" s="47" t="n">
        <f aca="false">MAX(0,MIN(V206-W206,$C206-(H206+L206+P206+T206)))</f>
        <v>0</v>
      </c>
      <c r="Y206" s="47" t="n">
        <f aca="false">ROUND(V206-W206-X206,2)</f>
        <v>0</v>
      </c>
      <c r="Z206" s="47" t="n">
        <f aca="false">ROUND(AC205*(1+Sorted!$H$7),2)</f>
        <v>0</v>
      </c>
      <c r="AA206" s="47" t="n">
        <f aca="false">MIN(Z206,Sorted!$G$7)</f>
        <v>0</v>
      </c>
      <c r="AB206" s="47" t="n">
        <f aca="false">MAX(0,MIN(Z206-AA206,$C206-(H206+L206+P206+T206+X206)))</f>
        <v>0</v>
      </c>
      <c r="AC206" s="47" t="n">
        <f aca="false">ROUND(Z206-AA206-AB206,2)</f>
        <v>0</v>
      </c>
      <c r="AD206" s="47" t="n">
        <f aca="false">ROUND(AG205*(1+Sorted!$H$8),2)</f>
        <v>0</v>
      </c>
      <c r="AE206" s="47" t="n">
        <f aca="false">MIN(AD206,Sorted!$G$8)</f>
        <v>0</v>
      </c>
      <c r="AF206" s="47" t="n">
        <f aca="false">MAX(0,MIN(AD206-AE206,$C206-(H206+L206+P206+T206+X206+AB206)))</f>
        <v>0</v>
      </c>
      <c r="AG206" s="47" t="n">
        <f aca="false">ROUND(AD206-AE206-AF206,2)</f>
        <v>0</v>
      </c>
      <c r="AH206" s="47" t="n">
        <f aca="false">ROUND(AK205*(1+Sorted!$H$9),2)</f>
        <v>0</v>
      </c>
      <c r="AI206" s="47" t="n">
        <f aca="false">MIN(AH206,Sorted!$G$9)</f>
        <v>0</v>
      </c>
      <c r="AJ206" s="47" t="n">
        <f aca="false">MAX(0,MIN(AH206-AI206,$C206-(H206+L206+P206+T206+X206+AB206+AF206)))</f>
        <v>0</v>
      </c>
      <c r="AK206" s="47" t="n">
        <f aca="false">ROUND(AH206-AI206-AJ206,2)</f>
        <v>0</v>
      </c>
      <c r="AL206" s="47" t="n">
        <f aca="false">ROUND(AO205*(1+Sorted!$H$10),2)</f>
        <v>0</v>
      </c>
      <c r="AM206" s="47" t="n">
        <f aca="false">MIN(AL206,Sorted!$G$10)</f>
        <v>0</v>
      </c>
      <c r="AN206" s="47" t="n">
        <f aca="false">MAX(0,MIN(AL206-AM206,$C206-(H206+L206+P206+T206+X206+AB206+AF206+AJ206)))</f>
        <v>0</v>
      </c>
      <c r="AO206" s="47" t="n">
        <f aca="false">ROUND(AL206-AM206-AN206,2)</f>
        <v>0</v>
      </c>
      <c r="AP206" s="47" t="n">
        <f aca="false">ROUND(AS205*(1+Sorted!$H$11),2)</f>
        <v>0</v>
      </c>
      <c r="AQ206" s="47" t="n">
        <f aca="false">MIN(AP206,Sorted!$G$11)</f>
        <v>0</v>
      </c>
      <c r="AR206" s="47" t="n">
        <f aca="false">MAX(0,MIN(AP206-AQ206,$C206-(H206+L206+P206+T206+X206+AB206+AF206+AJ206+AN206)))</f>
        <v>0</v>
      </c>
      <c r="AS206" s="47" t="n">
        <f aca="false">ROUND(AP206-AQ206-AR206,2)</f>
        <v>0</v>
      </c>
    </row>
    <row r="207" customFormat="false" ht="15" hidden="false" customHeight="false" outlineLevel="0" collapsed="false">
      <c r="A207" s="45" t="n">
        <v>204</v>
      </c>
      <c r="B207" s="46" t="n">
        <f aca="false">EDATE('My Debts'!$C$7,A207-1)</f>
        <v>52505</v>
      </c>
      <c r="C207" s="47" t="n">
        <f aca="false">MAX(0,'My Debts'!$E$6-(G207+K207+O207+S207+W207+AA207+AE207+AI207+AM207+AQ207))</f>
        <v>730</v>
      </c>
      <c r="D207" s="47" t="n">
        <f aca="false">(F207+J207+N207+R207+V207+Z207+AD207+AH207+AL207+AP207)-(I207+M207+Q207+U207+Y207+AC207+AG207+AK207+AO207+AS207)</f>
        <v>0</v>
      </c>
      <c r="E207" s="48" t="n">
        <f aca="false">I207+M207+Q207+U207+Y207+AC207+AG207+AK207+AO207+AS207</f>
        <v>0</v>
      </c>
      <c r="F207" s="47" t="n">
        <f aca="false">ROUND(I206*(1+Sorted!$H$2),2)</f>
        <v>0</v>
      </c>
      <c r="G207" s="47" t="n">
        <f aca="false">MIN(F207,Sorted!$G$2)</f>
        <v>0</v>
      </c>
      <c r="H207" s="47" t="n">
        <f aca="false">MAX(0,MIN(F207-G207,$C207-(0)))</f>
        <v>0</v>
      </c>
      <c r="I207" s="47" t="n">
        <f aca="false">ROUND(F207-G207-H207,2)</f>
        <v>0</v>
      </c>
      <c r="J207" s="47" t="n">
        <f aca="false">ROUND(M206*(1+Sorted!$H$3),2)</f>
        <v>0</v>
      </c>
      <c r="K207" s="47" t="n">
        <f aca="false">MIN(J207,Sorted!$G$3)</f>
        <v>0</v>
      </c>
      <c r="L207" s="47" t="n">
        <f aca="false">MAX(0,MIN(J207-K207,$C207-(H207)))</f>
        <v>0</v>
      </c>
      <c r="M207" s="47" t="n">
        <f aca="false">ROUND(J207-K207-L207,2)</f>
        <v>0</v>
      </c>
      <c r="N207" s="47" t="n">
        <f aca="false">ROUND(Q206*(1+Sorted!$H$4),2)</f>
        <v>0</v>
      </c>
      <c r="O207" s="47" t="n">
        <f aca="false">MIN(N207,Sorted!$G$4)</f>
        <v>0</v>
      </c>
      <c r="P207" s="47" t="n">
        <f aca="false">MAX(0,MIN(N207-O207,$C207-(H207+L207)))</f>
        <v>0</v>
      </c>
      <c r="Q207" s="47" t="n">
        <f aca="false">ROUND(N207-O207-P207,2)</f>
        <v>0</v>
      </c>
      <c r="R207" s="47" t="n">
        <f aca="false">ROUND(U206*(1+Sorted!$H$5),2)</f>
        <v>0</v>
      </c>
      <c r="S207" s="47" t="n">
        <f aca="false">MIN(R207,Sorted!$G$5)</f>
        <v>0</v>
      </c>
      <c r="T207" s="47" t="n">
        <f aca="false">MAX(0,MIN(R207-S207,$C207-(H207+L207+P207)))</f>
        <v>0</v>
      </c>
      <c r="U207" s="47" t="n">
        <f aca="false">ROUND(R207-S207-T207,2)</f>
        <v>0</v>
      </c>
      <c r="V207" s="47" t="n">
        <f aca="false">ROUND(Y206*(1+Sorted!$H$6),2)</f>
        <v>0</v>
      </c>
      <c r="W207" s="47" t="n">
        <f aca="false">MIN(V207,Sorted!$G$6)</f>
        <v>0</v>
      </c>
      <c r="X207" s="47" t="n">
        <f aca="false">MAX(0,MIN(V207-W207,$C207-(H207+L207+P207+T207)))</f>
        <v>0</v>
      </c>
      <c r="Y207" s="47" t="n">
        <f aca="false">ROUND(V207-W207-X207,2)</f>
        <v>0</v>
      </c>
      <c r="Z207" s="47" t="n">
        <f aca="false">ROUND(AC206*(1+Sorted!$H$7),2)</f>
        <v>0</v>
      </c>
      <c r="AA207" s="47" t="n">
        <f aca="false">MIN(Z207,Sorted!$G$7)</f>
        <v>0</v>
      </c>
      <c r="AB207" s="47" t="n">
        <f aca="false">MAX(0,MIN(Z207-AA207,$C207-(H207+L207+P207+T207+X207)))</f>
        <v>0</v>
      </c>
      <c r="AC207" s="47" t="n">
        <f aca="false">ROUND(Z207-AA207-AB207,2)</f>
        <v>0</v>
      </c>
      <c r="AD207" s="47" t="n">
        <f aca="false">ROUND(AG206*(1+Sorted!$H$8),2)</f>
        <v>0</v>
      </c>
      <c r="AE207" s="47" t="n">
        <f aca="false">MIN(AD207,Sorted!$G$8)</f>
        <v>0</v>
      </c>
      <c r="AF207" s="47" t="n">
        <f aca="false">MAX(0,MIN(AD207-AE207,$C207-(H207+L207+P207+T207+X207+AB207)))</f>
        <v>0</v>
      </c>
      <c r="AG207" s="47" t="n">
        <f aca="false">ROUND(AD207-AE207-AF207,2)</f>
        <v>0</v>
      </c>
      <c r="AH207" s="47" t="n">
        <f aca="false">ROUND(AK206*(1+Sorted!$H$9),2)</f>
        <v>0</v>
      </c>
      <c r="AI207" s="47" t="n">
        <f aca="false">MIN(AH207,Sorted!$G$9)</f>
        <v>0</v>
      </c>
      <c r="AJ207" s="47" t="n">
        <f aca="false">MAX(0,MIN(AH207-AI207,$C207-(H207+L207+P207+T207+X207+AB207+AF207)))</f>
        <v>0</v>
      </c>
      <c r="AK207" s="47" t="n">
        <f aca="false">ROUND(AH207-AI207-AJ207,2)</f>
        <v>0</v>
      </c>
      <c r="AL207" s="47" t="n">
        <f aca="false">ROUND(AO206*(1+Sorted!$H$10),2)</f>
        <v>0</v>
      </c>
      <c r="AM207" s="47" t="n">
        <f aca="false">MIN(AL207,Sorted!$G$10)</f>
        <v>0</v>
      </c>
      <c r="AN207" s="47" t="n">
        <f aca="false">MAX(0,MIN(AL207-AM207,$C207-(H207+L207+P207+T207+X207+AB207+AF207+AJ207)))</f>
        <v>0</v>
      </c>
      <c r="AO207" s="47" t="n">
        <f aca="false">ROUND(AL207-AM207-AN207,2)</f>
        <v>0</v>
      </c>
      <c r="AP207" s="47" t="n">
        <f aca="false">ROUND(AS206*(1+Sorted!$H$11),2)</f>
        <v>0</v>
      </c>
      <c r="AQ207" s="47" t="n">
        <f aca="false">MIN(AP207,Sorted!$G$11)</f>
        <v>0</v>
      </c>
      <c r="AR207" s="47" t="n">
        <f aca="false">MAX(0,MIN(AP207-AQ207,$C207-(H207+L207+P207+T207+X207+AB207+AF207+AJ207+AN207)))</f>
        <v>0</v>
      </c>
      <c r="AS207" s="47" t="n">
        <f aca="false">ROUND(AP207-AQ207-AR207,2)</f>
        <v>0</v>
      </c>
    </row>
    <row r="208" customFormat="false" ht="15" hidden="false" customHeight="false" outlineLevel="0" collapsed="false">
      <c r="A208" s="45" t="n">
        <v>205</v>
      </c>
      <c r="B208" s="46" t="n">
        <f aca="false">EDATE('My Debts'!$C$7,A208-1)</f>
        <v>52536</v>
      </c>
      <c r="C208" s="47" t="n">
        <f aca="false">MAX(0,'My Debts'!$E$6-(G208+K208+O208+S208+W208+AA208+AE208+AI208+AM208+AQ208))</f>
        <v>730</v>
      </c>
      <c r="D208" s="47" t="n">
        <f aca="false">(F208+J208+N208+R208+V208+Z208+AD208+AH208+AL208+AP208)-(I208+M208+Q208+U208+Y208+AC208+AG208+AK208+AO208+AS208)</f>
        <v>0</v>
      </c>
      <c r="E208" s="48" t="n">
        <f aca="false">I208+M208+Q208+U208+Y208+AC208+AG208+AK208+AO208+AS208</f>
        <v>0</v>
      </c>
      <c r="F208" s="47" t="n">
        <f aca="false">ROUND(I207*(1+Sorted!$H$2),2)</f>
        <v>0</v>
      </c>
      <c r="G208" s="47" t="n">
        <f aca="false">MIN(F208,Sorted!$G$2)</f>
        <v>0</v>
      </c>
      <c r="H208" s="47" t="n">
        <f aca="false">MAX(0,MIN(F208-G208,$C208-(0)))</f>
        <v>0</v>
      </c>
      <c r="I208" s="47" t="n">
        <f aca="false">ROUND(F208-G208-H208,2)</f>
        <v>0</v>
      </c>
      <c r="J208" s="47" t="n">
        <f aca="false">ROUND(M207*(1+Sorted!$H$3),2)</f>
        <v>0</v>
      </c>
      <c r="K208" s="47" t="n">
        <f aca="false">MIN(J208,Sorted!$G$3)</f>
        <v>0</v>
      </c>
      <c r="L208" s="47" t="n">
        <f aca="false">MAX(0,MIN(J208-K208,$C208-(H208)))</f>
        <v>0</v>
      </c>
      <c r="M208" s="47" t="n">
        <f aca="false">ROUND(J208-K208-L208,2)</f>
        <v>0</v>
      </c>
      <c r="N208" s="47" t="n">
        <f aca="false">ROUND(Q207*(1+Sorted!$H$4),2)</f>
        <v>0</v>
      </c>
      <c r="O208" s="47" t="n">
        <f aca="false">MIN(N208,Sorted!$G$4)</f>
        <v>0</v>
      </c>
      <c r="P208" s="47" t="n">
        <f aca="false">MAX(0,MIN(N208-O208,$C208-(H208+L208)))</f>
        <v>0</v>
      </c>
      <c r="Q208" s="47" t="n">
        <f aca="false">ROUND(N208-O208-P208,2)</f>
        <v>0</v>
      </c>
      <c r="R208" s="47" t="n">
        <f aca="false">ROUND(U207*(1+Sorted!$H$5),2)</f>
        <v>0</v>
      </c>
      <c r="S208" s="47" t="n">
        <f aca="false">MIN(R208,Sorted!$G$5)</f>
        <v>0</v>
      </c>
      <c r="T208" s="47" t="n">
        <f aca="false">MAX(0,MIN(R208-S208,$C208-(H208+L208+P208)))</f>
        <v>0</v>
      </c>
      <c r="U208" s="47" t="n">
        <f aca="false">ROUND(R208-S208-T208,2)</f>
        <v>0</v>
      </c>
      <c r="V208" s="47" t="n">
        <f aca="false">ROUND(Y207*(1+Sorted!$H$6),2)</f>
        <v>0</v>
      </c>
      <c r="W208" s="47" t="n">
        <f aca="false">MIN(V208,Sorted!$G$6)</f>
        <v>0</v>
      </c>
      <c r="X208" s="47" t="n">
        <f aca="false">MAX(0,MIN(V208-W208,$C208-(H208+L208+P208+T208)))</f>
        <v>0</v>
      </c>
      <c r="Y208" s="47" t="n">
        <f aca="false">ROUND(V208-W208-X208,2)</f>
        <v>0</v>
      </c>
      <c r="Z208" s="47" t="n">
        <f aca="false">ROUND(AC207*(1+Sorted!$H$7),2)</f>
        <v>0</v>
      </c>
      <c r="AA208" s="47" t="n">
        <f aca="false">MIN(Z208,Sorted!$G$7)</f>
        <v>0</v>
      </c>
      <c r="AB208" s="47" t="n">
        <f aca="false">MAX(0,MIN(Z208-AA208,$C208-(H208+L208+P208+T208+X208)))</f>
        <v>0</v>
      </c>
      <c r="AC208" s="47" t="n">
        <f aca="false">ROUND(Z208-AA208-AB208,2)</f>
        <v>0</v>
      </c>
      <c r="AD208" s="47" t="n">
        <f aca="false">ROUND(AG207*(1+Sorted!$H$8),2)</f>
        <v>0</v>
      </c>
      <c r="AE208" s="47" t="n">
        <f aca="false">MIN(AD208,Sorted!$G$8)</f>
        <v>0</v>
      </c>
      <c r="AF208" s="47" t="n">
        <f aca="false">MAX(0,MIN(AD208-AE208,$C208-(H208+L208+P208+T208+X208+AB208)))</f>
        <v>0</v>
      </c>
      <c r="AG208" s="47" t="n">
        <f aca="false">ROUND(AD208-AE208-AF208,2)</f>
        <v>0</v>
      </c>
      <c r="AH208" s="47" t="n">
        <f aca="false">ROUND(AK207*(1+Sorted!$H$9),2)</f>
        <v>0</v>
      </c>
      <c r="AI208" s="47" t="n">
        <f aca="false">MIN(AH208,Sorted!$G$9)</f>
        <v>0</v>
      </c>
      <c r="AJ208" s="47" t="n">
        <f aca="false">MAX(0,MIN(AH208-AI208,$C208-(H208+L208+P208+T208+X208+AB208+AF208)))</f>
        <v>0</v>
      </c>
      <c r="AK208" s="47" t="n">
        <f aca="false">ROUND(AH208-AI208-AJ208,2)</f>
        <v>0</v>
      </c>
      <c r="AL208" s="47" t="n">
        <f aca="false">ROUND(AO207*(1+Sorted!$H$10),2)</f>
        <v>0</v>
      </c>
      <c r="AM208" s="47" t="n">
        <f aca="false">MIN(AL208,Sorted!$G$10)</f>
        <v>0</v>
      </c>
      <c r="AN208" s="47" t="n">
        <f aca="false">MAX(0,MIN(AL208-AM208,$C208-(H208+L208+P208+T208+X208+AB208+AF208+AJ208)))</f>
        <v>0</v>
      </c>
      <c r="AO208" s="47" t="n">
        <f aca="false">ROUND(AL208-AM208-AN208,2)</f>
        <v>0</v>
      </c>
      <c r="AP208" s="47" t="n">
        <f aca="false">ROUND(AS207*(1+Sorted!$H$11),2)</f>
        <v>0</v>
      </c>
      <c r="AQ208" s="47" t="n">
        <f aca="false">MIN(AP208,Sorted!$G$11)</f>
        <v>0</v>
      </c>
      <c r="AR208" s="47" t="n">
        <f aca="false">MAX(0,MIN(AP208-AQ208,$C208-(H208+L208+P208+T208+X208+AB208+AF208+AJ208+AN208)))</f>
        <v>0</v>
      </c>
      <c r="AS208" s="47" t="n">
        <f aca="false">ROUND(AP208-AQ208-AR208,2)</f>
        <v>0</v>
      </c>
    </row>
    <row r="209" customFormat="false" ht="15" hidden="false" customHeight="false" outlineLevel="0" collapsed="false">
      <c r="A209" s="45" t="n">
        <v>206</v>
      </c>
      <c r="B209" s="46" t="n">
        <f aca="false">EDATE('My Debts'!$C$7,A209-1)</f>
        <v>52566</v>
      </c>
      <c r="C209" s="47" t="n">
        <f aca="false">MAX(0,'My Debts'!$E$6-(G209+K209+O209+S209+W209+AA209+AE209+AI209+AM209+AQ209))</f>
        <v>730</v>
      </c>
      <c r="D209" s="47" t="n">
        <f aca="false">(F209+J209+N209+R209+V209+Z209+AD209+AH209+AL209+AP209)-(I209+M209+Q209+U209+Y209+AC209+AG209+AK209+AO209+AS209)</f>
        <v>0</v>
      </c>
      <c r="E209" s="48" t="n">
        <f aca="false">I209+M209+Q209+U209+Y209+AC209+AG209+AK209+AO209+AS209</f>
        <v>0</v>
      </c>
      <c r="F209" s="47" t="n">
        <f aca="false">ROUND(I208*(1+Sorted!$H$2),2)</f>
        <v>0</v>
      </c>
      <c r="G209" s="47" t="n">
        <f aca="false">MIN(F209,Sorted!$G$2)</f>
        <v>0</v>
      </c>
      <c r="H209" s="47" t="n">
        <f aca="false">MAX(0,MIN(F209-G209,$C209-(0)))</f>
        <v>0</v>
      </c>
      <c r="I209" s="47" t="n">
        <f aca="false">ROUND(F209-G209-H209,2)</f>
        <v>0</v>
      </c>
      <c r="J209" s="47" t="n">
        <f aca="false">ROUND(M208*(1+Sorted!$H$3),2)</f>
        <v>0</v>
      </c>
      <c r="K209" s="47" t="n">
        <f aca="false">MIN(J209,Sorted!$G$3)</f>
        <v>0</v>
      </c>
      <c r="L209" s="47" t="n">
        <f aca="false">MAX(0,MIN(J209-K209,$C209-(H209)))</f>
        <v>0</v>
      </c>
      <c r="M209" s="47" t="n">
        <f aca="false">ROUND(J209-K209-L209,2)</f>
        <v>0</v>
      </c>
      <c r="N209" s="47" t="n">
        <f aca="false">ROUND(Q208*(1+Sorted!$H$4),2)</f>
        <v>0</v>
      </c>
      <c r="O209" s="47" t="n">
        <f aca="false">MIN(N209,Sorted!$G$4)</f>
        <v>0</v>
      </c>
      <c r="P209" s="47" t="n">
        <f aca="false">MAX(0,MIN(N209-O209,$C209-(H209+L209)))</f>
        <v>0</v>
      </c>
      <c r="Q209" s="47" t="n">
        <f aca="false">ROUND(N209-O209-P209,2)</f>
        <v>0</v>
      </c>
      <c r="R209" s="47" t="n">
        <f aca="false">ROUND(U208*(1+Sorted!$H$5),2)</f>
        <v>0</v>
      </c>
      <c r="S209" s="47" t="n">
        <f aca="false">MIN(R209,Sorted!$G$5)</f>
        <v>0</v>
      </c>
      <c r="T209" s="47" t="n">
        <f aca="false">MAX(0,MIN(R209-S209,$C209-(H209+L209+P209)))</f>
        <v>0</v>
      </c>
      <c r="U209" s="47" t="n">
        <f aca="false">ROUND(R209-S209-T209,2)</f>
        <v>0</v>
      </c>
      <c r="V209" s="47" t="n">
        <f aca="false">ROUND(Y208*(1+Sorted!$H$6),2)</f>
        <v>0</v>
      </c>
      <c r="W209" s="47" t="n">
        <f aca="false">MIN(V209,Sorted!$G$6)</f>
        <v>0</v>
      </c>
      <c r="X209" s="47" t="n">
        <f aca="false">MAX(0,MIN(V209-W209,$C209-(H209+L209+P209+T209)))</f>
        <v>0</v>
      </c>
      <c r="Y209" s="47" t="n">
        <f aca="false">ROUND(V209-W209-X209,2)</f>
        <v>0</v>
      </c>
      <c r="Z209" s="47" t="n">
        <f aca="false">ROUND(AC208*(1+Sorted!$H$7),2)</f>
        <v>0</v>
      </c>
      <c r="AA209" s="47" t="n">
        <f aca="false">MIN(Z209,Sorted!$G$7)</f>
        <v>0</v>
      </c>
      <c r="AB209" s="47" t="n">
        <f aca="false">MAX(0,MIN(Z209-AA209,$C209-(H209+L209+P209+T209+X209)))</f>
        <v>0</v>
      </c>
      <c r="AC209" s="47" t="n">
        <f aca="false">ROUND(Z209-AA209-AB209,2)</f>
        <v>0</v>
      </c>
      <c r="AD209" s="47" t="n">
        <f aca="false">ROUND(AG208*(1+Sorted!$H$8),2)</f>
        <v>0</v>
      </c>
      <c r="AE209" s="47" t="n">
        <f aca="false">MIN(AD209,Sorted!$G$8)</f>
        <v>0</v>
      </c>
      <c r="AF209" s="47" t="n">
        <f aca="false">MAX(0,MIN(AD209-AE209,$C209-(H209+L209+P209+T209+X209+AB209)))</f>
        <v>0</v>
      </c>
      <c r="AG209" s="47" t="n">
        <f aca="false">ROUND(AD209-AE209-AF209,2)</f>
        <v>0</v>
      </c>
      <c r="AH209" s="47" t="n">
        <f aca="false">ROUND(AK208*(1+Sorted!$H$9),2)</f>
        <v>0</v>
      </c>
      <c r="AI209" s="47" t="n">
        <f aca="false">MIN(AH209,Sorted!$G$9)</f>
        <v>0</v>
      </c>
      <c r="AJ209" s="47" t="n">
        <f aca="false">MAX(0,MIN(AH209-AI209,$C209-(H209+L209+P209+T209+X209+AB209+AF209)))</f>
        <v>0</v>
      </c>
      <c r="AK209" s="47" t="n">
        <f aca="false">ROUND(AH209-AI209-AJ209,2)</f>
        <v>0</v>
      </c>
      <c r="AL209" s="47" t="n">
        <f aca="false">ROUND(AO208*(1+Sorted!$H$10),2)</f>
        <v>0</v>
      </c>
      <c r="AM209" s="47" t="n">
        <f aca="false">MIN(AL209,Sorted!$G$10)</f>
        <v>0</v>
      </c>
      <c r="AN209" s="47" t="n">
        <f aca="false">MAX(0,MIN(AL209-AM209,$C209-(H209+L209+P209+T209+X209+AB209+AF209+AJ209)))</f>
        <v>0</v>
      </c>
      <c r="AO209" s="47" t="n">
        <f aca="false">ROUND(AL209-AM209-AN209,2)</f>
        <v>0</v>
      </c>
      <c r="AP209" s="47" t="n">
        <f aca="false">ROUND(AS208*(1+Sorted!$H$11),2)</f>
        <v>0</v>
      </c>
      <c r="AQ209" s="47" t="n">
        <f aca="false">MIN(AP209,Sorted!$G$11)</f>
        <v>0</v>
      </c>
      <c r="AR209" s="47" t="n">
        <f aca="false">MAX(0,MIN(AP209-AQ209,$C209-(H209+L209+P209+T209+X209+AB209+AF209+AJ209+AN209)))</f>
        <v>0</v>
      </c>
      <c r="AS209" s="47" t="n">
        <f aca="false">ROUND(AP209-AQ209-AR209,2)</f>
        <v>0</v>
      </c>
    </row>
    <row r="210" customFormat="false" ht="15" hidden="false" customHeight="false" outlineLevel="0" collapsed="false">
      <c r="A210" s="45" t="n">
        <v>207</v>
      </c>
      <c r="B210" s="46" t="n">
        <f aca="false">EDATE('My Debts'!$C$7,A210-1)</f>
        <v>52597</v>
      </c>
      <c r="C210" s="47" t="n">
        <f aca="false">MAX(0,'My Debts'!$E$6-(G210+K210+O210+S210+W210+AA210+AE210+AI210+AM210+AQ210))</f>
        <v>730</v>
      </c>
      <c r="D210" s="47" t="n">
        <f aca="false">(F210+J210+N210+R210+V210+Z210+AD210+AH210+AL210+AP210)-(I210+M210+Q210+U210+Y210+AC210+AG210+AK210+AO210+AS210)</f>
        <v>0</v>
      </c>
      <c r="E210" s="48" t="n">
        <f aca="false">I210+M210+Q210+U210+Y210+AC210+AG210+AK210+AO210+AS210</f>
        <v>0</v>
      </c>
      <c r="F210" s="47" t="n">
        <f aca="false">ROUND(I209*(1+Sorted!$H$2),2)</f>
        <v>0</v>
      </c>
      <c r="G210" s="47" t="n">
        <f aca="false">MIN(F210,Sorted!$G$2)</f>
        <v>0</v>
      </c>
      <c r="H210" s="47" t="n">
        <f aca="false">MAX(0,MIN(F210-G210,$C210-(0)))</f>
        <v>0</v>
      </c>
      <c r="I210" s="47" t="n">
        <f aca="false">ROUND(F210-G210-H210,2)</f>
        <v>0</v>
      </c>
      <c r="J210" s="47" t="n">
        <f aca="false">ROUND(M209*(1+Sorted!$H$3),2)</f>
        <v>0</v>
      </c>
      <c r="K210" s="47" t="n">
        <f aca="false">MIN(J210,Sorted!$G$3)</f>
        <v>0</v>
      </c>
      <c r="L210" s="47" t="n">
        <f aca="false">MAX(0,MIN(J210-K210,$C210-(H210)))</f>
        <v>0</v>
      </c>
      <c r="M210" s="47" t="n">
        <f aca="false">ROUND(J210-K210-L210,2)</f>
        <v>0</v>
      </c>
      <c r="N210" s="47" t="n">
        <f aca="false">ROUND(Q209*(1+Sorted!$H$4),2)</f>
        <v>0</v>
      </c>
      <c r="O210" s="47" t="n">
        <f aca="false">MIN(N210,Sorted!$G$4)</f>
        <v>0</v>
      </c>
      <c r="P210" s="47" t="n">
        <f aca="false">MAX(0,MIN(N210-O210,$C210-(H210+L210)))</f>
        <v>0</v>
      </c>
      <c r="Q210" s="47" t="n">
        <f aca="false">ROUND(N210-O210-P210,2)</f>
        <v>0</v>
      </c>
      <c r="R210" s="47" t="n">
        <f aca="false">ROUND(U209*(1+Sorted!$H$5),2)</f>
        <v>0</v>
      </c>
      <c r="S210" s="47" t="n">
        <f aca="false">MIN(R210,Sorted!$G$5)</f>
        <v>0</v>
      </c>
      <c r="T210" s="47" t="n">
        <f aca="false">MAX(0,MIN(R210-S210,$C210-(H210+L210+P210)))</f>
        <v>0</v>
      </c>
      <c r="U210" s="47" t="n">
        <f aca="false">ROUND(R210-S210-T210,2)</f>
        <v>0</v>
      </c>
      <c r="V210" s="47" t="n">
        <f aca="false">ROUND(Y209*(1+Sorted!$H$6),2)</f>
        <v>0</v>
      </c>
      <c r="W210" s="47" t="n">
        <f aca="false">MIN(V210,Sorted!$G$6)</f>
        <v>0</v>
      </c>
      <c r="X210" s="47" t="n">
        <f aca="false">MAX(0,MIN(V210-W210,$C210-(H210+L210+P210+T210)))</f>
        <v>0</v>
      </c>
      <c r="Y210" s="47" t="n">
        <f aca="false">ROUND(V210-W210-X210,2)</f>
        <v>0</v>
      </c>
      <c r="Z210" s="47" t="n">
        <f aca="false">ROUND(AC209*(1+Sorted!$H$7),2)</f>
        <v>0</v>
      </c>
      <c r="AA210" s="47" t="n">
        <f aca="false">MIN(Z210,Sorted!$G$7)</f>
        <v>0</v>
      </c>
      <c r="AB210" s="47" t="n">
        <f aca="false">MAX(0,MIN(Z210-AA210,$C210-(H210+L210+P210+T210+X210)))</f>
        <v>0</v>
      </c>
      <c r="AC210" s="47" t="n">
        <f aca="false">ROUND(Z210-AA210-AB210,2)</f>
        <v>0</v>
      </c>
      <c r="AD210" s="47" t="n">
        <f aca="false">ROUND(AG209*(1+Sorted!$H$8),2)</f>
        <v>0</v>
      </c>
      <c r="AE210" s="47" t="n">
        <f aca="false">MIN(AD210,Sorted!$G$8)</f>
        <v>0</v>
      </c>
      <c r="AF210" s="47" t="n">
        <f aca="false">MAX(0,MIN(AD210-AE210,$C210-(H210+L210+P210+T210+X210+AB210)))</f>
        <v>0</v>
      </c>
      <c r="AG210" s="47" t="n">
        <f aca="false">ROUND(AD210-AE210-AF210,2)</f>
        <v>0</v>
      </c>
      <c r="AH210" s="47" t="n">
        <f aca="false">ROUND(AK209*(1+Sorted!$H$9),2)</f>
        <v>0</v>
      </c>
      <c r="AI210" s="47" t="n">
        <f aca="false">MIN(AH210,Sorted!$G$9)</f>
        <v>0</v>
      </c>
      <c r="AJ210" s="47" t="n">
        <f aca="false">MAX(0,MIN(AH210-AI210,$C210-(H210+L210+P210+T210+X210+AB210+AF210)))</f>
        <v>0</v>
      </c>
      <c r="AK210" s="47" t="n">
        <f aca="false">ROUND(AH210-AI210-AJ210,2)</f>
        <v>0</v>
      </c>
      <c r="AL210" s="47" t="n">
        <f aca="false">ROUND(AO209*(1+Sorted!$H$10),2)</f>
        <v>0</v>
      </c>
      <c r="AM210" s="47" t="n">
        <f aca="false">MIN(AL210,Sorted!$G$10)</f>
        <v>0</v>
      </c>
      <c r="AN210" s="47" t="n">
        <f aca="false">MAX(0,MIN(AL210-AM210,$C210-(H210+L210+P210+T210+X210+AB210+AF210+AJ210)))</f>
        <v>0</v>
      </c>
      <c r="AO210" s="47" t="n">
        <f aca="false">ROUND(AL210-AM210-AN210,2)</f>
        <v>0</v>
      </c>
      <c r="AP210" s="47" t="n">
        <f aca="false">ROUND(AS209*(1+Sorted!$H$11),2)</f>
        <v>0</v>
      </c>
      <c r="AQ210" s="47" t="n">
        <f aca="false">MIN(AP210,Sorted!$G$11)</f>
        <v>0</v>
      </c>
      <c r="AR210" s="47" t="n">
        <f aca="false">MAX(0,MIN(AP210-AQ210,$C210-(H210+L210+P210+T210+X210+AB210+AF210+AJ210+AN210)))</f>
        <v>0</v>
      </c>
      <c r="AS210" s="47" t="n">
        <f aca="false">ROUND(AP210-AQ210-AR210,2)</f>
        <v>0</v>
      </c>
    </row>
    <row r="211" customFormat="false" ht="15" hidden="false" customHeight="false" outlineLevel="0" collapsed="false">
      <c r="A211" s="45" t="n">
        <v>208</v>
      </c>
      <c r="B211" s="46" t="n">
        <f aca="false">EDATE('My Debts'!$C$7,A211-1)</f>
        <v>52628</v>
      </c>
      <c r="C211" s="47" t="n">
        <f aca="false">MAX(0,'My Debts'!$E$6-(G211+K211+O211+S211+W211+AA211+AE211+AI211+AM211+AQ211))</f>
        <v>730</v>
      </c>
      <c r="D211" s="47" t="n">
        <f aca="false">(F211+J211+N211+R211+V211+Z211+AD211+AH211+AL211+AP211)-(I211+M211+Q211+U211+Y211+AC211+AG211+AK211+AO211+AS211)</f>
        <v>0</v>
      </c>
      <c r="E211" s="48" t="n">
        <f aca="false">I211+M211+Q211+U211+Y211+AC211+AG211+AK211+AO211+AS211</f>
        <v>0</v>
      </c>
      <c r="F211" s="47" t="n">
        <f aca="false">ROUND(I210*(1+Sorted!$H$2),2)</f>
        <v>0</v>
      </c>
      <c r="G211" s="47" t="n">
        <f aca="false">MIN(F211,Sorted!$G$2)</f>
        <v>0</v>
      </c>
      <c r="H211" s="47" t="n">
        <f aca="false">MAX(0,MIN(F211-G211,$C211-(0)))</f>
        <v>0</v>
      </c>
      <c r="I211" s="47" t="n">
        <f aca="false">ROUND(F211-G211-H211,2)</f>
        <v>0</v>
      </c>
      <c r="J211" s="47" t="n">
        <f aca="false">ROUND(M210*(1+Sorted!$H$3),2)</f>
        <v>0</v>
      </c>
      <c r="K211" s="47" t="n">
        <f aca="false">MIN(J211,Sorted!$G$3)</f>
        <v>0</v>
      </c>
      <c r="L211" s="47" t="n">
        <f aca="false">MAX(0,MIN(J211-K211,$C211-(H211)))</f>
        <v>0</v>
      </c>
      <c r="M211" s="47" t="n">
        <f aca="false">ROUND(J211-K211-L211,2)</f>
        <v>0</v>
      </c>
      <c r="N211" s="47" t="n">
        <f aca="false">ROUND(Q210*(1+Sorted!$H$4),2)</f>
        <v>0</v>
      </c>
      <c r="O211" s="47" t="n">
        <f aca="false">MIN(N211,Sorted!$G$4)</f>
        <v>0</v>
      </c>
      <c r="P211" s="47" t="n">
        <f aca="false">MAX(0,MIN(N211-O211,$C211-(H211+L211)))</f>
        <v>0</v>
      </c>
      <c r="Q211" s="47" t="n">
        <f aca="false">ROUND(N211-O211-P211,2)</f>
        <v>0</v>
      </c>
      <c r="R211" s="47" t="n">
        <f aca="false">ROUND(U210*(1+Sorted!$H$5),2)</f>
        <v>0</v>
      </c>
      <c r="S211" s="47" t="n">
        <f aca="false">MIN(R211,Sorted!$G$5)</f>
        <v>0</v>
      </c>
      <c r="T211" s="47" t="n">
        <f aca="false">MAX(0,MIN(R211-S211,$C211-(H211+L211+P211)))</f>
        <v>0</v>
      </c>
      <c r="U211" s="47" t="n">
        <f aca="false">ROUND(R211-S211-T211,2)</f>
        <v>0</v>
      </c>
      <c r="V211" s="47" t="n">
        <f aca="false">ROUND(Y210*(1+Sorted!$H$6),2)</f>
        <v>0</v>
      </c>
      <c r="W211" s="47" t="n">
        <f aca="false">MIN(V211,Sorted!$G$6)</f>
        <v>0</v>
      </c>
      <c r="X211" s="47" t="n">
        <f aca="false">MAX(0,MIN(V211-W211,$C211-(H211+L211+P211+T211)))</f>
        <v>0</v>
      </c>
      <c r="Y211" s="47" t="n">
        <f aca="false">ROUND(V211-W211-X211,2)</f>
        <v>0</v>
      </c>
      <c r="Z211" s="47" t="n">
        <f aca="false">ROUND(AC210*(1+Sorted!$H$7),2)</f>
        <v>0</v>
      </c>
      <c r="AA211" s="47" t="n">
        <f aca="false">MIN(Z211,Sorted!$G$7)</f>
        <v>0</v>
      </c>
      <c r="AB211" s="47" t="n">
        <f aca="false">MAX(0,MIN(Z211-AA211,$C211-(H211+L211+P211+T211+X211)))</f>
        <v>0</v>
      </c>
      <c r="AC211" s="47" t="n">
        <f aca="false">ROUND(Z211-AA211-AB211,2)</f>
        <v>0</v>
      </c>
      <c r="AD211" s="47" t="n">
        <f aca="false">ROUND(AG210*(1+Sorted!$H$8),2)</f>
        <v>0</v>
      </c>
      <c r="AE211" s="47" t="n">
        <f aca="false">MIN(AD211,Sorted!$G$8)</f>
        <v>0</v>
      </c>
      <c r="AF211" s="47" t="n">
        <f aca="false">MAX(0,MIN(AD211-AE211,$C211-(H211+L211+P211+T211+X211+AB211)))</f>
        <v>0</v>
      </c>
      <c r="AG211" s="47" t="n">
        <f aca="false">ROUND(AD211-AE211-AF211,2)</f>
        <v>0</v>
      </c>
      <c r="AH211" s="47" t="n">
        <f aca="false">ROUND(AK210*(1+Sorted!$H$9),2)</f>
        <v>0</v>
      </c>
      <c r="AI211" s="47" t="n">
        <f aca="false">MIN(AH211,Sorted!$G$9)</f>
        <v>0</v>
      </c>
      <c r="AJ211" s="47" t="n">
        <f aca="false">MAX(0,MIN(AH211-AI211,$C211-(H211+L211+P211+T211+X211+AB211+AF211)))</f>
        <v>0</v>
      </c>
      <c r="AK211" s="47" t="n">
        <f aca="false">ROUND(AH211-AI211-AJ211,2)</f>
        <v>0</v>
      </c>
      <c r="AL211" s="47" t="n">
        <f aca="false">ROUND(AO210*(1+Sorted!$H$10),2)</f>
        <v>0</v>
      </c>
      <c r="AM211" s="47" t="n">
        <f aca="false">MIN(AL211,Sorted!$G$10)</f>
        <v>0</v>
      </c>
      <c r="AN211" s="47" t="n">
        <f aca="false">MAX(0,MIN(AL211-AM211,$C211-(H211+L211+P211+T211+X211+AB211+AF211+AJ211)))</f>
        <v>0</v>
      </c>
      <c r="AO211" s="47" t="n">
        <f aca="false">ROUND(AL211-AM211-AN211,2)</f>
        <v>0</v>
      </c>
      <c r="AP211" s="47" t="n">
        <f aca="false">ROUND(AS210*(1+Sorted!$H$11),2)</f>
        <v>0</v>
      </c>
      <c r="AQ211" s="47" t="n">
        <f aca="false">MIN(AP211,Sorted!$G$11)</f>
        <v>0</v>
      </c>
      <c r="AR211" s="47" t="n">
        <f aca="false">MAX(0,MIN(AP211-AQ211,$C211-(H211+L211+P211+T211+X211+AB211+AF211+AJ211+AN211)))</f>
        <v>0</v>
      </c>
      <c r="AS211" s="47" t="n">
        <f aca="false">ROUND(AP211-AQ211-AR211,2)</f>
        <v>0</v>
      </c>
    </row>
    <row r="212" customFormat="false" ht="15" hidden="false" customHeight="false" outlineLevel="0" collapsed="false">
      <c r="A212" s="45" t="n">
        <v>209</v>
      </c>
      <c r="B212" s="46" t="n">
        <f aca="false">EDATE('My Debts'!$C$7,A212-1)</f>
        <v>52657</v>
      </c>
      <c r="C212" s="47" t="n">
        <f aca="false">MAX(0,'My Debts'!$E$6-(G212+K212+O212+S212+W212+AA212+AE212+AI212+AM212+AQ212))</f>
        <v>730</v>
      </c>
      <c r="D212" s="47" t="n">
        <f aca="false">(F212+J212+N212+R212+V212+Z212+AD212+AH212+AL212+AP212)-(I212+M212+Q212+U212+Y212+AC212+AG212+AK212+AO212+AS212)</f>
        <v>0</v>
      </c>
      <c r="E212" s="48" t="n">
        <f aca="false">I212+M212+Q212+U212+Y212+AC212+AG212+AK212+AO212+AS212</f>
        <v>0</v>
      </c>
      <c r="F212" s="47" t="n">
        <f aca="false">ROUND(I211*(1+Sorted!$H$2),2)</f>
        <v>0</v>
      </c>
      <c r="G212" s="47" t="n">
        <f aca="false">MIN(F212,Sorted!$G$2)</f>
        <v>0</v>
      </c>
      <c r="H212" s="47" t="n">
        <f aca="false">MAX(0,MIN(F212-G212,$C212-(0)))</f>
        <v>0</v>
      </c>
      <c r="I212" s="47" t="n">
        <f aca="false">ROUND(F212-G212-H212,2)</f>
        <v>0</v>
      </c>
      <c r="J212" s="47" t="n">
        <f aca="false">ROUND(M211*(1+Sorted!$H$3),2)</f>
        <v>0</v>
      </c>
      <c r="K212" s="47" t="n">
        <f aca="false">MIN(J212,Sorted!$G$3)</f>
        <v>0</v>
      </c>
      <c r="L212" s="47" t="n">
        <f aca="false">MAX(0,MIN(J212-K212,$C212-(H212)))</f>
        <v>0</v>
      </c>
      <c r="M212" s="47" t="n">
        <f aca="false">ROUND(J212-K212-L212,2)</f>
        <v>0</v>
      </c>
      <c r="N212" s="47" t="n">
        <f aca="false">ROUND(Q211*(1+Sorted!$H$4),2)</f>
        <v>0</v>
      </c>
      <c r="O212" s="47" t="n">
        <f aca="false">MIN(N212,Sorted!$G$4)</f>
        <v>0</v>
      </c>
      <c r="P212" s="47" t="n">
        <f aca="false">MAX(0,MIN(N212-O212,$C212-(H212+L212)))</f>
        <v>0</v>
      </c>
      <c r="Q212" s="47" t="n">
        <f aca="false">ROUND(N212-O212-P212,2)</f>
        <v>0</v>
      </c>
      <c r="R212" s="47" t="n">
        <f aca="false">ROUND(U211*(1+Sorted!$H$5),2)</f>
        <v>0</v>
      </c>
      <c r="S212" s="47" t="n">
        <f aca="false">MIN(R212,Sorted!$G$5)</f>
        <v>0</v>
      </c>
      <c r="T212" s="47" t="n">
        <f aca="false">MAX(0,MIN(R212-S212,$C212-(H212+L212+P212)))</f>
        <v>0</v>
      </c>
      <c r="U212" s="47" t="n">
        <f aca="false">ROUND(R212-S212-T212,2)</f>
        <v>0</v>
      </c>
      <c r="V212" s="47" t="n">
        <f aca="false">ROUND(Y211*(1+Sorted!$H$6),2)</f>
        <v>0</v>
      </c>
      <c r="W212" s="47" t="n">
        <f aca="false">MIN(V212,Sorted!$G$6)</f>
        <v>0</v>
      </c>
      <c r="X212" s="47" t="n">
        <f aca="false">MAX(0,MIN(V212-W212,$C212-(H212+L212+P212+T212)))</f>
        <v>0</v>
      </c>
      <c r="Y212" s="47" t="n">
        <f aca="false">ROUND(V212-W212-X212,2)</f>
        <v>0</v>
      </c>
      <c r="Z212" s="47" t="n">
        <f aca="false">ROUND(AC211*(1+Sorted!$H$7),2)</f>
        <v>0</v>
      </c>
      <c r="AA212" s="47" t="n">
        <f aca="false">MIN(Z212,Sorted!$G$7)</f>
        <v>0</v>
      </c>
      <c r="AB212" s="47" t="n">
        <f aca="false">MAX(0,MIN(Z212-AA212,$C212-(H212+L212+P212+T212+X212)))</f>
        <v>0</v>
      </c>
      <c r="AC212" s="47" t="n">
        <f aca="false">ROUND(Z212-AA212-AB212,2)</f>
        <v>0</v>
      </c>
      <c r="AD212" s="47" t="n">
        <f aca="false">ROUND(AG211*(1+Sorted!$H$8),2)</f>
        <v>0</v>
      </c>
      <c r="AE212" s="47" t="n">
        <f aca="false">MIN(AD212,Sorted!$G$8)</f>
        <v>0</v>
      </c>
      <c r="AF212" s="47" t="n">
        <f aca="false">MAX(0,MIN(AD212-AE212,$C212-(H212+L212+P212+T212+X212+AB212)))</f>
        <v>0</v>
      </c>
      <c r="AG212" s="47" t="n">
        <f aca="false">ROUND(AD212-AE212-AF212,2)</f>
        <v>0</v>
      </c>
      <c r="AH212" s="47" t="n">
        <f aca="false">ROUND(AK211*(1+Sorted!$H$9),2)</f>
        <v>0</v>
      </c>
      <c r="AI212" s="47" t="n">
        <f aca="false">MIN(AH212,Sorted!$G$9)</f>
        <v>0</v>
      </c>
      <c r="AJ212" s="47" t="n">
        <f aca="false">MAX(0,MIN(AH212-AI212,$C212-(H212+L212+P212+T212+X212+AB212+AF212)))</f>
        <v>0</v>
      </c>
      <c r="AK212" s="47" t="n">
        <f aca="false">ROUND(AH212-AI212-AJ212,2)</f>
        <v>0</v>
      </c>
      <c r="AL212" s="47" t="n">
        <f aca="false">ROUND(AO211*(1+Sorted!$H$10),2)</f>
        <v>0</v>
      </c>
      <c r="AM212" s="47" t="n">
        <f aca="false">MIN(AL212,Sorted!$G$10)</f>
        <v>0</v>
      </c>
      <c r="AN212" s="47" t="n">
        <f aca="false">MAX(0,MIN(AL212-AM212,$C212-(H212+L212+P212+T212+X212+AB212+AF212+AJ212)))</f>
        <v>0</v>
      </c>
      <c r="AO212" s="47" t="n">
        <f aca="false">ROUND(AL212-AM212-AN212,2)</f>
        <v>0</v>
      </c>
      <c r="AP212" s="47" t="n">
        <f aca="false">ROUND(AS211*(1+Sorted!$H$11),2)</f>
        <v>0</v>
      </c>
      <c r="AQ212" s="47" t="n">
        <f aca="false">MIN(AP212,Sorted!$G$11)</f>
        <v>0</v>
      </c>
      <c r="AR212" s="47" t="n">
        <f aca="false">MAX(0,MIN(AP212-AQ212,$C212-(H212+L212+P212+T212+X212+AB212+AF212+AJ212+AN212)))</f>
        <v>0</v>
      </c>
      <c r="AS212" s="47" t="n">
        <f aca="false">ROUND(AP212-AQ212-AR212,2)</f>
        <v>0</v>
      </c>
    </row>
    <row r="213" customFormat="false" ht="15" hidden="false" customHeight="false" outlineLevel="0" collapsed="false">
      <c r="A213" s="45" t="n">
        <v>210</v>
      </c>
      <c r="B213" s="46" t="n">
        <f aca="false">EDATE('My Debts'!$C$7,A213-1)</f>
        <v>52688</v>
      </c>
      <c r="C213" s="47" t="n">
        <f aca="false">MAX(0,'My Debts'!$E$6-(G213+K213+O213+S213+W213+AA213+AE213+AI213+AM213+AQ213))</f>
        <v>730</v>
      </c>
      <c r="D213" s="47" t="n">
        <f aca="false">(F213+J213+N213+R213+V213+Z213+AD213+AH213+AL213+AP213)-(I213+M213+Q213+U213+Y213+AC213+AG213+AK213+AO213+AS213)</f>
        <v>0</v>
      </c>
      <c r="E213" s="48" t="n">
        <f aca="false">I213+M213+Q213+U213+Y213+AC213+AG213+AK213+AO213+AS213</f>
        <v>0</v>
      </c>
      <c r="F213" s="47" t="n">
        <f aca="false">ROUND(I212*(1+Sorted!$H$2),2)</f>
        <v>0</v>
      </c>
      <c r="G213" s="47" t="n">
        <f aca="false">MIN(F213,Sorted!$G$2)</f>
        <v>0</v>
      </c>
      <c r="H213" s="47" t="n">
        <f aca="false">MAX(0,MIN(F213-G213,$C213-(0)))</f>
        <v>0</v>
      </c>
      <c r="I213" s="47" t="n">
        <f aca="false">ROUND(F213-G213-H213,2)</f>
        <v>0</v>
      </c>
      <c r="J213" s="47" t="n">
        <f aca="false">ROUND(M212*(1+Sorted!$H$3),2)</f>
        <v>0</v>
      </c>
      <c r="K213" s="47" t="n">
        <f aca="false">MIN(J213,Sorted!$G$3)</f>
        <v>0</v>
      </c>
      <c r="L213" s="47" t="n">
        <f aca="false">MAX(0,MIN(J213-K213,$C213-(H213)))</f>
        <v>0</v>
      </c>
      <c r="M213" s="47" t="n">
        <f aca="false">ROUND(J213-K213-L213,2)</f>
        <v>0</v>
      </c>
      <c r="N213" s="47" t="n">
        <f aca="false">ROUND(Q212*(1+Sorted!$H$4),2)</f>
        <v>0</v>
      </c>
      <c r="O213" s="47" t="n">
        <f aca="false">MIN(N213,Sorted!$G$4)</f>
        <v>0</v>
      </c>
      <c r="P213" s="47" t="n">
        <f aca="false">MAX(0,MIN(N213-O213,$C213-(H213+L213)))</f>
        <v>0</v>
      </c>
      <c r="Q213" s="47" t="n">
        <f aca="false">ROUND(N213-O213-P213,2)</f>
        <v>0</v>
      </c>
      <c r="R213" s="47" t="n">
        <f aca="false">ROUND(U212*(1+Sorted!$H$5),2)</f>
        <v>0</v>
      </c>
      <c r="S213" s="47" t="n">
        <f aca="false">MIN(R213,Sorted!$G$5)</f>
        <v>0</v>
      </c>
      <c r="T213" s="47" t="n">
        <f aca="false">MAX(0,MIN(R213-S213,$C213-(H213+L213+P213)))</f>
        <v>0</v>
      </c>
      <c r="U213" s="47" t="n">
        <f aca="false">ROUND(R213-S213-T213,2)</f>
        <v>0</v>
      </c>
      <c r="V213" s="47" t="n">
        <f aca="false">ROUND(Y212*(1+Sorted!$H$6),2)</f>
        <v>0</v>
      </c>
      <c r="W213" s="47" t="n">
        <f aca="false">MIN(V213,Sorted!$G$6)</f>
        <v>0</v>
      </c>
      <c r="X213" s="47" t="n">
        <f aca="false">MAX(0,MIN(V213-W213,$C213-(H213+L213+P213+T213)))</f>
        <v>0</v>
      </c>
      <c r="Y213" s="47" t="n">
        <f aca="false">ROUND(V213-W213-X213,2)</f>
        <v>0</v>
      </c>
      <c r="Z213" s="47" t="n">
        <f aca="false">ROUND(AC212*(1+Sorted!$H$7),2)</f>
        <v>0</v>
      </c>
      <c r="AA213" s="47" t="n">
        <f aca="false">MIN(Z213,Sorted!$G$7)</f>
        <v>0</v>
      </c>
      <c r="AB213" s="47" t="n">
        <f aca="false">MAX(0,MIN(Z213-AA213,$C213-(H213+L213+P213+T213+X213)))</f>
        <v>0</v>
      </c>
      <c r="AC213" s="47" t="n">
        <f aca="false">ROUND(Z213-AA213-AB213,2)</f>
        <v>0</v>
      </c>
      <c r="AD213" s="47" t="n">
        <f aca="false">ROUND(AG212*(1+Sorted!$H$8),2)</f>
        <v>0</v>
      </c>
      <c r="AE213" s="47" t="n">
        <f aca="false">MIN(AD213,Sorted!$G$8)</f>
        <v>0</v>
      </c>
      <c r="AF213" s="47" t="n">
        <f aca="false">MAX(0,MIN(AD213-AE213,$C213-(H213+L213+P213+T213+X213+AB213)))</f>
        <v>0</v>
      </c>
      <c r="AG213" s="47" t="n">
        <f aca="false">ROUND(AD213-AE213-AF213,2)</f>
        <v>0</v>
      </c>
      <c r="AH213" s="47" t="n">
        <f aca="false">ROUND(AK212*(1+Sorted!$H$9),2)</f>
        <v>0</v>
      </c>
      <c r="AI213" s="47" t="n">
        <f aca="false">MIN(AH213,Sorted!$G$9)</f>
        <v>0</v>
      </c>
      <c r="AJ213" s="47" t="n">
        <f aca="false">MAX(0,MIN(AH213-AI213,$C213-(H213+L213+P213+T213+X213+AB213+AF213)))</f>
        <v>0</v>
      </c>
      <c r="AK213" s="47" t="n">
        <f aca="false">ROUND(AH213-AI213-AJ213,2)</f>
        <v>0</v>
      </c>
      <c r="AL213" s="47" t="n">
        <f aca="false">ROUND(AO212*(1+Sorted!$H$10),2)</f>
        <v>0</v>
      </c>
      <c r="AM213" s="47" t="n">
        <f aca="false">MIN(AL213,Sorted!$G$10)</f>
        <v>0</v>
      </c>
      <c r="AN213" s="47" t="n">
        <f aca="false">MAX(0,MIN(AL213-AM213,$C213-(H213+L213+P213+T213+X213+AB213+AF213+AJ213)))</f>
        <v>0</v>
      </c>
      <c r="AO213" s="47" t="n">
        <f aca="false">ROUND(AL213-AM213-AN213,2)</f>
        <v>0</v>
      </c>
      <c r="AP213" s="47" t="n">
        <f aca="false">ROUND(AS212*(1+Sorted!$H$11),2)</f>
        <v>0</v>
      </c>
      <c r="AQ213" s="47" t="n">
        <f aca="false">MIN(AP213,Sorted!$G$11)</f>
        <v>0</v>
      </c>
      <c r="AR213" s="47" t="n">
        <f aca="false">MAX(0,MIN(AP213-AQ213,$C213-(H213+L213+P213+T213+X213+AB213+AF213+AJ213+AN213)))</f>
        <v>0</v>
      </c>
      <c r="AS213" s="47" t="n">
        <f aca="false">ROUND(AP213-AQ213-AR213,2)</f>
        <v>0</v>
      </c>
    </row>
    <row r="214" customFormat="false" ht="15" hidden="false" customHeight="false" outlineLevel="0" collapsed="false">
      <c r="A214" s="45" t="n">
        <v>211</v>
      </c>
      <c r="B214" s="46" t="n">
        <f aca="false">EDATE('My Debts'!$C$7,A214-1)</f>
        <v>52718</v>
      </c>
      <c r="C214" s="47" t="n">
        <f aca="false">MAX(0,'My Debts'!$E$6-(G214+K214+O214+S214+W214+AA214+AE214+AI214+AM214+AQ214))</f>
        <v>730</v>
      </c>
      <c r="D214" s="47" t="n">
        <f aca="false">(F214+J214+N214+R214+V214+Z214+AD214+AH214+AL214+AP214)-(I214+M214+Q214+U214+Y214+AC214+AG214+AK214+AO214+AS214)</f>
        <v>0</v>
      </c>
      <c r="E214" s="48" t="n">
        <f aca="false">I214+M214+Q214+U214+Y214+AC214+AG214+AK214+AO214+AS214</f>
        <v>0</v>
      </c>
      <c r="F214" s="47" t="n">
        <f aca="false">ROUND(I213*(1+Sorted!$H$2),2)</f>
        <v>0</v>
      </c>
      <c r="G214" s="47" t="n">
        <f aca="false">MIN(F214,Sorted!$G$2)</f>
        <v>0</v>
      </c>
      <c r="H214" s="47" t="n">
        <f aca="false">MAX(0,MIN(F214-G214,$C214-(0)))</f>
        <v>0</v>
      </c>
      <c r="I214" s="47" t="n">
        <f aca="false">ROUND(F214-G214-H214,2)</f>
        <v>0</v>
      </c>
      <c r="J214" s="47" t="n">
        <f aca="false">ROUND(M213*(1+Sorted!$H$3),2)</f>
        <v>0</v>
      </c>
      <c r="K214" s="47" t="n">
        <f aca="false">MIN(J214,Sorted!$G$3)</f>
        <v>0</v>
      </c>
      <c r="L214" s="47" t="n">
        <f aca="false">MAX(0,MIN(J214-K214,$C214-(H214)))</f>
        <v>0</v>
      </c>
      <c r="M214" s="47" t="n">
        <f aca="false">ROUND(J214-K214-L214,2)</f>
        <v>0</v>
      </c>
      <c r="N214" s="47" t="n">
        <f aca="false">ROUND(Q213*(1+Sorted!$H$4),2)</f>
        <v>0</v>
      </c>
      <c r="O214" s="47" t="n">
        <f aca="false">MIN(N214,Sorted!$G$4)</f>
        <v>0</v>
      </c>
      <c r="P214" s="47" t="n">
        <f aca="false">MAX(0,MIN(N214-O214,$C214-(H214+L214)))</f>
        <v>0</v>
      </c>
      <c r="Q214" s="47" t="n">
        <f aca="false">ROUND(N214-O214-P214,2)</f>
        <v>0</v>
      </c>
      <c r="R214" s="47" t="n">
        <f aca="false">ROUND(U213*(1+Sorted!$H$5),2)</f>
        <v>0</v>
      </c>
      <c r="S214" s="47" t="n">
        <f aca="false">MIN(R214,Sorted!$G$5)</f>
        <v>0</v>
      </c>
      <c r="T214" s="47" t="n">
        <f aca="false">MAX(0,MIN(R214-S214,$C214-(H214+L214+P214)))</f>
        <v>0</v>
      </c>
      <c r="U214" s="47" t="n">
        <f aca="false">ROUND(R214-S214-T214,2)</f>
        <v>0</v>
      </c>
      <c r="V214" s="47" t="n">
        <f aca="false">ROUND(Y213*(1+Sorted!$H$6),2)</f>
        <v>0</v>
      </c>
      <c r="W214" s="47" t="n">
        <f aca="false">MIN(V214,Sorted!$G$6)</f>
        <v>0</v>
      </c>
      <c r="X214" s="47" t="n">
        <f aca="false">MAX(0,MIN(V214-W214,$C214-(H214+L214+P214+T214)))</f>
        <v>0</v>
      </c>
      <c r="Y214" s="47" t="n">
        <f aca="false">ROUND(V214-W214-X214,2)</f>
        <v>0</v>
      </c>
      <c r="Z214" s="47" t="n">
        <f aca="false">ROUND(AC213*(1+Sorted!$H$7),2)</f>
        <v>0</v>
      </c>
      <c r="AA214" s="47" t="n">
        <f aca="false">MIN(Z214,Sorted!$G$7)</f>
        <v>0</v>
      </c>
      <c r="AB214" s="47" t="n">
        <f aca="false">MAX(0,MIN(Z214-AA214,$C214-(H214+L214+P214+T214+X214)))</f>
        <v>0</v>
      </c>
      <c r="AC214" s="47" t="n">
        <f aca="false">ROUND(Z214-AA214-AB214,2)</f>
        <v>0</v>
      </c>
      <c r="AD214" s="47" t="n">
        <f aca="false">ROUND(AG213*(1+Sorted!$H$8),2)</f>
        <v>0</v>
      </c>
      <c r="AE214" s="47" t="n">
        <f aca="false">MIN(AD214,Sorted!$G$8)</f>
        <v>0</v>
      </c>
      <c r="AF214" s="47" t="n">
        <f aca="false">MAX(0,MIN(AD214-AE214,$C214-(H214+L214+P214+T214+X214+AB214)))</f>
        <v>0</v>
      </c>
      <c r="AG214" s="47" t="n">
        <f aca="false">ROUND(AD214-AE214-AF214,2)</f>
        <v>0</v>
      </c>
      <c r="AH214" s="47" t="n">
        <f aca="false">ROUND(AK213*(1+Sorted!$H$9),2)</f>
        <v>0</v>
      </c>
      <c r="AI214" s="47" t="n">
        <f aca="false">MIN(AH214,Sorted!$G$9)</f>
        <v>0</v>
      </c>
      <c r="AJ214" s="47" t="n">
        <f aca="false">MAX(0,MIN(AH214-AI214,$C214-(H214+L214+P214+T214+X214+AB214+AF214)))</f>
        <v>0</v>
      </c>
      <c r="AK214" s="47" t="n">
        <f aca="false">ROUND(AH214-AI214-AJ214,2)</f>
        <v>0</v>
      </c>
      <c r="AL214" s="47" t="n">
        <f aca="false">ROUND(AO213*(1+Sorted!$H$10),2)</f>
        <v>0</v>
      </c>
      <c r="AM214" s="47" t="n">
        <f aca="false">MIN(AL214,Sorted!$G$10)</f>
        <v>0</v>
      </c>
      <c r="AN214" s="47" t="n">
        <f aca="false">MAX(0,MIN(AL214-AM214,$C214-(H214+L214+P214+T214+X214+AB214+AF214+AJ214)))</f>
        <v>0</v>
      </c>
      <c r="AO214" s="47" t="n">
        <f aca="false">ROUND(AL214-AM214-AN214,2)</f>
        <v>0</v>
      </c>
      <c r="AP214" s="47" t="n">
        <f aca="false">ROUND(AS213*(1+Sorted!$H$11),2)</f>
        <v>0</v>
      </c>
      <c r="AQ214" s="47" t="n">
        <f aca="false">MIN(AP214,Sorted!$G$11)</f>
        <v>0</v>
      </c>
      <c r="AR214" s="47" t="n">
        <f aca="false">MAX(0,MIN(AP214-AQ214,$C214-(H214+L214+P214+T214+X214+AB214+AF214+AJ214+AN214)))</f>
        <v>0</v>
      </c>
      <c r="AS214" s="47" t="n">
        <f aca="false">ROUND(AP214-AQ214-AR214,2)</f>
        <v>0</v>
      </c>
    </row>
    <row r="215" customFormat="false" ht="15" hidden="false" customHeight="false" outlineLevel="0" collapsed="false">
      <c r="A215" s="45" t="n">
        <v>212</v>
      </c>
      <c r="B215" s="46" t="n">
        <f aca="false">EDATE('My Debts'!$C$7,A215-1)</f>
        <v>52749</v>
      </c>
      <c r="C215" s="47" t="n">
        <f aca="false">MAX(0,'My Debts'!$E$6-(G215+K215+O215+S215+W215+AA215+AE215+AI215+AM215+AQ215))</f>
        <v>730</v>
      </c>
      <c r="D215" s="47" t="n">
        <f aca="false">(F215+J215+N215+R215+V215+Z215+AD215+AH215+AL215+AP215)-(I215+M215+Q215+U215+Y215+AC215+AG215+AK215+AO215+AS215)</f>
        <v>0</v>
      </c>
      <c r="E215" s="48" t="n">
        <f aca="false">I215+M215+Q215+U215+Y215+AC215+AG215+AK215+AO215+AS215</f>
        <v>0</v>
      </c>
      <c r="F215" s="47" t="n">
        <f aca="false">ROUND(I214*(1+Sorted!$H$2),2)</f>
        <v>0</v>
      </c>
      <c r="G215" s="47" t="n">
        <f aca="false">MIN(F215,Sorted!$G$2)</f>
        <v>0</v>
      </c>
      <c r="H215" s="47" t="n">
        <f aca="false">MAX(0,MIN(F215-G215,$C215-(0)))</f>
        <v>0</v>
      </c>
      <c r="I215" s="47" t="n">
        <f aca="false">ROUND(F215-G215-H215,2)</f>
        <v>0</v>
      </c>
      <c r="J215" s="47" t="n">
        <f aca="false">ROUND(M214*(1+Sorted!$H$3),2)</f>
        <v>0</v>
      </c>
      <c r="K215" s="47" t="n">
        <f aca="false">MIN(J215,Sorted!$G$3)</f>
        <v>0</v>
      </c>
      <c r="L215" s="47" t="n">
        <f aca="false">MAX(0,MIN(J215-K215,$C215-(H215)))</f>
        <v>0</v>
      </c>
      <c r="M215" s="47" t="n">
        <f aca="false">ROUND(J215-K215-L215,2)</f>
        <v>0</v>
      </c>
      <c r="N215" s="47" t="n">
        <f aca="false">ROUND(Q214*(1+Sorted!$H$4),2)</f>
        <v>0</v>
      </c>
      <c r="O215" s="47" t="n">
        <f aca="false">MIN(N215,Sorted!$G$4)</f>
        <v>0</v>
      </c>
      <c r="P215" s="47" t="n">
        <f aca="false">MAX(0,MIN(N215-O215,$C215-(H215+L215)))</f>
        <v>0</v>
      </c>
      <c r="Q215" s="47" t="n">
        <f aca="false">ROUND(N215-O215-P215,2)</f>
        <v>0</v>
      </c>
      <c r="R215" s="47" t="n">
        <f aca="false">ROUND(U214*(1+Sorted!$H$5),2)</f>
        <v>0</v>
      </c>
      <c r="S215" s="47" t="n">
        <f aca="false">MIN(R215,Sorted!$G$5)</f>
        <v>0</v>
      </c>
      <c r="T215" s="47" t="n">
        <f aca="false">MAX(0,MIN(R215-S215,$C215-(H215+L215+P215)))</f>
        <v>0</v>
      </c>
      <c r="U215" s="47" t="n">
        <f aca="false">ROUND(R215-S215-T215,2)</f>
        <v>0</v>
      </c>
      <c r="V215" s="47" t="n">
        <f aca="false">ROUND(Y214*(1+Sorted!$H$6),2)</f>
        <v>0</v>
      </c>
      <c r="W215" s="47" t="n">
        <f aca="false">MIN(V215,Sorted!$G$6)</f>
        <v>0</v>
      </c>
      <c r="X215" s="47" t="n">
        <f aca="false">MAX(0,MIN(V215-W215,$C215-(H215+L215+P215+T215)))</f>
        <v>0</v>
      </c>
      <c r="Y215" s="47" t="n">
        <f aca="false">ROUND(V215-W215-X215,2)</f>
        <v>0</v>
      </c>
      <c r="Z215" s="47" t="n">
        <f aca="false">ROUND(AC214*(1+Sorted!$H$7),2)</f>
        <v>0</v>
      </c>
      <c r="AA215" s="47" t="n">
        <f aca="false">MIN(Z215,Sorted!$G$7)</f>
        <v>0</v>
      </c>
      <c r="AB215" s="47" t="n">
        <f aca="false">MAX(0,MIN(Z215-AA215,$C215-(H215+L215+P215+T215+X215)))</f>
        <v>0</v>
      </c>
      <c r="AC215" s="47" t="n">
        <f aca="false">ROUND(Z215-AA215-AB215,2)</f>
        <v>0</v>
      </c>
      <c r="AD215" s="47" t="n">
        <f aca="false">ROUND(AG214*(1+Sorted!$H$8),2)</f>
        <v>0</v>
      </c>
      <c r="AE215" s="47" t="n">
        <f aca="false">MIN(AD215,Sorted!$G$8)</f>
        <v>0</v>
      </c>
      <c r="AF215" s="47" t="n">
        <f aca="false">MAX(0,MIN(AD215-AE215,$C215-(H215+L215+P215+T215+X215+AB215)))</f>
        <v>0</v>
      </c>
      <c r="AG215" s="47" t="n">
        <f aca="false">ROUND(AD215-AE215-AF215,2)</f>
        <v>0</v>
      </c>
      <c r="AH215" s="47" t="n">
        <f aca="false">ROUND(AK214*(1+Sorted!$H$9),2)</f>
        <v>0</v>
      </c>
      <c r="AI215" s="47" t="n">
        <f aca="false">MIN(AH215,Sorted!$G$9)</f>
        <v>0</v>
      </c>
      <c r="AJ215" s="47" t="n">
        <f aca="false">MAX(0,MIN(AH215-AI215,$C215-(H215+L215+P215+T215+X215+AB215+AF215)))</f>
        <v>0</v>
      </c>
      <c r="AK215" s="47" t="n">
        <f aca="false">ROUND(AH215-AI215-AJ215,2)</f>
        <v>0</v>
      </c>
      <c r="AL215" s="47" t="n">
        <f aca="false">ROUND(AO214*(1+Sorted!$H$10),2)</f>
        <v>0</v>
      </c>
      <c r="AM215" s="47" t="n">
        <f aca="false">MIN(AL215,Sorted!$G$10)</f>
        <v>0</v>
      </c>
      <c r="AN215" s="47" t="n">
        <f aca="false">MAX(0,MIN(AL215-AM215,$C215-(H215+L215+P215+T215+X215+AB215+AF215+AJ215)))</f>
        <v>0</v>
      </c>
      <c r="AO215" s="47" t="n">
        <f aca="false">ROUND(AL215-AM215-AN215,2)</f>
        <v>0</v>
      </c>
      <c r="AP215" s="47" t="n">
        <f aca="false">ROUND(AS214*(1+Sorted!$H$11),2)</f>
        <v>0</v>
      </c>
      <c r="AQ215" s="47" t="n">
        <f aca="false">MIN(AP215,Sorted!$G$11)</f>
        <v>0</v>
      </c>
      <c r="AR215" s="47" t="n">
        <f aca="false">MAX(0,MIN(AP215-AQ215,$C215-(H215+L215+P215+T215+X215+AB215+AF215+AJ215+AN215)))</f>
        <v>0</v>
      </c>
      <c r="AS215" s="47" t="n">
        <f aca="false">ROUND(AP215-AQ215-AR215,2)</f>
        <v>0</v>
      </c>
    </row>
    <row r="216" customFormat="false" ht="15" hidden="false" customHeight="false" outlineLevel="0" collapsed="false">
      <c r="A216" s="45" t="n">
        <v>213</v>
      </c>
      <c r="B216" s="46" t="n">
        <f aca="false">EDATE('My Debts'!$C$7,A216-1)</f>
        <v>52779</v>
      </c>
      <c r="C216" s="47" t="n">
        <f aca="false">MAX(0,'My Debts'!$E$6-(G216+K216+O216+S216+W216+AA216+AE216+AI216+AM216+AQ216))</f>
        <v>730</v>
      </c>
      <c r="D216" s="47" t="n">
        <f aca="false">(F216+J216+N216+R216+V216+Z216+AD216+AH216+AL216+AP216)-(I216+M216+Q216+U216+Y216+AC216+AG216+AK216+AO216+AS216)</f>
        <v>0</v>
      </c>
      <c r="E216" s="48" t="n">
        <f aca="false">I216+M216+Q216+U216+Y216+AC216+AG216+AK216+AO216+AS216</f>
        <v>0</v>
      </c>
      <c r="F216" s="47" t="n">
        <f aca="false">ROUND(I215*(1+Sorted!$H$2),2)</f>
        <v>0</v>
      </c>
      <c r="G216" s="47" t="n">
        <f aca="false">MIN(F216,Sorted!$G$2)</f>
        <v>0</v>
      </c>
      <c r="H216" s="47" t="n">
        <f aca="false">MAX(0,MIN(F216-G216,$C216-(0)))</f>
        <v>0</v>
      </c>
      <c r="I216" s="47" t="n">
        <f aca="false">ROUND(F216-G216-H216,2)</f>
        <v>0</v>
      </c>
      <c r="J216" s="47" t="n">
        <f aca="false">ROUND(M215*(1+Sorted!$H$3),2)</f>
        <v>0</v>
      </c>
      <c r="K216" s="47" t="n">
        <f aca="false">MIN(J216,Sorted!$G$3)</f>
        <v>0</v>
      </c>
      <c r="L216" s="47" t="n">
        <f aca="false">MAX(0,MIN(J216-K216,$C216-(H216)))</f>
        <v>0</v>
      </c>
      <c r="M216" s="47" t="n">
        <f aca="false">ROUND(J216-K216-L216,2)</f>
        <v>0</v>
      </c>
      <c r="N216" s="47" t="n">
        <f aca="false">ROUND(Q215*(1+Sorted!$H$4),2)</f>
        <v>0</v>
      </c>
      <c r="O216" s="47" t="n">
        <f aca="false">MIN(N216,Sorted!$G$4)</f>
        <v>0</v>
      </c>
      <c r="P216" s="47" t="n">
        <f aca="false">MAX(0,MIN(N216-O216,$C216-(H216+L216)))</f>
        <v>0</v>
      </c>
      <c r="Q216" s="47" t="n">
        <f aca="false">ROUND(N216-O216-P216,2)</f>
        <v>0</v>
      </c>
      <c r="R216" s="47" t="n">
        <f aca="false">ROUND(U215*(1+Sorted!$H$5),2)</f>
        <v>0</v>
      </c>
      <c r="S216" s="47" t="n">
        <f aca="false">MIN(R216,Sorted!$G$5)</f>
        <v>0</v>
      </c>
      <c r="T216" s="47" t="n">
        <f aca="false">MAX(0,MIN(R216-S216,$C216-(H216+L216+P216)))</f>
        <v>0</v>
      </c>
      <c r="U216" s="47" t="n">
        <f aca="false">ROUND(R216-S216-T216,2)</f>
        <v>0</v>
      </c>
      <c r="V216" s="47" t="n">
        <f aca="false">ROUND(Y215*(1+Sorted!$H$6),2)</f>
        <v>0</v>
      </c>
      <c r="W216" s="47" t="n">
        <f aca="false">MIN(V216,Sorted!$G$6)</f>
        <v>0</v>
      </c>
      <c r="X216" s="47" t="n">
        <f aca="false">MAX(0,MIN(V216-W216,$C216-(H216+L216+P216+T216)))</f>
        <v>0</v>
      </c>
      <c r="Y216" s="47" t="n">
        <f aca="false">ROUND(V216-W216-X216,2)</f>
        <v>0</v>
      </c>
      <c r="Z216" s="47" t="n">
        <f aca="false">ROUND(AC215*(1+Sorted!$H$7),2)</f>
        <v>0</v>
      </c>
      <c r="AA216" s="47" t="n">
        <f aca="false">MIN(Z216,Sorted!$G$7)</f>
        <v>0</v>
      </c>
      <c r="AB216" s="47" t="n">
        <f aca="false">MAX(0,MIN(Z216-AA216,$C216-(H216+L216+P216+T216+X216)))</f>
        <v>0</v>
      </c>
      <c r="AC216" s="47" t="n">
        <f aca="false">ROUND(Z216-AA216-AB216,2)</f>
        <v>0</v>
      </c>
      <c r="AD216" s="47" t="n">
        <f aca="false">ROUND(AG215*(1+Sorted!$H$8),2)</f>
        <v>0</v>
      </c>
      <c r="AE216" s="47" t="n">
        <f aca="false">MIN(AD216,Sorted!$G$8)</f>
        <v>0</v>
      </c>
      <c r="AF216" s="47" t="n">
        <f aca="false">MAX(0,MIN(AD216-AE216,$C216-(H216+L216+P216+T216+X216+AB216)))</f>
        <v>0</v>
      </c>
      <c r="AG216" s="47" t="n">
        <f aca="false">ROUND(AD216-AE216-AF216,2)</f>
        <v>0</v>
      </c>
      <c r="AH216" s="47" t="n">
        <f aca="false">ROUND(AK215*(1+Sorted!$H$9),2)</f>
        <v>0</v>
      </c>
      <c r="AI216" s="47" t="n">
        <f aca="false">MIN(AH216,Sorted!$G$9)</f>
        <v>0</v>
      </c>
      <c r="AJ216" s="47" t="n">
        <f aca="false">MAX(0,MIN(AH216-AI216,$C216-(H216+L216+P216+T216+X216+AB216+AF216)))</f>
        <v>0</v>
      </c>
      <c r="AK216" s="47" t="n">
        <f aca="false">ROUND(AH216-AI216-AJ216,2)</f>
        <v>0</v>
      </c>
      <c r="AL216" s="47" t="n">
        <f aca="false">ROUND(AO215*(1+Sorted!$H$10),2)</f>
        <v>0</v>
      </c>
      <c r="AM216" s="47" t="n">
        <f aca="false">MIN(AL216,Sorted!$G$10)</f>
        <v>0</v>
      </c>
      <c r="AN216" s="47" t="n">
        <f aca="false">MAX(0,MIN(AL216-AM216,$C216-(H216+L216+P216+T216+X216+AB216+AF216+AJ216)))</f>
        <v>0</v>
      </c>
      <c r="AO216" s="47" t="n">
        <f aca="false">ROUND(AL216-AM216-AN216,2)</f>
        <v>0</v>
      </c>
      <c r="AP216" s="47" t="n">
        <f aca="false">ROUND(AS215*(1+Sorted!$H$11),2)</f>
        <v>0</v>
      </c>
      <c r="AQ216" s="47" t="n">
        <f aca="false">MIN(AP216,Sorted!$G$11)</f>
        <v>0</v>
      </c>
      <c r="AR216" s="47" t="n">
        <f aca="false">MAX(0,MIN(AP216-AQ216,$C216-(H216+L216+P216+T216+X216+AB216+AF216+AJ216+AN216)))</f>
        <v>0</v>
      </c>
      <c r="AS216" s="47" t="n">
        <f aca="false">ROUND(AP216-AQ216-AR216,2)</f>
        <v>0</v>
      </c>
    </row>
    <row r="217" customFormat="false" ht="15" hidden="false" customHeight="false" outlineLevel="0" collapsed="false">
      <c r="A217" s="45" t="n">
        <v>214</v>
      </c>
      <c r="B217" s="46" t="n">
        <f aca="false">EDATE('My Debts'!$C$7,A217-1)</f>
        <v>52810</v>
      </c>
      <c r="C217" s="47" t="n">
        <f aca="false">MAX(0,'My Debts'!$E$6-(G217+K217+O217+S217+W217+AA217+AE217+AI217+AM217+AQ217))</f>
        <v>730</v>
      </c>
      <c r="D217" s="47" t="n">
        <f aca="false">(F217+J217+N217+R217+V217+Z217+AD217+AH217+AL217+AP217)-(I217+M217+Q217+U217+Y217+AC217+AG217+AK217+AO217+AS217)</f>
        <v>0</v>
      </c>
      <c r="E217" s="48" t="n">
        <f aca="false">I217+M217+Q217+U217+Y217+AC217+AG217+AK217+AO217+AS217</f>
        <v>0</v>
      </c>
      <c r="F217" s="47" t="n">
        <f aca="false">ROUND(I216*(1+Sorted!$H$2),2)</f>
        <v>0</v>
      </c>
      <c r="G217" s="47" t="n">
        <f aca="false">MIN(F217,Sorted!$G$2)</f>
        <v>0</v>
      </c>
      <c r="H217" s="47" t="n">
        <f aca="false">MAX(0,MIN(F217-G217,$C217-(0)))</f>
        <v>0</v>
      </c>
      <c r="I217" s="47" t="n">
        <f aca="false">ROUND(F217-G217-H217,2)</f>
        <v>0</v>
      </c>
      <c r="J217" s="47" t="n">
        <f aca="false">ROUND(M216*(1+Sorted!$H$3),2)</f>
        <v>0</v>
      </c>
      <c r="K217" s="47" t="n">
        <f aca="false">MIN(J217,Sorted!$G$3)</f>
        <v>0</v>
      </c>
      <c r="L217" s="47" t="n">
        <f aca="false">MAX(0,MIN(J217-K217,$C217-(H217)))</f>
        <v>0</v>
      </c>
      <c r="M217" s="47" t="n">
        <f aca="false">ROUND(J217-K217-L217,2)</f>
        <v>0</v>
      </c>
      <c r="N217" s="47" t="n">
        <f aca="false">ROUND(Q216*(1+Sorted!$H$4),2)</f>
        <v>0</v>
      </c>
      <c r="O217" s="47" t="n">
        <f aca="false">MIN(N217,Sorted!$G$4)</f>
        <v>0</v>
      </c>
      <c r="P217" s="47" t="n">
        <f aca="false">MAX(0,MIN(N217-O217,$C217-(H217+L217)))</f>
        <v>0</v>
      </c>
      <c r="Q217" s="47" t="n">
        <f aca="false">ROUND(N217-O217-P217,2)</f>
        <v>0</v>
      </c>
      <c r="R217" s="47" t="n">
        <f aca="false">ROUND(U216*(1+Sorted!$H$5),2)</f>
        <v>0</v>
      </c>
      <c r="S217" s="47" t="n">
        <f aca="false">MIN(R217,Sorted!$G$5)</f>
        <v>0</v>
      </c>
      <c r="T217" s="47" t="n">
        <f aca="false">MAX(0,MIN(R217-S217,$C217-(H217+L217+P217)))</f>
        <v>0</v>
      </c>
      <c r="U217" s="47" t="n">
        <f aca="false">ROUND(R217-S217-T217,2)</f>
        <v>0</v>
      </c>
      <c r="V217" s="47" t="n">
        <f aca="false">ROUND(Y216*(1+Sorted!$H$6),2)</f>
        <v>0</v>
      </c>
      <c r="W217" s="47" t="n">
        <f aca="false">MIN(V217,Sorted!$G$6)</f>
        <v>0</v>
      </c>
      <c r="X217" s="47" t="n">
        <f aca="false">MAX(0,MIN(V217-W217,$C217-(H217+L217+P217+T217)))</f>
        <v>0</v>
      </c>
      <c r="Y217" s="47" t="n">
        <f aca="false">ROUND(V217-W217-X217,2)</f>
        <v>0</v>
      </c>
      <c r="Z217" s="47" t="n">
        <f aca="false">ROUND(AC216*(1+Sorted!$H$7),2)</f>
        <v>0</v>
      </c>
      <c r="AA217" s="47" t="n">
        <f aca="false">MIN(Z217,Sorted!$G$7)</f>
        <v>0</v>
      </c>
      <c r="AB217" s="47" t="n">
        <f aca="false">MAX(0,MIN(Z217-AA217,$C217-(H217+L217+P217+T217+X217)))</f>
        <v>0</v>
      </c>
      <c r="AC217" s="47" t="n">
        <f aca="false">ROUND(Z217-AA217-AB217,2)</f>
        <v>0</v>
      </c>
      <c r="AD217" s="47" t="n">
        <f aca="false">ROUND(AG216*(1+Sorted!$H$8),2)</f>
        <v>0</v>
      </c>
      <c r="AE217" s="47" t="n">
        <f aca="false">MIN(AD217,Sorted!$G$8)</f>
        <v>0</v>
      </c>
      <c r="AF217" s="47" t="n">
        <f aca="false">MAX(0,MIN(AD217-AE217,$C217-(H217+L217+P217+T217+X217+AB217)))</f>
        <v>0</v>
      </c>
      <c r="AG217" s="47" t="n">
        <f aca="false">ROUND(AD217-AE217-AF217,2)</f>
        <v>0</v>
      </c>
      <c r="AH217" s="47" t="n">
        <f aca="false">ROUND(AK216*(1+Sorted!$H$9),2)</f>
        <v>0</v>
      </c>
      <c r="AI217" s="47" t="n">
        <f aca="false">MIN(AH217,Sorted!$G$9)</f>
        <v>0</v>
      </c>
      <c r="AJ217" s="47" t="n">
        <f aca="false">MAX(0,MIN(AH217-AI217,$C217-(H217+L217+P217+T217+X217+AB217+AF217)))</f>
        <v>0</v>
      </c>
      <c r="AK217" s="47" t="n">
        <f aca="false">ROUND(AH217-AI217-AJ217,2)</f>
        <v>0</v>
      </c>
      <c r="AL217" s="47" t="n">
        <f aca="false">ROUND(AO216*(1+Sorted!$H$10),2)</f>
        <v>0</v>
      </c>
      <c r="AM217" s="47" t="n">
        <f aca="false">MIN(AL217,Sorted!$G$10)</f>
        <v>0</v>
      </c>
      <c r="AN217" s="47" t="n">
        <f aca="false">MAX(0,MIN(AL217-AM217,$C217-(H217+L217+P217+T217+X217+AB217+AF217+AJ217)))</f>
        <v>0</v>
      </c>
      <c r="AO217" s="47" t="n">
        <f aca="false">ROUND(AL217-AM217-AN217,2)</f>
        <v>0</v>
      </c>
      <c r="AP217" s="47" t="n">
        <f aca="false">ROUND(AS216*(1+Sorted!$H$11),2)</f>
        <v>0</v>
      </c>
      <c r="AQ217" s="47" t="n">
        <f aca="false">MIN(AP217,Sorted!$G$11)</f>
        <v>0</v>
      </c>
      <c r="AR217" s="47" t="n">
        <f aca="false">MAX(0,MIN(AP217-AQ217,$C217-(H217+L217+P217+T217+X217+AB217+AF217+AJ217+AN217)))</f>
        <v>0</v>
      </c>
      <c r="AS217" s="47" t="n">
        <f aca="false">ROUND(AP217-AQ217-AR217,2)</f>
        <v>0</v>
      </c>
    </row>
    <row r="218" customFormat="false" ht="15" hidden="false" customHeight="false" outlineLevel="0" collapsed="false">
      <c r="A218" s="45" t="n">
        <v>215</v>
      </c>
      <c r="B218" s="46" t="n">
        <f aca="false">EDATE('My Debts'!$C$7,A218-1)</f>
        <v>52841</v>
      </c>
      <c r="C218" s="47" t="n">
        <f aca="false">MAX(0,'My Debts'!$E$6-(G218+K218+O218+S218+W218+AA218+AE218+AI218+AM218+AQ218))</f>
        <v>730</v>
      </c>
      <c r="D218" s="47" t="n">
        <f aca="false">(F218+J218+N218+R218+V218+Z218+AD218+AH218+AL218+AP218)-(I218+M218+Q218+U218+Y218+AC218+AG218+AK218+AO218+AS218)</f>
        <v>0</v>
      </c>
      <c r="E218" s="48" t="n">
        <f aca="false">I218+M218+Q218+U218+Y218+AC218+AG218+AK218+AO218+AS218</f>
        <v>0</v>
      </c>
      <c r="F218" s="47" t="n">
        <f aca="false">ROUND(I217*(1+Sorted!$H$2),2)</f>
        <v>0</v>
      </c>
      <c r="G218" s="47" t="n">
        <f aca="false">MIN(F218,Sorted!$G$2)</f>
        <v>0</v>
      </c>
      <c r="H218" s="47" t="n">
        <f aca="false">MAX(0,MIN(F218-G218,$C218-(0)))</f>
        <v>0</v>
      </c>
      <c r="I218" s="47" t="n">
        <f aca="false">ROUND(F218-G218-H218,2)</f>
        <v>0</v>
      </c>
      <c r="J218" s="47" t="n">
        <f aca="false">ROUND(M217*(1+Sorted!$H$3),2)</f>
        <v>0</v>
      </c>
      <c r="K218" s="47" t="n">
        <f aca="false">MIN(J218,Sorted!$G$3)</f>
        <v>0</v>
      </c>
      <c r="L218" s="47" t="n">
        <f aca="false">MAX(0,MIN(J218-K218,$C218-(H218)))</f>
        <v>0</v>
      </c>
      <c r="M218" s="47" t="n">
        <f aca="false">ROUND(J218-K218-L218,2)</f>
        <v>0</v>
      </c>
      <c r="N218" s="47" t="n">
        <f aca="false">ROUND(Q217*(1+Sorted!$H$4),2)</f>
        <v>0</v>
      </c>
      <c r="O218" s="47" t="n">
        <f aca="false">MIN(N218,Sorted!$G$4)</f>
        <v>0</v>
      </c>
      <c r="P218" s="47" t="n">
        <f aca="false">MAX(0,MIN(N218-O218,$C218-(H218+L218)))</f>
        <v>0</v>
      </c>
      <c r="Q218" s="47" t="n">
        <f aca="false">ROUND(N218-O218-P218,2)</f>
        <v>0</v>
      </c>
      <c r="R218" s="47" t="n">
        <f aca="false">ROUND(U217*(1+Sorted!$H$5),2)</f>
        <v>0</v>
      </c>
      <c r="S218" s="47" t="n">
        <f aca="false">MIN(R218,Sorted!$G$5)</f>
        <v>0</v>
      </c>
      <c r="T218" s="47" t="n">
        <f aca="false">MAX(0,MIN(R218-S218,$C218-(H218+L218+P218)))</f>
        <v>0</v>
      </c>
      <c r="U218" s="47" t="n">
        <f aca="false">ROUND(R218-S218-T218,2)</f>
        <v>0</v>
      </c>
      <c r="V218" s="47" t="n">
        <f aca="false">ROUND(Y217*(1+Sorted!$H$6),2)</f>
        <v>0</v>
      </c>
      <c r="W218" s="47" t="n">
        <f aca="false">MIN(V218,Sorted!$G$6)</f>
        <v>0</v>
      </c>
      <c r="X218" s="47" t="n">
        <f aca="false">MAX(0,MIN(V218-W218,$C218-(H218+L218+P218+T218)))</f>
        <v>0</v>
      </c>
      <c r="Y218" s="47" t="n">
        <f aca="false">ROUND(V218-W218-X218,2)</f>
        <v>0</v>
      </c>
      <c r="Z218" s="47" t="n">
        <f aca="false">ROUND(AC217*(1+Sorted!$H$7),2)</f>
        <v>0</v>
      </c>
      <c r="AA218" s="47" t="n">
        <f aca="false">MIN(Z218,Sorted!$G$7)</f>
        <v>0</v>
      </c>
      <c r="AB218" s="47" t="n">
        <f aca="false">MAX(0,MIN(Z218-AA218,$C218-(H218+L218+P218+T218+X218)))</f>
        <v>0</v>
      </c>
      <c r="AC218" s="47" t="n">
        <f aca="false">ROUND(Z218-AA218-AB218,2)</f>
        <v>0</v>
      </c>
      <c r="AD218" s="47" t="n">
        <f aca="false">ROUND(AG217*(1+Sorted!$H$8),2)</f>
        <v>0</v>
      </c>
      <c r="AE218" s="47" t="n">
        <f aca="false">MIN(AD218,Sorted!$G$8)</f>
        <v>0</v>
      </c>
      <c r="AF218" s="47" t="n">
        <f aca="false">MAX(0,MIN(AD218-AE218,$C218-(H218+L218+P218+T218+X218+AB218)))</f>
        <v>0</v>
      </c>
      <c r="AG218" s="47" t="n">
        <f aca="false">ROUND(AD218-AE218-AF218,2)</f>
        <v>0</v>
      </c>
      <c r="AH218" s="47" t="n">
        <f aca="false">ROUND(AK217*(1+Sorted!$H$9),2)</f>
        <v>0</v>
      </c>
      <c r="AI218" s="47" t="n">
        <f aca="false">MIN(AH218,Sorted!$G$9)</f>
        <v>0</v>
      </c>
      <c r="AJ218" s="47" t="n">
        <f aca="false">MAX(0,MIN(AH218-AI218,$C218-(H218+L218+P218+T218+X218+AB218+AF218)))</f>
        <v>0</v>
      </c>
      <c r="AK218" s="47" t="n">
        <f aca="false">ROUND(AH218-AI218-AJ218,2)</f>
        <v>0</v>
      </c>
      <c r="AL218" s="47" t="n">
        <f aca="false">ROUND(AO217*(1+Sorted!$H$10),2)</f>
        <v>0</v>
      </c>
      <c r="AM218" s="47" t="n">
        <f aca="false">MIN(AL218,Sorted!$G$10)</f>
        <v>0</v>
      </c>
      <c r="AN218" s="47" t="n">
        <f aca="false">MAX(0,MIN(AL218-AM218,$C218-(H218+L218+P218+T218+X218+AB218+AF218+AJ218)))</f>
        <v>0</v>
      </c>
      <c r="AO218" s="47" t="n">
        <f aca="false">ROUND(AL218-AM218-AN218,2)</f>
        <v>0</v>
      </c>
      <c r="AP218" s="47" t="n">
        <f aca="false">ROUND(AS217*(1+Sorted!$H$11),2)</f>
        <v>0</v>
      </c>
      <c r="AQ218" s="47" t="n">
        <f aca="false">MIN(AP218,Sorted!$G$11)</f>
        <v>0</v>
      </c>
      <c r="AR218" s="47" t="n">
        <f aca="false">MAX(0,MIN(AP218-AQ218,$C218-(H218+L218+P218+T218+X218+AB218+AF218+AJ218+AN218)))</f>
        <v>0</v>
      </c>
      <c r="AS218" s="47" t="n">
        <f aca="false">ROUND(AP218-AQ218-AR218,2)</f>
        <v>0</v>
      </c>
    </row>
    <row r="219" customFormat="false" ht="15" hidden="false" customHeight="false" outlineLevel="0" collapsed="false">
      <c r="A219" s="45" t="n">
        <v>216</v>
      </c>
      <c r="B219" s="46" t="n">
        <f aca="false">EDATE('My Debts'!$C$7,A219-1)</f>
        <v>52871</v>
      </c>
      <c r="C219" s="47" t="n">
        <f aca="false">MAX(0,'My Debts'!$E$6-(G219+K219+O219+S219+W219+AA219+AE219+AI219+AM219+AQ219))</f>
        <v>730</v>
      </c>
      <c r="D219" s="47" t="n">
        <f aca="false">(F219+J219+N219+R219+V219+Z219+AD219+AH219+AL219+AP219)-(I219+M219+Q219+U219+Y219+AC219+AG219+AK219+AO219+AS219)</f>
        <v>0</v>
      </c>
      <c r="E219" s="48" t="n">
        <f aca="false">I219+M219+Q219+U219+Y219+AC219+AG219+AK219+AO219+AS219</f>
        <v>0</v>
      </c>
      <c r="F219" s="47" t="n">
        <f aca="false">ROUND(I218*(1+Sorted!$H$2),2)</f>
        <v>0</v>
      </c>
      <c r="G219" s="47" t="n">
        <f aca="false">MIN(F219,Sorted!$G$2)</f>
        <v>0</v>
      </c>
      <c r="H219" s="47" t="n">
        <f aca="false">MAX(0,MIN(F219-G219,$C219-(0)))</f>
        <v>0</v>
      </c>
      <c r="I219" s="47" t="n">
        <f aca="false">ROUND(F219-G219-H219,2)</f>
        <v>0</v>
      </c>
      <c r="J219" s="47" t="n">
        <f aca="false">ROUND(M218*(1+Sorted!$H$3),2)</f>
        <v>0</v>
      </c>
      <c r="K219" s="47" t="n">
        <f aca="false">MIN(J219,Sorted!$G$3)</f>
        <v>0</v>
      </c>
      <c r="L219" s="47" t="n">
        <f aca="false">MAX(0,MIN(J219-K219,$C219-(H219)))</f>
        <v>0</v>
      </c>
      <c r="M219" s="47" t="n">
        <f aca="false">ROUND(J219-K219-L219,2)</f>
        <v>0</v>
      </c>
      <c r="N219" s="47" t="n">
        <f aca="false">ROUND(Q218*(1+Sorted!$H$4),2)</f>
        <v>0</v>
      </c>
      <c r="O219" s="47" t="n">
        <f aca="false">MIN(N219,Sorted!$G$4)</f>
        <v>0</v>
      </c>
      <c r="P219" s="47" t="n">
        <f aca="false">MAX(0,MIN(N219-O219,$C219-(H219+L219)))</f>
        <v>0</v>
      </c>
      <c r="Q219" s="47" t="n">
        <f aca="false">ROUND(N219-O219-P219,2)</f>
        <v>0</v>
      </c>
      <c r="R219" s="47" t="n">
        <f aca="false">ROUND(U218*(1+Sorted!$H$5),2)</f>
        <v>0</v>
      </c>
      <c r="S219" s="47" t="n">
        <f aca="false">MIN(R219,Sorted!$G$5)</f>
        <v>0</v>
      </c>
      <c r="T219" s="47" t="n">
        <f aca="false">MAX(0,MIN(R219-S219,$C219-(H219+L219+P219)))</f>
        <v>0</v>
      </c>
      <c r="U219" s="47" t="n">
        <f aca="false">ROUND(R219-S219-T219,2)</f>
        <v>0</v>
      </c>
      <c r="V219" s="47" t="n">
        <f aca="false">ROUND(Y218*(1+Sorted!$H$6),2)</f>
        <v>0</v>
      </c>
      <c r="W219" s="47" t="n">
        <f aca="false">MIN(V219,Sorted!$G$6)</f>
        <v>0</v>
      </c>
      <c r="X219" s="47" t="n">
        <f aca="false">MAX(0,MIN(V219-W219,$C219-(H219+L219+P219+T219)))</f>
        <v>0</v>
      </c>
      <c r="Y219" s="47" t="n">
        <f aca="false">ROUND(V219-W219-X219,2)</f>
        <v>0</v>
      </c>
      <c r="Z219" s="47" t="n">
        <f aca="false">ROUND(AC218*(1+Sorted!$H$7),2)</f>
        <v>0</v>
      </c>
      <c r="AA219" s="47" t="n">
        <f aca="false">MIN(Z219,Sorted!$G$7)</f>
        <v>0</v>
      </c>
      <c r="AB219" s="47" t="n">
        <f aca="false">MAX(0,MIN(Z219-AA219,$C219-(H219+L219+P219+T219+X219)))</f>
        <v>0</v>
      </c>
      <c r="AC219" s="47" t="n">
        <f aca="false">ROUND(Z219-AA219-AB219,2)</f>
        <v>0</v>
      </c>
      <c r="AD219" s="47" t="n">
        <f aca="false">ROUND(AG218*(1+Sorted!$H$8),2)</f>
        <v>0</v>
      </c>
      <c r="AE219" s="47" t="n">
        <f aca="false">MIN(AD219,Sorted!$G$8)</f>
        <v>0</v>
      </c>
      <c r="AF219" s="47" t="n">
        <f aca="false">MAX(0,MIN(AD219-AE219,$C219-(H219+L219+P219+T219+X219+AB219)))</f>
        <v>0</v>
      </c>
      <c r="AG219" s="47" t="n">
        <f aca="false">ROUND(AD219-AE219-AF219,2)</f>
        <v>0</v>
      </c>
      <c r="AH219" s="47" t="n">
        <f aca="false">ROUND(AK218*(1+Sorted!$H$9),2)</f>
        <v>0</v>
      </c>
      <c r="AI219" s="47" t="n">
        <f aca="false">MIN(AH219,Sorted!$G$9)</f>
        <v>0</v>
      </c>
      <c r="AJ219" s="47" t="n">
        <f aca="false">MAX(0,MIN(AH219-AI219,$C219-(H219+L219+P219+T219+X219+AB219+AF219)))</f>
        <v>0</v>
      </c>
      <c r="AK219" s="47" t="n">
        <f aca="false">ROUND(AH219-AI219-AJ219,2)</f>
        <v>0</v>
      </c>
      <c r="AL219" s="47" t="n">
        <f aca="false">ROUND(AO218*(1+Sorted!$H$10),2)</f>
        <v>0</v>
      </c>
      <c r="AM219" s="47" t="n">
        <f aca="false">MIN(AL219,Sorted!$G$10)</f>
        <v>0</v>
      </c>
      <c r="AN219" s="47" t="n">
        <f aca="false">MAX(0,MIN(AL219-AM219,$C219-(H219+L219+P219+T219+X219+AB219+AF219+AJ219)))</f>
        <v>0</v>
      </c>
      <c r="AO219" s="47" t="n">
        <f aca="false">ROUND(AL219-AM219-AN219,2)</f>
        <v>0</v>
      </c>
      <c r="AP219" s="47" t="n">
        <f aca="false">ROUND(AS218*(1+Sorted!$H$11),2)</f>
        <v>0</v>
      </c>
      <c r="AQ219" s="47" t="n">
        <f aca="false">MIN(AP219,Sorted!$G$11)</f>
        <v>0</v>
      </c>
      <c r="AR219" s="47" t="n">
        <f aca="false">MAX(0,MIN(AP219-AQ219,$C219-(H219+L219+P219+T219+X219+AB219+AF219+AJ219+AN219)))</f>
        <v>0</v>
      </c>
      <c r="AS219" s="47" t="n">
        <f aca="false">ROUND(AP219-AQ219-AR219,2)</f>
        <v>0</v>
      </c>
    </row>
    <row r="220" customFormat="false" ht="15" hidden="false" customHeight="false" outlineLevel="0" collapsed="false">
      <c r="A220" s="45" t="n">
        <v>217</v>
      </c>
      <c r="B220" s="46" t="n">
        <f aca="false">EDATE('My Debts'!$C$7,A220-1)</f>
        <v>52902</v>
      </c>
      <c r="C220" s="47" t="n">
        <f aca="false">MAX(0,'My Debts'!$E$6-(G220+K220+O220+S220+W220+AA220+AE220+AI220+AM220+AQ220))</f>
        <v>730</v>
      </c>
      <c r="D220" s="47" t="n">
        <f aca="false">(F220+J220+N220+R220+V220+Z220+AD220+AH220+AL220+AP220)-(I220+M220+Q220+U220+Y220+AC220+AG220+AK220+AO220+AS220)</f>
        <v>0</v>
      </c>
      <c r="E220" s="48" t="n">
        <f aca="false">I220+M220+Q220+U220+Y220+AC220+AG220+AK220+AO220+AS220</f>
        <v>0</v>
      </c>
      <c r="F220" s="47" t="n">
        <f aca="false">ROUND(I219*(1+Sorted!$H$2),2)</f>
        <v>0</v>
      </c>
      <c r="G220" s="47" t="n">
        <f aca="false">MIN(F220,Sorted!$G$2)</f>
        <v>0</v>
      </c>
      <c r="H220" s="47" t="n">
        <f aca="false">MAX(0,MIN(F220-G220,$C220-(0)))</f>
        <v>0</v>
      </c>
      <c r="I220" s="47" t="n">
        <f aca="false">ROUND(F220-G220-H220,2)</f>
        <v>0</v>
      </c>
      <c r="J220" s="47" t="n">
        <f aca="false">ROUND(M219*(1+Sorted!$H$3),2)</f>
        <v>0</v>
      </c>
      <c r="K220" s="47" t="n">
        <f aca="false">MIN(J220,Sorted!$G$3)</f>
        <v>0</v>
      </c>
      <c r="L220" s="47" t="n">
        <f aca="false">MAX(0,MIN(J220-K220,$C220-(H220)))</f>
        <v>0</v>
      </c>
      <c r="M220" s="47" t="n">
        <f aca="false">ROUND(J220-K220-L220,2)</f>
        <v>0</v>
      </c>
      <c r="N220" s="47" t="n">
        <f aca="false">ROUND(Q219*(1+Sorted!$H$4),2)</f>
        <v>0</v>
      </c>
      <c r="O220" s="47" t="n">
        <f aca="false">MIN(N220,Sorted!$G$4)</f>
        <v>0</v>
      </c>
      <c r="P220" s="47" t="n">
        <f aca="false">MAX(0,MIN(N220-O220,$C220-(H220+L220)))</f>
        <v>0</v>
      </c>
      <c r="Q220" s="47" t="n">
        <f aca="false">ROUND(N220-O220-P220,2)</f>
        <v>0</v>
      </c>
      <c r="R220" s="47" t="n">
        <f aca="false">ROUND(U219*(1+Sorted!$H$5),2)</f>
        <v>0</v>
      </c>
      <c r="S220" s="47" t="n">
        <f aca="false">MIN(R220,Sorted!$G$5)</f>
        <v>0</v>
      </c>
      <c r="T220" s="47" t="n">
        <f aca="false">MAX(0,MIN(R220-S220,$C220-(H220+L220+P220)))</f>
        <v>0</v>
      </c>
      <c r="U220" s="47" t="n">
        <f aca="false">ROUND(R220-S220-T220,2)</f>
        <v>0</v>
      </c>
      <c r="V220" s="47" t="n">
        <f aca="false">ROUND(Y219*(1+Sorted!$H$6),2)</f>
        <v>0</v>
      </c>
      <c r="W220" s="47" t="n">
        <f aca="false">MIN(V220,Sorted!$G$6)</f>
        <v>0</v>
      </c>
      <c r="X220" s="47" t="n">
        <f aca="false">MAX(0,MIN(V220-W220,$C220-(H220+L220+P220+T220)))</f>
        <v>0</v>
      </c>
      <c r="Y220" s="47" t="n">
        <f aca="false">ROUND(V220-W220-X220,2)</f>
        <v>0</v>
      </c>
      <c r="Z220" s="47" t="n">
        <f aca="false">ROUND(AC219*(1+Sorted!$H$7),2)</f>
        <v>0</v>
      </c>
      <c r="AA220" s="47" t="n">
        <f aca="false">MIN(Z220,Sorted!$G$7)</f>
        <v>0</v>
      </c>
      <c r="AB220" s="47" t="n">
        <f aca="false">MAX(0,MIN(Z220-AA220,$C220-(H220+L220+P220+T220+X220)))</f>
        <v>0</v>
      </c>
      <c r="AC220" s="47" t="n">
        <f aca="false">ROUND(Z220-AA220-AB220,2)</f>
        <v>0</v>
      </c>
      <c r="AD220" s="47" t="n">
        <f aca="false">ROUND(AG219*(1+Sorted!$H$8),2)</f>
        <v>0</v>
      </c>
      <c r="AE220" s="47" t="n">
        <f aca="false">MIN(AD220,Sorted!$G$8)</f>
        <v>0</v>
      </c>
      <c r="AF220" s="47" t="n">
        <f aca="false">MAX(0,MIN(AD220-AE220,$C220-(H220+L220+P220+T220+X220+AB220)))</f>
        <v>0</v>
      </c>
      <c r="AG220" s="47" t="n">
        <f aca="false">ROUND(AD220-AE220-AF220,2)</f>
        <v>0</v>
      </c>
      <c r="AH220" s="47" t="n">
        <f aca="false">ROUND(AK219*(1+Sorted!$H$9),2)</f>
        <v>0</v>
      </c>
      <c r="AI220" s="47" t="n">
        <f aca="false">MIN(AH220,Sorted!$G$9)</f>
        <v>0</v>
      </c>
      <c r="AJ220" s="47" t="n">
        <f aca="false">MAX(0,MIN(AH220-AI220,$C220-(H220+L220+P220+T220+X220+AB220+AF220)))</f>
        <v>0</v>
      </c>
      <c r="AK220" s="47" t="n">
        <f aca="false">ROUND(AH220-AI220-AJ220,2)</f>
        <v>0</v>
      </c>
      <c r="AL220" s="47" t="n">
        <f aca="false">ROUND(AO219*(1+Sorted!$H$10),2)</f>
        <v>0</v>
      </c>
      <c r="AM220" s="47" t="n">
        <f aca="false">MIN(AL220,Sorted!$G$10)</f>
        <v>0</v>
      </c>
      <c r="AN220" s="47" t="n">
        <f aca="false">MAX(0,MIN(AL220-AM220,$C220-(H220+L220+P220+T220+X220+AB220+AF220+AJ220)))</f>
        <v>0</v>
      </c>
      <c r="AO220" s="47" t="n">
        <f aca="false">ROUND(AL220-AM220-AN220,2)</f>
        <v>0</v>
      </c>
      <c r="AP220" s="47" t="n">
        <f aca="false">ROUND(AS219*(1+Sorted!$H$11),2)</f>
        <v>0</v>
      </c>
      <c r="AQ220" s="47" t="n">
        <f aca="false">MIN(AP220,Sorted!$G$11)</f>
        <v>0</v>
      </c>
      <c r="AR220" s="47" t="n">
        <f aca="false">MAX(0,MIN(AP220-AQ220,$C220-(H220+L220+P220+T220+X220+AB220+AF220+AJ220+AN220)))</f>
        <v>0</v>
      </c>
      <c r="AS220" s="47" t="n">
        <f aca="false">ROUND(AP220-AQ220-AR220,2)</f>
        <v>0</v>
      </c>
    </row>
    <row r="221" customFormat="false" ht="15" hidden="false" customHeight="false" outlineLevel="0" collapsed="false">
      <c r="A221" s="45" t="n">
        <v>218</v>
      </c>
      <c r="B221" s="46" t="n">
        <f aca="false">EDATE('My Debts'!$C$7,A221-1)</f>
        <v>52932</v>
      </c>
      <c r="C221" s="47" t="n">
        <f aca="false">MAX(0,'My Debts'!$E$6-(G221+K221+O221+S221+W221+AA221+AE221+AI221+AM221+AQ221))</f>
        <v>730</v>
      </c>
      <c r="D221" s="47" t="n">
        <f aca="false">(F221+J221+N221+R221+V221+Z221+AD221+AH221+AL221+AP221)-(I221+M221+Q221+U221+Y221+AC221+AG221+AK221+AO221+AS221)</f>
        <v>0</v>
      </c>
      <c r="E221" s="48" t="n">
        <f aca="false">I221+M221+Q221+U221+Y221+AC221+AG221+AK221+AO221+AS221</f>
        <v>0</v>
      </c>
      <c r="F221" s="47" t="n">
        <f aca="false">ROUND(I220*(1+Sorted!$H$2),2)</f>
        <v>0</v>
      </c>
      <c r="G221" s="47" t="n">
        <f aca="false">MIN(F221,Sorted!$G$2)</f>
        <v>0</v>
      </c>
      <c r="H221" s="47" t="n">
        <f aca="false">MAX(0,MIN(F221-G221,$C221-(0)))</f>
        <v>0</v>
      </c>
      <c r="I221" s="47" t="n">
        <f aca="false">ROUND(F221-G221-H221,2)</f>
        <v>0</v>
      </c>
      <c r="J221" s="47" t="n">
        <f aca="false">ROUND(M220*(1+Sorted!$H$3),2)</f>
        <v>0</v>
      </c>
      <c r="K221" s="47" t="n">
        <f aca="false">MIN(J221,Sorted!$G$3)</f>
        <v>0</v>
      </c>
      <c r="L221" s="47" t="n">
        <f aca="false">MAX(0,MIN(J221-K221,$C221-(H221)))</f>
        <v>0</v>
      </c>
      <c r="M221" s="47" t="n">
        <f aca="false">ROUND(J221-K221-L221,2)</f>
        <v>0</v>
      </c>
      <c r="N221" s="47" t="n">
        <f aca="false">ROUND(Q220*(1+Sorted!$H$4),2)</f>
        <v>0</v>
      </c>
      <c r="O221" s="47" t="n">
        <f aca="false">MIN(N221,Sorted!$G$4)</f>
        <v>0</v>
      </c>
      <c r="P221" s="47" t="n">
        <f aca="false">MAX(0,MIN(N221-O221,$C221-(H221+L221)))</f>
        <v>0</v>
      </c>
      <c r="Q221" s="47" t="n">
        <f aca="false">ROUND(N221-O221-P221,2)</f>
        <v>0</v>
      </c>
      <c r="R221" s="47" t="n">
        <f aca="false">ROUND(U220*(1+Sorted!$H$5),2)</f>
        <v>0</v>
      </c>
      <c r="S221" s="47" t="n">
        <f aca="false">MIN(R221,Sorted!$G$5)</f>
        <v>0</v>
      </c>
      <c r="T221" s="47" t="n">
        <f aca="false">MAX(0,MIN(R221-S221,$C221-(H221+L221+P221)))</f>
        <v>0</v>
      </c>
      <c r="U221" s="47" t="n">
        <f aca="false">ROUND(R221-S221-T221,2)</f>
        <v>0</v>
      </c>
      <c r="V221" s="47" t="n">
        <f aca="false">ROUND(Y220*(1+Sorted!$H$6),2)</f>
        <v>0</v>
      </c>
      <c r="W221" s="47" t="n">
        <f aca="false">MIN(V221,Sorted!$G$6)</f>
        <v>0</v>
      </c>
      <c r="X221" s="47" t="n">
        <f aca="false">MAX(0,MIN(V221-W221,$C221-(H221+L221+P221+T221)))</f>
        <v>0</v>
      </c>
      <c r="Y221" s="47" t="n">
        <f aca="false">ROUND(V221-W221-X221,2)</f>
        <v>0</v>
      </c>
      <c r="Z221" s="47" t="n">
        <f aca="false">ROUND(AC220*(1+Sorted!$H$7),2)</f>
        <v>0</v>
      </c>
      <c r="AA221" s="47" t="n">
        <f aca="false">MIN(Z221,Sorted!$G$7)</f>
        <v>0</v>
      </c>
      <c r="AB221" s="47" t="n">
        <f aca="false">MAX(0,MIN(Z221-AA221,$C221-(H221+L221+P221+T221+X221)))</f>
        <v>0</v>
      </c>
      <c r="AC221" s="47" t="n">
        <f aca="false">ROUND(Z221-AA221-AB221,2)</f>
        <v>0</v>
      </c>
      <c r="AD221" s="47" t="n">
        <f aca="false">ROUND(AG220*(1+Sorted!$H$8),2)</f>
        <v>0</v>
      </c>
      <c r="AE221" s="47" t="n">
        <f aca="false">MIN(AD221,Sorted!$G$8)</f>
        <v>0</v>
      </c>
      <c r="AF221" s="47" t="n">
        <f aca="false">MAX(0,MIN(AD221-AE221,$C221-(H221+L221+P221+T221+X221+AB221)))</f>
        <v>0</v>
      </c>
      <c r="AG221" s="47" t="n">
        <f aca="false">ROUND(AD221-AE221-AF221,2)</f>
        <v>0</v>
      </c>
      <c r="AH221" s="47" t="n">
        <f aca="false">ROUND(AK220*(1+Sorted!$H$9),2)</f>
        <v>0</v>
      </c>
      <c r="AI221" s="47" t="n">
        <f aca="false">MIN(AH221,Sorted!$G$9)</f>
        <v>0</v>
      </c>
      <c r="AJ221" s="47" t="n">
        <f aca="false">MAX(0,MIN(AH221-AI221,$C221-(H221+L221+P221+T221+X221+AB221+AF221)))</f>
        <v>0</v>
      </c>
      <c r="AK221" s="47" t="n">
        <f aca="false">ROUND(AH221-AI221-AJ221,2)</f>
        <v>0</v>
      </c>
      <c r="AL221" s="47" t="n">
        <f aca="false">ROUND(AO220*(1+Sorted!$H$10),2)</f>
        <v>0</v>
      </c>
      <c r="AM221" s="47" t="n">
        <f aca="false">MIN(AL221,Sorted!$G$10)</f>
        <v>0</v>
      </c>
      <c r="AN221" s="47" t="n">
        <f aca="false">MAX(0,MIN(AL221-AM221,$C221-(H221+L221+P221+T221+X221+AB221+AF221+AJ221)))</f>
        <v>0</v>
      </c>
      <c r="AO221" s="47" t="n">
        <f aca="false">ROUND(AL221-AM221-AN221,2)</f>
        <v>0</v>
      </c>
      <c r="AP221" s="47" t="n">
        <f aca="false">ROUND(AS220*(1+Sorted!$H$11),2)</f>
        <v>0</v>
      </c>
      <c r="AQ221" s="47" t="n">
        <f aca="false">MIN(AP221,Sorted!$G$11)</f>
        <v>0</v>
      </c>
      <c r="AR221" s="47" t="n">
        <f aca="false">MAX(0,MIN(AP221-AQ221,$C221-(H221+L221+P221+T221+X221+AB221+AF221+AJ221+AN221)))</f>
        <v>0</v>
      </c>
      <c r="AS221" s="47" t="n">
        <f aca="false">ROUND(AP221-AQ221-AR221,2)</f>
        <v>0</v>
      </c>
    </row>
    <row r="222" customFormat="false" ht="15" hidden="false" customHeight="false" outlineLevel="0" collapsed="false">
      <c r="A222" s="45" t="n">
        <v>219</v>
      </c>
      <c r="B222" s="46" t="n">
        <f aca="false">EDATE('My Debts'!$C$7,A222-1)</f>
        <v>52963</v>
      </c>
      <c r="C222" s="47" t="n">
        <f aca="false">MAX(0,'My Debts'!$E$6-(G222+K222+O222+S222+W222+AA222+AE222+AI222+AM222+AQ222))</f>
        <v>730</v>
      </c>
      <c r="D222" s="47" t="n">
        <f aca="false">(F222+J222+N222+R222+V222+Z222+AD222+AH222+AL222+AP222)-(I222+M222+Q222+U222+Y222+AC222+AG222+AK222+AO222+AS222)</f>
        <v>0</v>
      </c>
      <c r="E222" s="48" t="n">
        <f aca="false">I222+M222+Q222+U222+Y222+AC222+AG222+AK222+AO222+AS222</f>
        <v>0</v>
      </c>
      <c r="F222" s="47" t="n">
        <f aca="false">ROUND(I221*(1+Sorted!$H$2),2)</f>
        <v>0</v>
      </c>
      <c r="G222" s="47" t="n">
        <f aca="false">MIN(F222,Sorted!$G$2)</f>
        <v>0</v>
      </c>
      <c r="H222" s="47" t="n">
        <f aca="false">MAX(0,MIN(F222-G222,$C222-(0)))</f>
        <v>0</v>
      </c>
      <c r="I222" s="47" t="n">
        <f aca="false">ROUND(F222-G222-H222,2)</f>
        <v>0</v>
      </c>
      <c r="J222" s="47" t="n">
        <f aca="false">ROUND(M221*(1+Sorted!$H$3),2)</f>
        <v>0</v>
      </c>
      <c r="K222" s="47" t="n">
        <f aca="false">MIN(J222,Sorted!$G$3)</f>
        <v>0</v>
      </c>
      <c r="L222" s="47" t="n">
        <f aca="false">MAX(0,MIN(J222-K222,$C222-(H222)))</f>
        <v>0</v>
      </c>
      <c r="M222" s="47" t="n">
        <f aca="false">ROUND(J222-K222-L222,2)</f>
        <v>0</v>
      </c>
      <c r="N222" s="47" t="n">
        <f aca="false">ROUND(Q221*(1+Sorted!$H$4),2)</f>
        <v>0</v>
      </c>
      <c r="O222" s="47" t="n">
        <f aca="false">MIN(N222,Sorted!$G$4)</f>
        <v>0</v>
      </c>
      <c r="P222" s="47" t="n">
        <f aca="false">MAX(0,MIN(N222-O222,$C222-(H222+L222)))</f>
        <v>0</v>
      </c>
      <c r="Q222" s="47" t="n">
        <f aca="false">ROUND(N222-O222-P222,2)</f>
        <v>0</v>
      </c>
      <c r="R222" s="47" t="n">
        <f aca="false">ROUND(U221*(1+Sorted!$H$5),2)</f>
        <v>0</v>
      </c>
      <c r="S222" s="47" t="n">
        <f aca="false">MIN(R222,Sorted!$G$5)</f>
        <v>0</v>
      </c>
      <c r="T222" s="47" t="n">
        <f aca="false">MAX(0,MIN(R222-S222,$C222-(H222+L222+P222)))</f>
        <v>0</v>
      </c>
      <c r="U222" s="47" t="n">
        <f aca="false">ROUND(R222-S222-T222,2)</f>
        <v>0</v>
      </c>
      <c r="V222" s="47" t="n">
        <f aca="false">ROUND(Y221*(1+Sorted!$H$6),2)</f>
        <v>0</v>
      </c>
      <c r="W222" s="47" t="n">
        <f aca="false">MIN(V222,Sorted!$G$6)</f>
        <v>0</v>
      </c>
      <c r="X222" s="47" t="n">
        <f aca="false">MAX(0,MIN(V222-W222,$C222-(H222+L222+P222+T222)))</f>
        <v>0</v>
      </c>
      <c r="Y222" s="47" t="n">
        <f aca="false">ROUND(V222-W222-X222,2)</f>
        <v>0</v>
      </c>
      <c r="Z222" s="47" t="n">
        <f aca="false">ROUND(AC221*(1+Sorted!$H$7),2)</f>
        <v>0</v>
      </c>
      <c r="AA222" s="47" t="n">
        <f aca="false">MIN(Z222,Sorted!$G$7)</f>
        <v>0</v>
      </c>
      <c r="AB222" s="47" t="n">
        <f aca="false">MAX(0,MIN(Z222-AA222,$C222-(H222+L222+P222+T222+X222)))</f>
        <v>0</v>
      </c>
      <c r="AC222" s="47" t="n">
        <f aca="false">ROUND(Z222-AA222-AB222,2)</f>
        <v>0</v>
      </c>
      <c r="AD222" s="47" t="n">
        <f aca="false">ROUND(AG221*(1+Sorted!$H$8),2)</f>
        <v>0</v>
      </c>
      <c r="AE222" s="47" t="n">
        <f aca="false">MIN(AD222,Sorted!$G$8)</f>
        <v>0</v>
      </c>
      <c r="AF222" s="47" t="n">
        <f aca="false">MAX(0,MIN(AD222-AE222,$C222-(H222+L222+P222+T222+X222+AB222)))</f>
        <v>0</v>
      </c>
      <c r="AG222" s="47" t="n">
        <f aca="false">ROUND(AD222-AE222-AF222,2)</f>
        <v>0</v>
      </c>
      <c r="AH222" s="47" t="n">
        <f aca="false">ROUND(AK221*(1+Sorted!$H$9),2)</f>
        <v>0</v>
      </c>
      <c r="AI222" s="47" t="n">
        <f aca="false">MIN(AH222,Sorted!$G$9)</f>
        <v>0</v>
      </c>
      <c r="AJ222" s="47" t="n">
        <f aca="false">MAX(0,MIN(AH222-AI222,$C222-(H222+L222+P222+T222+X222+AB222+AF222)))</f>
        <v>0</v>
      </c>
      <c r="AK222" s="47" t="n">
        <f aca="false">ROUND(AH222-AI222-AJ222,2)</f>
        <v>0</v>
      </c>
      <c r="AL222" s="47" t="n">
        <f aca="false">ROUND(AO221*(1+Sorted!$H$10),2)</f>
        <v>0</v>
      </c>
      <c r="AM222" s="47" t="n">
        <f aca="false">MIN(AL222,Sorted!$G$10)</f>
        <v>0</v>
      </c>
      <c r="AN222" s="47" t="n">
        <f aca="false">MAX(0,MIN(AL222-AM222,$C222-(H222+L222+P222+T222+X222+AB222+AF222+AJ222)))</f>
        <v>0</v>
      </c>
      <c r="AO222" s="47" t="n">
        <f aca="false">ROUND(AL222-AM222-AN222,2)</f>
        <v>0</v>
      </c>
      <c r="AP222" s="47" t="n">
        <f aca="false">ROUND(AS221*(1+Sorted!$H$11),2)</f>
        <v>0</v>
      </c>
      <c r="AQ222" s="47" t="n">
        <f aca="false">MIN(AP222,Sorted!$G$11)</f>
        <v>0</v>
      </c>
      <c r="AR222" s="47" t="n">
        <f aca="false">MAX(0,MIN(AP222-AQ222,$C222-(H222+L222+P222+T222+X222+AB222+AF222+AJ222+AN222)))</f>
        <v>0</v>
      </c>
      <c r="AS222" s="47" t="n">
        <f aca="false">ROUND(AP222-AQ222-AR222,2)</f>
        <v>0</v>
      </c>
    </row>
    <row r="223" customFormat="false" ht="15" hidden="false" customHeight="false" outlineLevel="0" collapsed="false">
      <c r="A223" s="45" t="n">
        <v>220</v>
      </c>
      <c r="B223" s="46" t="n">
        <f aca="false">EDATE('My Debts'!$C$7,A223-1)</f>
        <v>52994</v>
      </c>
      <c r="C223" s="47" t="n">
        <f aca="false">MAX(0,'My Debts'!$E$6-(G223+K223+O223+S223+W223+AA223+AE223+AI223+AM223+AQ223))</f>
        <v>730</v>
      </c>
      <c r="D223" s="47" t="n">
        <f aca="false">(F223+J223+N223+R223+V223+Z223+AD223+AH223+AL223+AP223)-(I223+M223+Q223+U223+Y223+AC223+AG223+AK223+AO223+AS223)</f>
        <v>0</v>
      </c>
      <c r="E223" s="48" t="n">
        <f aca="false">I223+M223+Q223+U223+Y223+AC223+AG223+AK223+AO223+AS223</f>
        <v>0</v>
      </c>
      <c r="F223" s="47" t="n">
        <f aca="false">ROUND(I222*(1+Sorted!$H$2),2)</f>
        <v>0</v>
      </c>
      <c r="G223" s="47" t="n">
        <f aca="false">MIN(F223,Sorted!$G$2)</f>
        <v>0</v>
      </c>
      <c r="H223" s="47" t="n">
        <f aca="false">MAX(0,MIN(F223-G223,$C223-(0)))</f>
        <v>0</v>
      </c>
      <c r="I223" s="47" t="n">
        <f aca="false">ROUND(F223-G223-H223,2)</f>
        <v>0</v>
      </c>
      <c r="J223" s="47" t="n">
        <f aca="false">ROUND(M222*(1+Sorted!$H$3),2)</f>
        <v>0</v>
      </c>
      <c r="K223" s="47" t="n">
        <f aca="false">MIN(J223,Sorted!$G$3)</f>
        <v>0</v>
      </c>
      <c r="L223" s="47" t="n">
        <f aca="false">MAX(0,MIN(J223-K223,$C223-(H223)))</f>
        <v>0</v>
      </c>
      <c r="M223" s="47" t="n">
        <f aca="false">ROUND(J223-K223-L223,2)</f>
        <v>0</v>
      </c>
      <c r="N223" s="47" t="n">
        <f aca="false">ROUND(Q222*(1+Sorted!$H$4),2)</f>
        <v>0</v>
      </c>
      <c r="O223" s="47" t="n">
        <f aca="false">MIN(N223,Sorted!$G$4)</f>
        <v>0</v>
      </c>
      <c r="P223" s="47" t="n">
        <f aca="false">MAX(0,MIN(N223-O223,$C223-(H223+L223)))</f>
        <v>0</v>
      </c>
      <c r="Q223" s="47" t="n">
        <f aca="false">ROUND(N223-O223-P223,2)</f>
        <v>0</v>
      </c>
      <c r="R223" s="47" t="n">
        <f aca="false">ROUND(U222*(1+Sorted!$H$5),2)</f>
        <v>0</v>
      </c>
      <c r="S223" s="47" t="n">
        <f aca="false">MIN(R223,Sorted!$G$5)</f>
        <v>0</v>
      </c>
      <c r="T223" s="47" t="n">
        <f aca="false">MAX(0,MIN(R223-S223,$C223-(H223+L223+P223)))</f>
        <v>0</v>
      </c>
      <c r="U223" s="47" t="n">
        <f aca="false">ROUND(R223-S223-T223,2)</f>
        <v>0</v>
      </c>
      <c r="V223" s="47" t="n">
        <f aca="false">ROUND(Y222*(1+Sorted!$H$6),2)</f>
        <v>0</v>
      </c>
      <c r="W223" s="47" t="n">
        <f aca="false">MIN(V223,Sorted!$G$6)</f>
        <v>0</v>
      </c>
      <c r="X223" s="47" t="n">
        <f aca="false">MAX(0,MIN(V223-W223,$C223-(H223+L223+P223+T223)))</f>
        <v>0</v>
      </c>
      <c r="Y223" s="47" t="n">
        <f aca="false">ROUND(V223-W223-X223,2)</f>
        <v>0</v>
      </c>
      <c r="Z223" s="47" t="n">
        <f aca="false">ROUND(AC222*(1+Sorted!$H$7),2)</f>
        <v>0</v>
      </c>
      <c r="AA223" s="47" t="n">
        <f aca="false">MIN(Z223,Sorted!$G$7)</f>
        <v>0</v>
      </c>
      <c r="AB223" s="47" t="n">
        <f aca="false">MAX(0,MIN(Z223-AA223,$C223-(H223+L223+P223+T223+X223)))</f>
        <v>0</v>
      </c>
      <c r="AC223" s="47" t="n">
        <f aca="false">ROUND(Z223-AA223-AB223,2)</f>
        <v>0</v>
      </c>
      <c r="AD223" s="47" t="n">
        <f aca="false">ROUND(AG222*(1+Sorted!$H$8),2)</f>
        <v>0</v>
      </c>
      <c r="AE223" s="47" t="n">
        <f aca="false">MIN(AD223,Sorted!$G$8)</f>
        <v>0</v>
      </c>
      <c r="AF223" s="47" t="n">
        <f aca="false">MAX(0,MIN(AD223-AE223,$C223-(H223+L223+P223+T223+X223+AB223)))</f>
        <v>0</v>
      </c>
      <c r="AG223" s="47" t="n">
        <f aca="false">ROUND(AD223-AE223-AF223,2)</f>
        <v>0</v>
      </c>
      <c r="AH223" s="47" t="n">
        <f aca="false">ROUND(AK222*(1+Sorted!$H$9),2)</f>
        <v>0</v>
      </c>
      <c r="AI223" s="47" t="n">
        <f aca="false">MIN(AH223,Sorted!$G$9)</f>
        <v>0</v>
      </c>
      <c r="AJ223" s="47" t="n">
        <f aca="false">MAX(0,MIN(AH223-AI223,$C223-(H223+L223+P223+T223+X223+AB223+AF223)))</f>
        <v>0</v>
      </c>
      <c r="AK223" s="47" t="n">
        <f aca="false">ROUND(AH223-AI223-AJ223,2)</f>
        <v>0</v>
      </c>
      <c r="AL223" s="47" t="n">
        <f aca="false">ROUND(AO222*(1+Sorted!$H$10),2)</f>
        <v>0</v>
      </c>
      <c r="AM223" s="47" t="n">
        <f aca="false">MIN(AL223,Sorted!$G$10)</f>
        <v>0</v>
      </c>
      <c r="AN223" s="47" t="n">
        <f aca="false">MAX(0,MIN(AL223-AM223,$C223-(H223+L223+P223+T223+X223+AB223+AF223+AJ223)))</f>
        <v>0</v>
      </c>
      <c r="AO223" s="47" t="n">
        <f aca="false">ROUND(AL223-AM223-AN223,2)</f>
        <v>0</v>
      </c>
      <c r="AP223" s="47" t="n">
        <f aca="false">ROUND(AS222*(1+Sorted!$H$11),2)</f>
        <v>0</v>
      </c>
      <c r="AQ223" s="47" t="n">
        <f aca="false">MIN(AP223,Sorted!$G$11)</f>
        <v>0</v>
      </c>
      <c r="AR223" s="47" t="n">
        <f aca="false">MAX(0,MIN(AP223-AQ223,$C223-(H223+L223+P223+T223+X223+AB223+AF223+AJ223+AN223)))</f>
        <v>0</v>
      </c>
      <c r="AS223" s="47" t="n">
        <f aca="false">ROUND(AP223-AQ223-AR223,2)</f>
        <v>0</v>
      </c>
    </row>
    <row r="224" customFormat="false" ht="15" hidden="false" customHeight="false" outlineLevel="0" collapsed="false">
      <c r="A224" s="45" t="n">
        <v>221</v>
      </c>
      <c r="B224" s="46" t="n">
        <f aca="false">EDATE('My Debts'!$C$7,A224-1)</f>
        <v>53022</v>
      </c>
      <c r="C224" s="47" t="n">
        <f aca="false">MAX(0,'My Debts'!$E$6-(G224+K224+O224+S224+W224+AA224+AE224+AI224+AM224+AQ224))</f>
        <v>730</v>
      </c>
      <c r="D224" s="47" t="n">
        <f aca="false">(F224+J224+N224+R224+V224+Z224+AD224+AH224+AL224+AP224)-(I224+M224+Q224+U224+Y224+AC224+AG224+AK224+AO224+AS224)</f>
        <v>0</v>
      </c>
      <c r="E224" s="48" t="n">
        <f aca="false">I224+M224+Q224+U224+Y224+AC224+AG224+AK224+AO224+AS224</f>
        <v>0</v>
      </c>
      <c r="F224" s="47" t="n">
        <f aca="false">ROUND(I223*(1+Sorted!$H$2),2)</f>
        <v>0</v>
      </c>
      <c r="G224" s="47" t="n">
        <f aca="false">MIN(F224,Sorted!$G$2)</f>
        <v>0</v>
      </c>
      <c r="H224" s="47" t="n">
        <f aca="false">MAX(0,MIN(F224-G224,$C224-(0)))</f>
        <v>0</v>
      </c>
      <c r="I224" s="47" t="n">
        <f aca="false">ROUND(F224-G224-H224,2)</f>
        <v>0</v>
      </c>
      <c r="J224" s="47" t="n">
        <f aca="false">ROUND(M223*(1+Sorted!$H$3),2)</f>
        <v>0</v>
      </c>
      <c r="K224" s="47" t="n">
        <f aca="false">MIN(J224,Sorted!$G$3)</f>
        <v>0</v>
      </c>
      <c r="L224" s="47" t="n">
        <f aca="false">MAX(0,MIN(J224-K224,$C224-(H224)))</f>
        <v>0</v>
      </c>
      <c r="M224" s="47" t="n">
        <f aca="false">ROUND(J224-K224-L224,2)</f>
        <v>0</v>
      </c>
      <c r="N224" s="47" t="n">
        <f aca="false">ROUND(Q223*(1+Sorted!$H$4),2)</f>
        <v>0</v>
      </c>
      <c r="O224" s="47" t="n">
        <f aca="false">MIN(N224,Sorted!$G$4)</f>
        <v>0</v>
      </c>
      <c r="P224" s="47" t="n">
        <f aca="false">MAX(0,MIN(N224-O224,$C224-(H224+L224)))</f>
        <v>0</v>
      </c>
      <c r="Q224" s="47" t="n">
        <f aca="false">ROUND(N224-O224-P224,2)</f>
        <v>0</v>
      </c>
      <c r="R224" s="47" t="n">
        <f aca="false">ROUND(U223*(1+Sorted!$H$5),2)</f>
        <v>0</v>
      </c>
      <c r="S224" s="47" t="n">
        <f aca="false">MIN(R224,Sorted!$G$5)</f>
        <v>0</v>
      </c>
      <c r="T224" s="47" t="n">
        <f aca="false">MAX(0,MIN(R224-S224,$C224-(H224+L224+P224)))</f>
        <v>0</v>
      </c>
      <c r="U224" s="47" t="n">
        <f aca="false">ROUND(R224-S224-T224,2)</f>
        <v>0</v>
      </c>
      <c r="V224" s="47" t="n">
        <f aca="false">ROUND(Y223*(1+Sorted!$H$6),2)</f>
        <v>0</v>
      </c>
      <c r="W224" s="47" t="n">
        <f aca="false">MIN(V224,Sorted!$G$6)</f>
        <v>0</v>
      </c>
      <c r="X224" s="47" t="n">
        <f aca="false">MAX(0,MIN(V224-W224,$C224-(H224+L224+P224+T224)))</f>
        <v>0</v>
      </c>
      <c r="Y224" s="47" t="n">
        <f aca="false">ROUND(V224-W224-X224,2)</f>
        <v>0</v>
      </c>
      <c r="Z224" s="47" t="n">
        <f aca="false">ROUND(AC223*(1+Sorted!$H$7),2)</f>
        <v>0</v>
      </c>
      <c r="AA224" s="47" t="n">
        <f aca="false">MIN(Z224,Sorted!$G$7)</f>
        <v>0</v>
      </c>
      <c r="AB224" s="47" t="n">
        <f aca="false">MAX(0,MIN(Z224-AA224,$C224-(H224+L224+P224+T224+X224)))</f>
        <v>0</v>
      </c>
      <c r="AC224" s="47" t="n">
        <f aca="false">ROUND(Z224-AA224-AB224,2)</f>
        <v>0</v>
      </c>
      <c r="AD224" s="47" t="n">
        <f aca="false">ROUND(AG223*(1+Sorted!$H$8),2)</f>
        <v>0</v>
      </c>
      <c r="AE224" s="47" t="n">
        <f aca="false">MIN(AD224,Sorted!$G$8)</f>
        <v>0</v>
      </c>
      <c r="AF224" s="47" t="n">
        <f aca="false">MAX(0,MIN(AD224-AE224,$C224-(H224+L224+P224+T224+X224+AB224)))</f>
        <v>0</v>
      </c>
      <c r="AG224" s="47" t="n">
        <f aca="false">ROUND(AD224-AE224-AF224,2)</f>
        <v>0</v>
      </c>
      <c r="AH224" s="47" t="n">
        <f aca="false">ROUND(AK223*(1+Sorted!$H$9),2)</f>
        <v>0</v>
      </c>
      <c r="AI224" s="47" t="n">
        <f aca="false">MIN(AH224,Sorted!$G$9)</f>
        <v>0</v>
      </c>
      <c r="AJ224" s="47" t="n">
        <f aca="false">MAX(0,MIN(AH224-AI224,$C224-(H224+L224+P224+T224+X224+AB224+AF224)))</f>
        <v>0</v>
      </c>
      <c r="AK224" s="47" t="n">
        <f aca="false">ROUND(AH224-AI224-AJ224,2)</f>
        <v>0</v>
      </c>
      <c r="AL224" s="47" t="n">
        <f aca="false">ROUND(AO223*(1+Sorted!$H$10),2)</f>
        <v>0</v>
      </c>
      <c r="AM224" s="47" t="n">
        <f aca="false">MIN(AL224,Sorted!$G$10)</f>
        <v>0</v>
      </c>
      <c r="AN224" s="47" t="n">
        <f aca="false">MAX(0,MIN(AL224-AM224,$C224-(H224+L224+P224+T224+X224+AB224+AF224+AJ224)))</f>
        <v>0</v>
      </c>
      <c r="AO224" s="47" t="n">
        <f aca="false">ROUND(AL224-AM224-AN224,2)</f>
        <v>0</v>
      </c>
      <c r="AP224" s="47" t="n">
        <f aca="false">ROUND(AS223*(1+Sorted!$H$11),2)</f>
        <v>0</v>
      </c>
      <c r="AQ224" s="47" t="n">
        <f aca="false">MIN(AP224,Sorted!$G$11)</f>
        <v>0</v>
      </c>
      <c r="AR224" s="47" t="n">
        <f aca="false">MAX(0,MIN(AP224-AQ224,$C224-(H224+L224+P224+T224+X224+AB224+AF224+AJ224+AN224)))</f>
        <v>0</v>
      </c>
      <c r="AS224" s="47" t="n">
        <f aca="false">ROUND(AP224-AQ224-AR224,2)</f>
        <v>0</v>
      </c>
    </row>
    <row r="225" customFormat="false" ht="15" hidden="false" customHeight="false" outlineLevel="0" collapsed="false">
      <c r="A225" s="45" t="n">
        <v>222</v>
      </c>
      <c r="B225" s="46" t="n">
        <f aca="false">EDATE('My Debts'!$C$7,A225-1)</f>
        <v>53053</v>
      </c>
      <c r="C225" s="47" t="n">
        <f aca="false">MAX(0,'My Debts'!$E$6-(G225+K225+O225+S225+W225+AA225+AE225+AI225+AM225+AQ225))</f>
        <v>730</v>
      </c>
      <c r="D225" s="47" t="n">
        <f aca="false">(F225+J225+N225+R225+V225+Z225+AD225+AH225+AL225+AP225)-(I225+M225+Q225+U225+Y225+AC225+AG225+AK225+AO225+AS225)</f>
        <v>0</v>
      </c>
      <c r="E225" s="48" t="n">
        <f aca="false">I225+M225+Q225+U225+Y225+AC225+AG225+AK225+AO225+AS225</f>
        <v>0</v>
      </c>
      <c r="F225" s="47" t="n">
        <f aca="false">ROUND(I224*(1+Sorted!$H$2),2)</f>
        <v>0</v>
      </c>
      <c r="G225" s="47" t="n">
        <f aca="false">MIN(F225,Sorted!$G$2)</f>
        <v>0</v>
      </c>
      <c r="H225" s="47" t="n">
        <f aca="false">MAX(0,MIN(F225-G225,$C225-(0)))</f>
        <v>0</v>
      </c>
      <c r="I225" s="47" t="n">
        <f aca="false">ROUND(F225-G225-H225,2)</f>
        <v>0</v>
      </c>
      <c r="J225" s="47" t="n">
        <f aca="false">ROUND(M224*(1+Sorted!$H$3),2)</f>
        <v>0</v>
      </c>
      <c r="K225" s="47" t="n">
        <f aca="false">MIN(J225,Sorted!$G$3)</f>
        <v>0</v>
      </c>
      <c r="L225" s="47" t="n">
        <f aca="false">MAX(0,MIN(J225-K225,$C225-(H225)))</f>
        <v>0</v>
      </c>
      <c r="M225" s="47" t="n">
        <f aca="false">ROUND(J225-K225-L225,2)</f>
        <v>0</v>
      </c>
      <c r="N225" s="47" t="n">
        <f aca="false">ROUND(Q224*(1+Sorted!$H$4),2)</f>
        <v>0</v>
      </c>
      <c r="O225" s="47" t="n">
        <f aca="false">MIN(N225,Sorted!$G$4)</f>
        <v>0</v>
      </c>
      <c r="P225" s="47" t="n">
        <f aca="false">MAX(0,MIN(N225-O225,$C225-(H225+L225)))</f>
        <v>0</v>
      </c>
      <c r="Q225" s="47" t="n">
        <f aca="false">ROUND(N225-O225-P225,2)</f>
        <v>0</v>
      </c>
      <c r="R225" s="47" t="n">
        <f aca="false">ROUND(U224*(1+Sorted!$H$5),2)</f>
        <v>0</v>
      </c>
      <c r="S225" s="47" t="n">
        <f aca="false">MIN(R225,Sorted!$G$5)</f>
        <v>0</v>
      </c>
      <c r="T225" s="47" t="n">
        <f aca="false">MAX(0,MIN(R225-S225,$C225-(H225+L225+P225)))</f>
        <v>0</v>
      </c>
      <c r="U225" s="47" t="n">
        <f aca="false">ROUND(R225-S225-T225,2)</f>
        <v>0</v>
      </c>
      <c r="V225" s="47" t="n">
        <f aca="false">ROUND(Y224*(1+Sorted!$H$6),2)</f>
        <v>0</v>
      </c>
      <c r="W225" s="47" t="n">
        <f aca="false">MIN(V225,Sorted!$G$6)</f>
        <v>0</v>
      </c>
      <c r="X225" s="47" t="n">
        <f aca="false">MAX(0,MIN(V225-W225,$C225-(H225+L225+P225+T225)))</f>
        <v>0</v>
      </c>
      <c r="Y225" s="47" t="n">
        <f aca="false">ROUND(V225-W225-X225,2)</f>
        <v>0</v>
      </c>
      <c r="Z225" s="47" t="n">
        <f aca="false">ROUND(AC224*(1+Sorted!$H$7),2)</f>
        <v>0</v>
      </c>
      <c r="AA225" s="47" t="n">
        <f aca="false">MIN(Z225,Sorted!$G$7)</f>
        <v>0</v>
      </c>
      <c r="AB225" s="47" t="n">
        <f aca="false">MAX(0,MIN(Z225-AA225,$C225-(H225+L225+P225+T225+X225)))</f>
        <v>0</v>
      </c>
      <c r="AC225" s="47" t="n">
        <f aca="false">ROUND(Z225-AA225-AB225,2)</f>
        <v>0</v>
      </c>
      <c r="AD225" s="47" t="n">
        <f aca="false">ROUND(AG224*(1+Sorted!$H$8),2)</f>
        <v>0</v>
      </c>
      <c r="AE225" s="47" t="n">
        <f aca="false">MIN(AD225,Sorted!$G$8)</f>
        <v>0</v>
      </c>
      <c r="AF225" s="47" t="n">
        <f aca="false">MAX(0,MIN(AD225-AE225,$C225-(H225+L225+P225+T225+X225+AB225)))</f>
        <v>0</v>
      </c>
      <c r="AG225" s="47" t="n">
        <f aca="false">ROUND(AD225-AE225-AF225,2)</f>
        <v>0</v>
      </c>
      <c r="AH225" s="47" t="n">
        <f aca="false">ROUND(AK224*(1+Sorted!$H$9),2)</f>
        <v>0</v>
      </c>
      <c r="AI225" s="47" t="n">
        <f aca="false">MIN(AH225,Sorted!$G$9)</f>
        <v>0</v>
      </c>
      <c r="AJ225" s="47" t="n">
        <f aca="false">MAX(0,MIN(AH225-AI225,$C225-(H225+L225+P225+T225+X225+AB225+AF225)))</f>
        <v>0</v>
      </c>
      <c r="AK225" s="47" t="n">
        <f aca="false">ROUND(AH225-AI225-AJ225,2)</f>
        <v>0</v>
      </c>
      <c r="AL225" s="47" t="n">
        <f aca="false">ROUND(AO224*(1+Sorted!$H$10),2)</f>
        <v>0</v>
      </c>
      <c r="AM225" s="47" t="n">
        <f aca="false">MIN(AL225,Sorted!$G$10)</f>
        <v>0</v>
      </c>
      <c r="AN225" s="47" t="n">
        <f aca="false">MAX(0,MIN(AL225-AM225,$C225-(H225+L225+P225+T225+X225+AB225+AF225+AJ225)))</f>
        <v>0</v>
      </c>
      <c r="AO225" s="47" t="n">
        <f aca="false">ROUND(AL225-AM225-AN225,2)</f>
        <v>0</v>
      </c>
      <c r="AP225" s="47" t="n">
        <f aca="false">ROUND(AS224*(1+Sorted!$H$11),2)</f>
        <v>0</v>
      </c>
      <c r="AQ225" s="47" t="n">
        <f aca="false">MIN(AP225,Sorted!$G$11)</f>
        <v>0</v>
      </c>
      <c r="AR225" s="47" t="n">
        <f aca="false">MAX(0,MIN(AP225-AQ225,$C225-(H225+L225+P225+T225+X225+AB225+AF225+AJ225+AN225)))</f>
        <v>0</v>
      </c>
      <c r="AS225" s="47" t="n">
        <f aca="false">ROUND(AP225-AQ225-AR225,2)</f>
        <v>0</v>
      </c>
    </row>
    <row r="226" customFormat="false" ht="15" hidden="false" customHeight="false" outlineLevel="0" collapsed="false">
      <c r="A226" s="45" t="n">
        <v>223</v>
      </c>
      <c r="B226" s="46" t="n">
        <f aca="false">EDATE('My Debts'!$C$7,A226-1)</f>
        <v>53083</v>
      </c>
      <c r="C226" s="47" t="n">
        <f aca="false">MAX(0,'My Debts'!$E$6-(G226+K226+O226+S226+W226+AA226+AE226+AI226+AM226+AQ226))</f>
        <v>730</v>
      </c>
      <c r="D226" s="47" t="n">
        <f aca="false">(F226+J226+N226+R226+V226+Z226+AD226+AH226+AL226+AP226)-(I226+M226+Q226+U226+Y226+AC226+AG226+AK226+AO226+AS226)</f>
        <v>0</v>
      </c>
      <c r="E226" s="48" t="n">
        <f aca="false">I226+M226+Q226+U226+Y226+AC226+AG226+AK226+AO226+AS226</f>
        <v>0</v>
      </c>
      <c r="F226" s="47" t="n">
        <f aca="false">ROUND(I225*(1+Sorted!$H$2),2)</f>
        <v>0</v>
      </c>
      <c r="G226" s="47" t="n">
        <f aca="false">MIN(F226,Sorted!$G$2)</f>
        <v>0</v>
      </c>
      <c r="H226" s="47" t="n">
        <f aca="false">MAX(0,MIN(F226-G226,$C226-(0)))</f>
        <v>0</v>
      </c>
      <c r="I226" s="47" t="n">
        <f aca="false">ROUND(F226-G226-H226,2)</f>
        <v>0</v>
      </c>
      <c r="J226" s="47" t="n">
        <f aca="false">ROUND(M225*(1+Sorted!$H$3),2)</f>
        <v>0</v>
      </c>
      <c r="K226" s="47" t="n">
        <f aca="false">MIN(J226,Sorted!$G$3)</f>
        <v>0</v>
      </c>
      <c r="L226" s="47" t="n">
        <f aca="false">MAX(0,MIN(J226-K226,$C226-(H226)))</f>
        <v>0</v>
      </c>
      <c r="M226" s="47" t="n">
        <f aca="false">ROUND(J226-K226-L226,2)</f>
        <v>0</v>
      </c>
      <c r="N226" s="47" t="n">
        <f aca="false">ROUND(Q225*(1+Sorted!$H$4),2)</f>
        <v>0</v>
      </c>
      <c r="O226" s="47" t="n">
        <f aca="false">MIN(N226,Sorted!$G$4)</f>
        <v>0</v>
      </c>
      <c r="P226" s="47" t="n">
        <f aca="false">MAX(0,MIN(N226-O226,$C226-(H226+L226)))</f>
        <v>0</v>
      </c>
      <c r="Q226" s="47" t="n">
        <f aca="false">ROUND(N226-O226-P226,2)</f>
        <v>0</v>
      </c>
      <c r="R226" s="47" t="n">
        <f aca="false">ROUND(U225*(1+Sorted!$H$5),2)</f>
        <v>0</v>
      </c>
      <c r="S226" s="47" t="n">
        <f aca="false">MIN(R226,Sorted!$G$5)</f>
        <v>0</v>
      </c>
      <c r="T226" s="47" t="n">
        <f aca="false">MAX(0,MIN(R226-S226,$C226-(H226+L226+P226)))</f>
        <v>0</v>
      </c>
      <c r="U226" s="47" t="n">
        <f aca="false">ROUND(R226-S226-T226,2)</f>
        <v>0</v>
      </c>
      <c r="V226" s="47" t="n">
        <f aca="false">ROUND(Y225*(1+Sorted!$H$6),2)</f>
        <v>0</v>
      </c>
      <c r="W226" s="47" t="n">
        <f aca="false">MIN(V226,Sorted!$G$6)</f>
        <v>0</v>
      </c>
      <c r="X226" s="47" t="n">
        <f aca="false">MAX(0,MIN(V226-W226,$C226-(H226+L226+P226+T226)))</f>
        <v>0</v>
      </c>
      <c r="Y226" s="47" t="n">
        <f aca="false">ROUND(V226-W226-X226,2)</f>
        <v>0</v>
      </c>
      <c r="Z226" s="47" t="n">
        <f aca="false">ROUND(AC225*(1+Sorted!$H$7),2)</f>
        <v>0</v>
      </c>
      <c r="AA226" s="47" t="n">
        <f aca="false">MIN(Z226,Sorted!$G$7)</f>
        <v>0</v>
      </c>
      <c r="AB226" s="47" t="n">
        <f aca="false">MAX(0,MIN(Z226-AA226,$C226-(H226+L226+P226+T226+X226)))</f>
        <v>0</v>
      </c>
      <c r="AC226" s="47" t="n">
        <f aca="false">ROUND(Z226-AA226-AB226,2)</f>
        <v>0</v>
      </c>
      <c r="AD226" s="47" t="n">
        <f aca="false">ROUND(AG225*(1+Sorted!$H$8),2)</f>
        <v>0</v>
      </c>
      <c r="AE226" s="47" t="n">
        <f aca="false">MIN(AD226,Sorted!$G$8)</f>
        <v>0</v>
      </c>
      <c r="AF226" s="47" t="n">
        <f aca="false">MAX(0,MIN(AD226-AE226,$C226-(H226+L226+P226+T226+X226+AB226)))</f>
        <v>0</v>
      </c>
      <c r="AG226" s="47" t="n">
        <f aca="false">ROUND(AD226-AE226-AF226,2)</f>
        <v>0</v>
      </c>
      <c r="AH226" s="47" t="n">
        <f aca="false">ROUND(AK225*(1+Sorted!$H$9),2)</f>
        <v>0</v>
      </c>
      <c r="AI226" s="47" t="n">
        <f aca="false">MIN(AH226,Sorted!$G$9)</f>
        <v>0</v>
      </c>
      <c r="AJ226" s="47" t="n">
        <f aca="false">MAX(0,MIN(AH226-AI226,$C226-(H226+L226+P226+T226+X226+AB226+AF226)))</f>
        <v>0</v>
      </c>
      <c r="AK226" s="47" t="n">
        <f aca="false">ROUND(AH226-AI226-AJ226,2)</f>
        <v>0</v>
      </c>
      <c r="AL226" s="47" t="n">
        <f aca="false">ROUND(AO225*(1+Sorted!$H$10),2)</f>
        <v>0</v>
      </c>
      <c r="AM226" s="47" t="n">
        <f aca="false">MIN(AL226,Sorted!$G$10)</f>
        <v>0</v>
      </c>
      <c r="AN226" s="47" t="n">
        <f aca="false">MAX(0,MIN(AL226-AM226,$C226-(H226+L226+P226+T226+X226+AB226+AF226+AJ226)))</f>
        <v>0</v>
      </c>
      <c r="AO226" s="47" t="n">
        <f aca="false">ROUND(AL226-AM226-AN226,2)</f>
        <v>0</v>
      </c>
      <c r="AP226" s="47" t="n">
        <f aca="false">ROUND(AS225*(1+Sorted!$H$11),2)</f>
        <v>0</v>
      </c>
      <c r="AQ226" s="47" t="n">
        <f aca="false">MIN(AP226,Sorted!$G$11)</f>
        <v>0</v>
      </c>
      <c r="AR226" s="47" t="n">
        <f aca="false">MAX(0,MIN(AP226-AQ226,$C226-(H226+L226+P226+T226+X226+AB226+AF226+AJ226+AN226)))</f>
        <v>0</v>
      </c>
      <c r="AS226" s="47" t="n">
        <f aca="false">ROUND(AP226-AQ226-AR226,2)</f>
        <v>0</v>
      </c>
    </row>
    <row r="227" customFormat="false" ht="15" hidden="false" customHeight="false" outlineLevel="0" collapsed="false">
      <c r="A227" s="45" t="n">
        <v>224</v>
      </c>
      <c r="B227" s="46" t="n">
        <f aca="false">EDATE('My Debts'!$C$7,A227-1)</f>
        <v>53114</v>
      </c>
      <c r="C227" s="47" t="n">
        <f aca="false">MAX(0,'My Debts'!$E$6-(G227+K227+O227+S227+W227+AA227+AE227+AI227+AM227+AQ227))</f>
        <v>730</v>
      </c>
      <c r="D227" s="47" t="n">
        <f aca="false">(F227+J227+N227+R227+V227+Z227+AD227+AH227+AL227+AP227)-(I227+M227+Q227+U227+Y227+AC227+AG227+AK227+AO227+AS227)</f>
        <v>0</v>
      </c>
      <c r="E227" s="48" t="n">
        <f aca="false">I227+M227+Q227+U227+Y227+AC227+AG227+AK227+AO227+AS227</f>
        <v>0</v>
      </c>
      <c r="F227" s="47" t="n">
        <f aca="false">ROUND(I226*(1+Sorted!$H$2),2)</f>
        <v>0</v>
      </c>
      <c r="G227" s="47" t="n">
        <f aca="false">MIN(F227,Sorted!$G$2)</f>
        <v>0</v>
      </c>
      <c r="H227" s="47" t="n">
        <f aca="false">MAX(0,MIN(F227-G227,$C227-(0)))</f>
        <v>0</v>
      </c>
      <c r="I227" s="47" t="n">
        <f aca="false">ROUND(F227-G227-H227,2)</f>
        <v>0</v>
      </c>
      <c r="J227" s="47" t="n">
        <f aca="false">ROUND(M226*(1+Sorted!$H$3),2)</f>
        <v>0</v>
      </c>
      <c r="K227" s="47" t="n">
        <f aca="false">MIN(J227,Sorted!$G$3)</f>
        <v>0</v>
      </c>
      <c r="L227" s="47" t="n">
        <f aca="false">MAX(0,MIN(J227-K227,$C227-(H227)))</f>
        <v>0</v>
      </c>
      <c r="M227" s="47" t="n">
        <f aca="false">ROUND(J227-K227-L227,2)</f>
        <v>0</v>
      </c>
      <c r="N227" s="47" t="n">
        <f aca="false">ROUND(Q226*(1+Sorted!$H$4),2)</f>
        <v>0</v>
      </c>
      <c r="O227" s="47" t="n">
        <f aca="false">MIN(N227,Sorted!$G$4)</f>
        <v>0</v>
      </c>
      <c r="P227" s="47" t="n">
        <f aca="false">MAX(0,MIN(N227-O227,$C227-(H227+L227)))</f>
        <v>0</v>
      </c>
      <c r="Q227" s="47" t="n">
        <f aca="false">ROUND(N227-O227-P227,2)</f>
        <v>0</v>
      </c>
      <c r="R227" s="47" t="n">
        <f aca="false">ROUND(U226*(1+Sorted!$H$5),2)</f>
        <v>0</v>
      </c>
      <c r="S227" s="47" t="n">
        <f aca="false">MIN(R227,Sorted!$G$5)</f>
        <v>0</v>
      </c>
      <c r="T227" s="47" t="n">
        <f aca="false">MAX(0,MIN(R227-S227,$C227-(H227+L227+P227)))</f>
        <v>0</v>
      </c>
      <c r="U227" s="47" t="n">
        <f aca="false">ROUND(R227-S227-T227,2)</f>
        <v>0</v>
      </c>
      <c r="V227" s="47" t="n">
        <f aca="false">ROUND(Y226*(1+Sorted!$H$6),2)</f>
        <v>0</v>
      </c>
      <c r="W227" s="47" t="n">
        <f aca="false">MIN(V227,Sorted!$G$6)</f>
        <v>0</v>
      </c>
      <c r="X227" s="47" t="n">
        <f aca="false">MAX(0,MIN(V227-W227,$C227-(H227+L227+P227+T227)))</f>
        <v>0</v>
      </c>
      <c r="Y227" s="47" t="n">
        <f aca="false">ROUND(V227-W227-X227,2)</f>
        <v>0</v>
      </c>
      <c r="Z227" s="47" t="n">
        <f aca="false">ROUND(AC226*(1+Sorted!$H$7),2)</f>
        <v>0</v>
      </c>
      <c r="AA227" s="47" t="n">
        <f aca="false">MIN(Z227,Sorted!$G$7)</f>
        <v>0</v>
      </c>
      <c r="AB227" s="47" t="n">
        <f aca="false">MAX(0,MIN(Z227-AA227,$C227-(H227+L227+P227+T227+X227)))</f>
        <v>0</v>
      </c>
      <c r="AC227" s="47" t="n">
        <f aca="false">ROUND(Z227-AA227-AB227,2)</f>
        <v>0</v>
      </c>
      <c r="AD227" s="47" t="n">
        <f aca="false">ROUND(AG226*(1+Sorted!$H$8),2)</f>
        <v>0</v>
      </c>
      <c r="AE227" s="47" t="n">
        <f aca="false">MIN(AD227,Sorted!$G$8)</f>
        <v>0</v>
      </c>
      <c r="AF227" s="47" t="n">
        <f aca="false">MAX(0,MIN(AD227-AE227,$C227-(H227+L227+P227+T227+X227+AB227)))</f>
        <v>0</v>
      </c>
      <c r="AG227" s="47" t="n">
        <f aca="false">ROUND(AD227-AE227-AF227,2)</f>
        <v>0</v>
      </c>
      <c r="AH227" s="47" t="n">
        <f aca="false">ROUND(AK226*(1+Sorted!$H$9),2)</f>
        <v>0</v>
      </c>
      <c r="AI227" s="47" t="n">
        <f aca="false">MIN(AH227,Sorted!$G$9)</f>
        <v>0</v>
      </c>
      <c r="AJ227" s="47" t="n">
        <f aca="false">MAX(0,MIN(AH227-AI227,$C227-(H227+L227+P227+T227+X227+AB227+AF227)))</f>
        <v>0</v>
      </c>
      <c r="AK227" s="47" t="n">
        <f aca="false">ROUND(AH227-AI227-AJ227,2)</f>
        <v>0</v>
      </c>
      <c r="AL227" s="47" t="n">
        <f aca="false">ROUND(AO226*(1+Sorted!$H$10),2)</f>
        <v>0</v>
      </c>
      <c r="AM227" s="47" t="n">
        <f aca="false">MIN(AL227,Sorted!$G$10)</f>
        <v>0</v>
      </c>
      <c r="AN227" s="47" t="n">
        <f aca="false">MAX(0,MIN(AL227-AM227,$C227-(H227+L227+P227+T227+X227+AB227+AF227+AJ227)))</f>
        <v>0</v>
      </c>
      <c r="AO227" s="47" t="n">
        <f aca="false">ROUND(AL227-AM227-AN227,2)</f>
        <v>0</v>
      </c>
      <c r="AP227" s="47" t="n">
        <f aca="false">ROUND(AS226*(1+Sorted!$H$11),2)</f>
        <v>0</v>
      </c>
      <c r="AQ227" s="47" t="n">
        <f aca="false">MIN(AP227,Sorted!$G$11)</f>
        <v>0</v>
      </c>
      <c r="AR227" s="47" t="n">
        <f aca="false">MAX(0,MIN(AP227-AQ227,$C227-(H227+L227+P227+T227+X227+AB227+AF227+AJ227+AN227)))</f>
        <v>0</v>
      </c>
      <c r="AS227" s="47" t="n">
        <f aca="false">ROUND(AP227-AQ227-AR227,2)</f>
        <v>0</v>
      </c>
    </row>
    <row r="228" customFormat="false" ht="15" hidden="false" customHeight="false" outlineLevel="0" collapsed="false">
      <c r="A228" s="45" t="n">
        <v>225</v>
      </c>
      <c r="B228" s="46" t="n">
        <f aca="false">EDATE('My Debts'!$C$7,A228-1)</f>
        <v>53144</v>
      </c>
      <c r="C228" s="47" t="n">
        <f aca="false">MAX(0,'My Debts'!$E$6-(G228+K228+O228+S228+W228+AA228+AE228+AI228+AM228+AQ228))</f>
        <v>730</v>
      </c>
      <c r="D228" s="47" t="n">
        <f aca="false">(F228+J228+N228+R228+V228+Z228+AD228+AH228+AL228+AP228)-(I228+M228+Q228+U228+Y228+AC228+AG228+AK228+AO228+AS228)</f>
        <v>0</v>
      </c>
      <c r="E228" s="48" t="n">
        <f aca="false">I228+M228+Q228+U228+Y228+AC228+AG228+AK228+AO228+AS228</f>
        <v>0</v>
      </c>
      <c r="F228" s="47" t="n">
        <f aca="false">ROUND(I227*(1+Sorted!$H$2),2)</f>
        <v>0</v>
      </c>
      <c r="G228" s="47" t="n">
        <f aca="false">MIN(F228,Sorted!$G$2)</f>
        <v>0</v>
      </c>
      <c r="H228" s="47" t="n">
        <f aca="false">MAX(0,MIN(F228-G228,$C228-(0)))</f>
        <v>0</v>
      </c>
      <c r="I228" s="47" t="n">
        <f aca="false">ROUND(F228-G228-H228,2)</f>
        <v>0</v>
      </c>
      <c r="J228" s="47" t="n">
        <f aca="false">ROUND(M227*(1+Sorted!$H$3),2)</f>
        <v>0</v>
      </c>
      <c r="K228" s="47" t="n">
        <f aca="false">MIN(J228,Sorted!$G$3)</f>
        <v>0</v>
      </c>
      <c r="L228" s="47" t="n">
        <f aca="false">MAX(0,MIN(J228-K228,$C228-(H228)))</f>
        <v>0</v>
      </c>
      <c r="M228" s="47" t="n">
        <f aca="false">ROUND(J228-K228-L228,2)</f>
        <v>0</v>
      </c>
      <c r="N228" s="47" t="n">
        <f aca="false">ROUND(Q227*(1+Sorted!$H$4),2)</f>
        <v>0</v>
      </c>
      <c r="O228" s="47" t="n">
        <f aca="false">MIN(N228,Sorted!$G$4)</f>
        <v>0</v>
      </c>
      <c r="P228" s="47" t="n">
        <f aca="false">MAX(0,MIN(N228-O228,$C228-(H228+L228)))</f>
        <v>0</v>
      </c>
      <c r="Q228" s="47" t="n">
        <f aca="false">ROUND(N228-O228-P228,2)</f>
        <v>0</v>
      </c>
      <c r="R228" s="47" t="n">
        <f aca="false">ROUND(U227*(1+Sorted!$H$5),2)</f>
        <v>0</v>
      </c>
      <c r="S228" s="47" t="n">
        <f aca="false">MIN(R228,Sorted!$G$5)</f>
        <v>0</v>
      </c>
      <c r="T228" s="47" t="n">
        <f aca="false">MAX(0,MIN(R228-S228,$C228-(H228+L228+P228)))</f>
        <v>0</v>
      </c>
      <c r="U228" s="47" t="n">
        <f aca="false">ROUND(R228-S228-T228,2)</f>
        <v>0</v>
      </c>
      <c r="V228" s="47" t="n">
        <f aca="false">ROUND(Y227*(1+Sorted!$H$6),2)</f>
        <v>0</v>
      </c>
      <c r="W228" s="47" t="n">
        <f aca="false">MIN(V228,Sorted!$G$6)</f>
        <v>0</v>
      </c>
      <c r="X228" s="47" t="n">
        <f aca="false">MAX(0,MIN(V228-W228,$C228-(H228+L228+P228+T228)))</f>
        <v>0</v>
      </c>
      <c r="Y228" s="47" t="n">
        <f aca="false">ROUND(V228-W228-X228,2)</f>
        <v>0</v>
      </c>
      <c r="Z228" s="47" t="n">
        <f aca="false">ROUND(AC227*(1+Sorted!$H$7),2)</f>
        <v>0</v>
      </c>
      <c r="AA228" s="47" t="n">
        <f aca="false">MIN(Z228,Sorted!$G$7)</f>
        <v>0</v>
      </c>
      <c r="AB228" s="47" t="n">
        <f aca="false">MAX(0,MIN(Z228-AA228,$C228-(H228+L228+P228+T228+X228)))</f>
        <v>0</v>
      </c>
      <c r="AC228" s="47" t="n">
        <f aca="false">ROUND(Z228-AA228-AB228,2)</f>
        <v>0</v>
      </c>
      <c r="AD228" s="47" t="n">
        <f aca="false">ROUND(AG227*(1+Sorted!$H$8),2)</f>
        <v>0</v>
      </c>
      <c r="AE228" s="47" t="n">
        <f aca="false">MIN(AD228,Sorted!$G$8)</f>
        <v>0</v>
      </c>
      <c r="AF228" s="47" t="n">
        <f aca="false">MAX(0,MIN(AD228-AE228,$C228-(H228+L228+P228+T228+X228+AB228)))</f>
        <v>0</v>
      </c>
      <c r="AG228" s="47" t="n">
        <f aca="false">ROUND(AD228-AE228-AF228,2)</f>
        <v>0</v>
      </c>
      <c r="AH228" s="47" t="n">
        <f aca="false">ROUND(AK227*(1+Sorted!$H$9),2)</f>
        <v>0</v>
      </c>
      <c r="AI228" s="47" t="n">
        <f aca="false">MIN(AH228,Sorted!$G$9)</f>
        <v>0</v>
      </c>
      <c r="AJ228" s="47" t="n">
        <f aca="false">MAX(0,MIN(AH228-AI228,$C228-(H228+L228+P228+T228+X228+AB228+AF228)))</f>
        <v>0</v>
      </c>
      <c r="AK228" s="47" t="n">
        <f aca="false">ROUND(AH228-AI228-AJ228,2)</f>
        <v>0</v>
      </c>
      <c r="AL228" s="47" t="n">
        <f aca="false">ROUND(AO227*(1+Sorted!$H$10),2)</f>
        <v>0</v>
      </c>
      <c r="AM228" s="47" t="n">
        <f aca="false">MIN(AL228,Sorted!$G$10)</f>
        <v>0</v>
      </c>
      <c r="AN228" s="47" t="n">
        <f aca="false">MAX(0,MIN(AL228-AM228,$C228-(H228+L228+P228+T228+X228+AB228+AF228+AJ228)))</f>
        <v>0</v>
      </c>
      <c r="AO228" s="47" t="n">
        <f aca="false">ROUND(AL228-AM228-AN228,2)</f>
        <v>0</v>
      </c>
      <c r="AP228" s="47" t="n">
        <f aca="false">ROUND(AS227*(1+Sorted!$H$11),2)</f>
        <v>0</v>
      </c>
      <c r="AQ228" s="47" t="n">
        <f aca="false">MIN(AP228,Sorted!$G$11)</f>
        <v>0</v>
      </c>
      <c r="AR228" s="47" t="n">
        <f aca="false">MAX(0,MIN(AP228-AQ228,$C228-(H228+L228+P228+T228+X228+AB228+AF228+AJ228+AN228)))</f>
        <v>0</v>
      </c>
      <c r="AS228" s="47" t="n">
        <f aca="false">ROUND(AP228-AQ228-AR228,2)</f>
        <v>0</v>
      </c>
    </row>
    <row r="229" customFormat="false" ht="15" hidden="false" customHeight="false" outlineLevel="0" collapsed="false">
      <c r="A229" s="45" t="n">
        <v>226</v>
      </c>
      <c r="B229" s="46" t="n">
        <f aca="false">EDATE('My Debts'!$C$7,A229-1)</f>
        <v>53175</v>
      </c>
      <c r="C229" s="47" t="n">
        <f aca="false">MAX(0,'My Debts'!$E$6-(G229+K229+O229+S229+W229+AA229+AE229+AI229+AM229+AQ229))</f>
        <v>730</v>
      </c>
      <c r="D229" s="47" t="n">
        <f aca="false">(F229+J229+N229+R229+V229+Z229+AD229+AH229+AL229+AP229)-(I229+M229+Q229+U229+Y229+AC229+AG229+AK229+AO229+AS229)</f>
        <v>0</v>
      </c>
      <c r="E229" s="48" t="n">
        <f aca="false">I229+M229+Q229+U229+Y229+AC229+AG229+AK229+AO229+AS229</f>
        <v>0</v>
      </c>
      <c r="F229" s="47" t="n">
        <f aca="false">ROUND(I228*(1+Sorted!$H$2),2)</f>
        <v>0</v>
      </c>
      <c r="G229" s="47" t="n">
        <f aca="false">MIN(F229,Sorted!$G$2)</f>
        <v>0</v>
      </c>
      <c r="H229" s="47" t="n">
        <f aca="false">MAX(0,MIN(F229-G229,$C229-(0)))</f>
        <v>0</v>
      </c>
      <c r="I229" s="47" t="n">
        <f aca="false">ROUND(F229-G229-H229,2)</f>
        <v>0</v>
      </c>
      <c r="J229" s="47" t="n">
        <f aca="false">ROUND(M228*(1+Sorted!$H$3),2)</f>
        <v>0</v>
      </c>
      <c r="K229" s="47" t="n">
        <f aca="false">MIN(J229,Sorted!$G$3)</f>
        <v>0</v>
      </c>
      <c r="L229" s="47" t="n">
        <f aca="false">MAX(0,MIN(J229-K229,$C229-(H229)))</f>
        <v>0</v>
      </c>
      <c r="M229" s="47" t="n">
        <f aca="false">ROUND(J229-K229-L229,2)</f>
        <v>0</v>
      </c>
      <c r="N229" s="47" t="n">
        <f aca="false">ROUND(Q228*(1+Sorted!$H$4),2)</f>
        <v>0</v>
      </c>
      <c r="O229" s="47" t="n">
        <f aca="false">MIN(N229,Sorted!$G$4)</f>
        <v>0</v>
      </c>
      <c r="P229" s="47" t="n">
        <f aca="false">MAX(0,MIN(N229-O229,$C229-(H229+L229)))</f>
        <v>0</v>
      </c>
      <c r="Q229" s="47" t="n">
        <f aca="false">ROUND(N229-O229-P229,2)</f>
        <v>0</v>
      </c>
      <c r="R229" s="47" t="n">
        <f aca="false">ROUND(U228*(1+Sorted!$H$5),2)</f>
        <v>0</v>
      </c>
      <c r="S229" s="47" t="n">
        <f aca="false">MIN(R229,Sorted!$G$5)</f>
        <v>0</v>
      </c>
      <c r="T229" s="47" t="n">
        <f aca="false">MAX(0,MIN(R229-S229,$C229-(H229+L229+P229)))</f>
        <v>0</v>
      </c>
      <c r="U229" s="47" t="n">
        <f aca="false">ROUND(R229-S229-T229,2)</f>
        <v>0</v>
      </c>
      <c r="V229" s="47" t="n">
        <f aca="false">ROUND(Y228*(1+Sorted!$H$6),2)</f>
        <v>0</v>
      </c>
      <c r="W229" s="47" t="n">
        <f aca="false">MIN(V229,Sorted!$G$6)</f>
        <v>0</v>
      </c>
      <c r="X229" s="47" t="n">
        <f aca="false">MAX(0,MIN(V229-W229,$C229-(H229+L229+P229+T229)))</f>
        <v>0</v>
      </c>
      <c r="Y229" s="47" t="n">
        <f aca="false">ROUND(V229-W229-X229,2)</f>
        <v>0</v>
      </c>
      <c r="Z229" s="47" t="n">
        <f aca="false">ROUND(AC228*(1+Sorted!$H$7),2)</f>
        <v>0</v>
      </c>
      <c r="AA229" s="47" t="n">
        <f aca="false">MIN(Z229,Sorted!$G$7)</f>
        <v>0</v>
      </c>
      <c r="AB229" s="47" t="n">
        <f aca="false">MAX(0,MIN(Z229-AA229,$C229-(H229+L229+P229+T229+X229)))</f>
        <v>0</v>
      </c>
      <c r="AC229" s="47" t="n">
        <f aca="false">ROUND(Z229-AA229-AB229,2)</f>
        <v>0</v>
      </c>
      <c r="AD229" s="47" t="n">
        <f aca="false">ROUND(AG228*(1+Sorted!$H$8),2)</f>
        <v>0</v>
      </c>
      <c r="AE229" s="47" t="n">
        <f aca="false">MIN(AD229,Sorted!$G$8)</f>
        <v>0</v>
      </c>
      <c r="AF229" s="47" t="n">
        <f aca="false">MAX(0,MIN(AD229-AE229,$C229-(H229+L229+P229+T229+X229+AB229)))</f>
        <v>0</v>
      </c>
      <c r="AG229" s="47" t="n">
        <f aca="false">ROUND(AD229-AE229-AF229,2)</f>
        <v>0</v>
      </c>
      <c r="AH229" s="47" t="n">
        <f aca="false">ROUND(AK228*(1+Sorted!$H$9),2)</f>
        <v>0</v>
      </c>
      <c r="AI229" s="47" t="n">
        <f aca="false">MIN(AH229,Sorted!$G$9)</f>
        <v>0</v>
      </c>
      <c r="AJ229" s="47" t="n">
        <f aca="false">MAX(0,MIN(AH229-AI229,$C229-(H229+L229+P229+T229+X229+AB229+AF229)))</f>
        <v>0</v>
      </c>
      <c r="AK229" s="47" t="n">
        <f aca="false">ROUND(AH229-AI229-AJ229,2)</f>
        <v>0</v>
      </c>
      <c r="AL229" s="47" t="n">
        <f aca="false">ROUND(AO228*(1+Sorted!$H$10),2)</f>
        <v>0</v>
      </c>
      <c r="AM229" s="47" t="n">
        <f aca="false">MIN(AL229,Sorted!$G$10)</f>
        <v>0</v>
      </c>
      <c r="AN229" s="47" t="n">
        <f aca="false">MAX(0,MIN(AL229-AM229,$C229-(H229+L229+P229+T229+X229+AB229+AF229+AJ229)))</f>
        <v>0</v>
      </c>
      <c r="AO229" s="47" t="n">
        <f aca="false">ROUND(AL229-AM229-AN229,2)</f>
        <v>0</v>
      </c>
      <c r="AP229" s="47" t="n">
        <f aca="false">ROUND(AS228*(1+Sorted!$H$11),2)</f>
        <v>0</v>
      </c>
      <c r="AQ229" s="47" t="n">
        <f aca="false">MIN(AP229,Sorted!$G$11)</f>
        <v>0</v>
      </c>
      <c r="AR229" s="47" t="n">
        <f aca="false">MAX(0,MIN(AP229-AQ229,$C229-(H229+L229+P229+T229+X229+AB229+AF229+AJ229+AN229)))</f>
        <v>0</v>
      </c>
      <c r="AS229" s="47" t="n">
        <f aca="false">ROUND(AP229-AQ229-AR229,2)</f>
        <v>0</v>
      </c>
    </row>
    <row r="230" customFormat="false" ht="15" hidden="false" customHeight="false" outlineLevel="0" collapsed="false">
      <c r="A230" s="45" t="n">
        <v>227</v>
      </c>
      <c r="B230" s="46" t="n">
        <f aca="false">EDATE('My Debts'!$C$7,A230-1)</f>
        <v>53206</v>
      </c>
      <c r="C230" s="47" t="n">
        <f aca="false">MAX(0,'My Debts'!$E$6-(G230+K230+O230+S230+W230+AA230+AE230+AI230+AM230+AQ230))</f>
        <v>730</v>
      </c>
      <c r="D230" s="47" t="n">
        <f aca="false">(F230+J230+N230+R230+V230+Z230+AD230+AH230+AL230+AP230)-(I230+M230+Q230+U230+Y230+AC230+AG230+AK230+AO230+AS230)</f>
        <v>0</v>
      </c>
      <c r="E230" s="48" t="n">
        <f aca="false">I230+M230+Q230+U230+Y230+AC230+AG230+AK230+AO230+AS230</f>
        <v>0</v>
      </c>
      <c r="F230" s="47" t="n">
        <f aca="false">ROUND(I229*(1+Sorted!$H$2),2)</f>
        <v>0</v>
      </c>
      <c r="G230" s="47" t="n">
        <f aca="false">MIN(F230,Sorted!$G$2)</f>
        <v>0</v>
      </c>
      <c r="H230" s="47" t="n">
        <f aca="false">MAX(0,MIN(F230-G230,$C230-(0)))</f>
        <v>0</v>
      </c>
      <c r="I230" s="47" t="n">
        <f aca="false">ROUND(F230-G230-H230,2)</f>
        <v>0</v>
      </c>
      <c r="J230" s="47" t="n">
        <f aca="false">ROUND(M229*(1+Sorted!$H$3),2)</f>
        <v>0</v>
      </c>
      <c r="K230" s="47" t="n">
        <f aca="false">MIN(J230,Sorted!$G$3)</f>
        <v>0</v>
      </c>
      <c r="L230" s="47" t="n">
        <f aca="false">MAX(0,MIN(J230-K230,$C230-(H230)))</f>
        <v>0</v>
      </c>
      <c r="M230" s="47" t="n">
        <f aca="false">ROUND(J230-K230-L230,2)</f>
        <v>0</v>
      </c>
      <c r="N230" s="47" t="n">
        <f aca="false">ROUND(Q229*(1+Sorted!$H$4),2)</f>
        <v>0</v>
      </c>
      <c r="O230" s="47" t="n">
        <f aca="false">MIN(N230,Sorted!$G$4)</f>
        <v>0</v>
      </c>
      <c r="P230" s="47" t="n">
        <f aca="false">MAX(0,MIN(N230-O230,$C230-(H230+L230)))</f>
        <v>0</v>
      </c>
      <c r="Q230" s="47" t="n">
        <f aca="false">ROUND(N230-O230-P230,2)</f>
        <v>0</v>
      </c>
      <c r="R230" s="47" t="n">
        <f aca="false">ROUND(U229*(1+Sorted!$H$5),2)</f>
        <v>0</v>
      </c>
      <c r="S230" s="47" t="n">
        <f aca="false">MIN(R230,Sorted!$G$5)</f>
        <v>0</v>
      </c>
      <c r="T230" s="47" t="n">
        <f aca="false">MAX(0,MIN(R230-S230,$C230-(H230+L230+P230)))</f>
        <v>0</v>
      </c>
      <c r="U230" s="47" t="n">
        <f aca="false">ROUND(R230-S230-T230,2)</f>
        <v>0</v>
      </c>
      <c r="V230" s="47" t="n">
        <f aca="false">ROUND(Y229*(1+Sorted!$H$6),2)</f>
        <v>0</v>
      </c>
      <c r="W230" s="47" t="n">
        <f aca="false">MIN(V230,Sorted!$G$6)</f>
        <v>0</v>
      </c>
      <c r="X230" s="47" t="n">
        <f aca="false">MAX(0,MIN(V230-W230,$C230-(H230+L230+P230+T230)))</f>
        <v>0</v>
      </c>
      <c r="Y230" s="47" t="n">
        <f aca="false">ROUND(V230-W230-X230,2)</f>
        <v>0</v>
      </c>
      <c r="Z230" s="47" t="n">
        <f aca="false">ROUND(AC229*(1+Sorted!$H$7),2)</f>
        <v>0</v>
      </c>
      <c r="AA230" s="47" t="n">
        <f aca="false">MIN(Z230,Sorted!$G$7)</f>
        <v>0</v>
      </c>
      <c r="AB230" s="47" t="n">
        <f aca="false">MAX(0,MIN(Z230-AA230,$C230-(H230+L230+P230+T230+X230)))</f>
        <v>0</v>
      </c>
      <c r="AC230" s="47" t="n">
        <f aca="false">ROUND(Z230-AA230-AB230,2)</f>
        <v>0</v>
      </c>
      <c r="AD230" s="47" t="n">
        <f aca="false">ROUND(AG229*(1+Sorted!$H$8),2)</f>
        <v>0</v>
      </c>
      <c r="AE230" s="47" t="n">
        <f aca="false">MIN(AD230,Sorted!$G$8)</f>
        <v>0</v>
      </c>
      <c r="AF230" s="47" t="n">
        <f aca="false">MAX(0,MIN(AD230-AE230,$C230-(H230+L230+P230+T230+X230+AB230)))</f>
        <v>0</v>
      </c>
      <c r="AG230" s="47" t="n">
        <f aca="false">ROUND(AD230-AE230-AF230,2)</f>
        <v>0</v>
      </c>
      <c r="AH230" s="47" t="n">
        <f aca="false">ROUND(AK229*(1+Sorted!$H$9),2)</f>
        <v>0</v>
      </c>
      <c r="AI230" s="47" t="n">
        <f aca="false">MIN(AH230,Sorted!$G$9)</f>
        <v>0</v>
      </c>
      <c r="AJ230" s="47" t="n">
        <f aca="false">MAX(0,MIN(AH230-AI230,$C230-(H230+L230+P230+T230+X230+AB230+AF230)))</f>
        <v>0</v>
      </c>
      <c r="AK230" s="47" t="n">
        <f aca="false">ROUND(AH230-AI230-AJ230,2)</f>
        <v>0</v>
      </c>
      <c r="AL230" s="47" t="n">
        <f aca="false">ROUND(AO229*(1+Sorted!$H$10),2)</f>
        <v>0</v>
      </c>
      <c r="AM230" s="47" t="n">
        <f aca="false">MIN(AL230,Sorted!$G$10)</f>
        <v>0</v>
      </c>
      <c r="AN230" s="47" t="n">
        <f aca="false">MAX(0,MIN(AL230-AM230,$C230-(H230+L230+P230+T230+X230+AB230+AF230+AJ230)))</f>
        <v>0</v>
      </c>
      <c r="AO230" s="47" t="n">
        <f aca="false">ROUND(AL230-AM230-AN230,2)</f>
        <v>0</v>
      </c>
      <c r="AP230" s="47" t="n">
        <f aca="false">ROUND(AS229*(1+Sorted!$H$11),2)</f>
        <v>0</v>
      </c>
      <c r="AQ230" s="47" t="n">
        <f aca="false">MIN(AP230,Sorted!$G$11)</f>
        <v>0</v>
      </c>
      <c r="AR230" s="47" t="n">
        <f aca="false">MAX(0,MIN(AP230-AQ230,$C230-(H230+L230+P230+T230+X230+AB230+AF230+AJ230+AN230)))</f>
        <v>0</v>
      </c>
      <c r="AS230" s="47" t="n">
        <f aca="false">ROUND(AP230-AQ230-AR230,2)</f>
        <v>0</v>
      </c>
    </row>
    <row r="231" customFormat="false" ht="15" hidden="false" customHeight="false" outlineLevel="0" collapsed="false">
      <c r="A231" s="45" t="n">
        <v>228</v>
      </c>
      <c r="B231" s="46" t="n">
        <f aca="false">EDATE('My Debts'!$C$7,A231-1)</f>
        <v>53236</v>
      </c>
      <c r="C231" s="47" t="n">
        <f aca="false">MAX(0,'My Debts'!$E$6-(G231+K231+O231+S231+W231+AA231+AE231+AI231+AM231+AQ231))</f>
        <v>730</v>
      </c>
      <c r="D231" s="47" t="n">
        <f aca="false">(F231+J231+N231+R231+V231+Z231+AD231+AH231+AL231+AP231)-(I231+M231+Q231+U231+Y231+AC231+AG231+AK231+AO231+AS231)</f>
        <v>0</v>
      </c>
      <c r="E231" s="48" t="n">
        <f aca="false">I231+M231+Q231+U231+Y231+AC231+AG231+AK231+AO231+AS231</f>
        <v>0</v>
      </c>
      <c r="F231" s="47" t="n">
        <f aca="false">ROUND(I230*(1+Sorted!$H$2),2)</f>
        <v>0</v>
      </c>
      <c r="G231" s="47" t="n">
        <f aca="false">MIN(F231,Sorted!$G$2)</f>
        <v>0</v>
      </c>
      <c r="H231" s="47" t="n">
        <f aca="false">MAX(0,MIN(F231-G231,$C231-(0)))</f>
        <v>0</v>
      </c>
      <c r="I231" s="47" t="n">
        <f aca="false">ROUND(F231-G231-H231,2)</f>
        <v>0</v>
      </c>
      <c r="J231" s="47" t="n">
        <f aca="false">ROUND(M230*(1+Sorted!$H$3),2)</f>
        <v>0</v>
      </c>
      <c r="K231" s="47" t="n">
        <f aca="false">MIN(J231,Sorted!$G$3)</f>
        <v>0</v>
      </c>
      <c r="L231" s="47" t="n">
        <f aca="false">MAX(0,MIN(J231-K231,$C231-(H231)))</f>
        <v>0</v>
      </c>
      <c r="M231" s="47" t="n">
        <f aca="false">ROUND(J231-K231-L231,2)</f>
        <v>0</v>
      </c>
      <c r="N231" s="47" t="n">
        <f aca="false">ROUND(Q230*(1+Sorted!$H$4),2)</f>
        <v>0</v>
      </c>
      <c r="O231" s="47" t="n">
        <f aca="false">MIN(N231,Sorted!$G$4)</f>
        <v>0</v>
      </c>
      <c r="P231" s="47" t="n">
        <f aca="false">MAX(0,MIN(N231-O231,$C231-(H231+L231)))</f>
        <v>0</v>
      </c>
      <c r="Q231" s="47" t="n">
        <f aca="false">ROUND(N231-O231-P231,2)</f>
        <v>0</v>
      </c>
      <c r="R231" s="47" t="n">
        <f aca="false">ROUND(U230*(1+Sorted!$H$5),2)</f>
        <v>0</v>
      </c>
      <c r="S231" s="47" t="n">
        <f aca="false">MIN(R231,Sorted!$G$5)</f>
        <v>0</v>
      </c>
      <c r="T231" s="47" t="n">
        <f aca="false">MAX(0,MIN(R231-S231,$C231-(H231+L231+P231)))</f>
        <v>0</v>
      </c>
      <c r="U231" s="47" t="n">
        <f aca="false">ROUND(R231-S231-T231,2)</f>
        <v>0</v>
      </c>
      <c r="V231" s="47" t="n">
        <f aca="false">ROUND(Y230*(1+Sorted!$H$6),2)</f>
        <v>0</v>
      </c>
      <c r="W231" s="47" t="n">
        <f aca="false">MIN(V231,Sorted!$G$6)</f>
        <v>0</v>
      </c>
      <c r="X231" s="47" t="n">
        <f aca="false">MAX(0,MIN(V231-W231,$C231-(H231+L231+P231+T231)))</f>
        <v>0</v>
      </c>
      <c r="Y231" s="47" t="n">
        <f aca="false">ROUND(V231-W231-X231,2)</f>
        <v>0</v>
      </c>
      <c r="Z231" s="47" t="n">
        <f aca="false">ROUND(AC230*(1+Sorted!$H$7),2)</f>
        <v>0</v>
      </c>
      <c r="AA231" s="47" t="n">
        <f aca="false">MIN(Z231,Sorted!$G$7)</f>
        <v>0</v>
      </c>
      <c r="AB231" s="47" t="n">
        <f aca="false">MAX(0,MIN(Z231-AA231,$C231-(H231+L231+P231+T231+X231)))</f>
        <v>0</v>
      </c>
      <c r="AC231" s="47" t="n">
        <f aca="false">ROUND(Z231-AA231-AB231,2)</f>
        <v>0</v>
      </c>
      <c r="AD231" s="47" t="n">
        <f aca="false">ROUND(AG230*(1+Sorted!$H$8),2)</f>
        <v>0</v>
      </c>
      <c r="AE231" s="47" t="n">
        <f aca="false">MIN(AD231,Sorted!$G$8)</f>
        <v>0</v>
      </c>
      <c r="AF231" s="47" t="n">
        <f aca="false">MAX(0,MIN(AD231-AE231,$C231-(H231+L231+P231+T231+X231+AB231)))</f>
        <v>0</v>
      </c>
      <c r="AG231" s="47" t="n">
        <f aca="false">ROUND(AD231-AE231-AF231,2)</f>
        <v>0</v>
      </c>
      <c r="AH231" s="47" t="n">
        <f aca="false">ROUND(AK230*(1+Sorted!$H$9),2)</f>
        <v>0</v>
      </c>
      <c r="AI231" s="47" t="n">
        <f aca="false">MIN(AH231,Sorted!$G$9)</f>
        <v>0</v>
      </c>
      <c r="AJ231" s="47" t="n">
        <f aca="false">MAX(0,MIN(AH231-AI231,$C231-(H231+L231+P231+T231+X231+AB231+AF231)))</f>
        <v>0</v>
      </c>
      <c r="AK231" s="47" t="n">
        <f aca="false">ROUND(AH231-AI231-AJ231,2)</f>
        <v>0</v>
      </c>
      <c r="AL231" s="47" t="n">
        <f aca="false">ROUND(AO230*(1+Sorted!$H$10),2)</f>
        <v>0</v>
      </c>
      <c r="AM231" s="47" t="n">
        <f aca="false">MIN(AL231,Sorted!$G$10)</f>
        <v>0</v>
      </c>
      <c r="AN231" s="47" t="n">
        <f aca="false">MAX(0,MIN(AL231-AM231,$C231-(H231+L231+P231+T231+X231+AB231+AF231+AJ231)))</f>
        <v>0</v>
      </c>
      <c r="AO231" s="47" t="n">
        <f aca="false">ROUND(AL231-AM231-AN231,2)</f>
        <v>0</v>
      </c>
      <c r="AP231" s="47" t="n">
        <f aca="false">ROUND(AS230*(1+Sorted!$H$11),2)</f>
        <v>0</v>
      </c>
      <c r="AQ231" s="47" t="n">
        <f aca="false">MIN(AP231,Sorted!$G$11)</f>
        <v>0</v>
      </c>
      <c r="AR231" s="47" t="n">
        <f aca="false">MAX(0,MIN(AP231-AQ231,$C231-(H231+L231+P231+T231+X231+AB231+AF231+AJ231+AN231)))</f>
        <v>0</v>
      </c>
      <c r="AS231" s="47" t="n">
        <f aca="false">ROUND(AP231-AQ231-AR231,2)</f>
        <v>0</v>
      </c>
    </row>
    <row r="232" customFormat="false" ht="15" hidden="false" customHeight="false" outlineLevel="0" collapsed="false">
      <c r="A232" s="45" t="n">
        <v>229</v>
      </c>
      <c r="B232" s="46" t="n">
        <f aca="false">EDATE('My Debts'!$C$7,A232-1)</f>
        <v>53267</v>
      </c>
      <c r="C232" s="47" t="n">
        <f aca="false">MAX(0,'My Debts'!$E$6-(G232+K232+O232+S232+W232+AA232+AE232+AI232+AM232+AQ232))</f>
        <v>730</v>
      </c>
      <c r="D232" s="47" t="n">
        <f aca="false">(F232+J232+N232+R232+V232+Z232+AD232+AH232+AL232+AP232)-(I232+M232+Q232+U232+Y232+AC232+AG232+AK232+AO232+AS232)</f>
        <v>0</v>
      </c>
      <c r="E232" s="48" t="n">
        <f aca="false">I232+M232+Q232+U232+Y232+AC232+AG232+AK232+AO232+AS232</f>
        <v>0</v>
      </c>
      <c r="F232" s="47" t="n">
        <f aca="false">ROUND(I231*(1+Sorted!$H$2),2)</f>
        <v>0</v>
      </c>
      <c r="G232" s="47" t="n">
        <f aca="false">MIN(F232,Sorted!$G$2)</f>
        <v>0</v>
      </c>
      <c r="H232" s="47" t="n">
        <f aca="false">MAX(0,MIN(F232-G232,$C232-(0)))</f>
        <v>0</v>
      </c>
      <c r="I232" s="47" t="n">
        <f aca="false">ROUND(F232-G232-H232,2)</f>
        <v>0</v>
      </c>
      <c r="J232" s="47" t="n">
        <f aca="false">ROUND(M231*(1+Sorted!$H$3),2)</f>
        <v>0</v>
      </c>
      <c r="K232" s="47" t="n">
        <f aca="false">MIN(J232,Sorted!$G$3)</f>
        <v>0</v>
      </c>
      <c r="L232" s="47" t="n">
        <f aca="false">MAX(0,MIN(J232-K232,$C232-(H232)))</f>
        <v>0</v>
      </c>
      <c r="M232" s="47" t="n">
        <f aca="false">ROUND(J232-K232-L232,2)</f>
        <v>0</v>
      </c>
      <c r="N232" s="47" t="n">
        <f aca="false">ROUND(Q231*(1+Sorted!$H$4),2)</f>
        <v>0</v>
      </c>
      <c r="O232" s="47" t="n">
        <f aca="false">MIN(N232,Sorted!$G$4)</f>
        <v>0</v>
      </c>
      <c r="P232" s="47" t="n">
        <f aca="false">MAX(0,MIN(N232-O232,$C232-(H232+L232)))</f>
        <v>0</v>
      </c>
      <c r="Q232" s="47" t="n">
        <f aca="false">ROUND(N232-O232-P232,2)</f>
        <v>0</v>
      </c>
      <c r="R232" s="47" t="n">
        <f aca="false">ROUND(U231*(1+Sorted!$H$5),2)</f>
        <v>0</v>
      </c>
      <c r="S232" s="47" t="n">
        <f aca="false">MIN(R232,Sorted!$G$5)</f>
        <v>0</v>
      </c>
      <c r="T232" s="47" t="n">
        <f aca="false">MAX(0,MIN(R232-S232,$C232-(H232+L232+P232)))</f>
        <v>0</v>
      </c>
      <c r="U232" s="47" t="n">
        <f aca="false">ROUND(R232-S232-T232,2)</f>
        <v>0</v>
      </c>
      <c r="V232" s="47" t="n">
        <f aca="false">ROUND(Y231*(1+Sorted!$H$6),2)</f>
        <v>0</v>
      </c>
      <c r="W232" s="47" t="n">
        <f aca="false">MIN(V232,Sorted!$G$6)</f>
        <v>0</v>
      </c>
      <c r="X232" s="47" t="n">
        <f aca="false">MAX(0,MIN(V232-W232,$C232-(H232+L232+P232+T232)))</f>
        <v>0</v>
      </c>
      <c r="Y232" s="47" t="n">
        <f aca="false">ROUND(V232-W232-X232,2)</f>
        <v>0</v>
      </c>
      <c r="Z232" s="47" t="n">
        <f aca="false">ROUND(AC231*(1+Sorted!$H$7),2)</f>
        <v>0</v>
      </c>
      <c r="AA232" s="47" t="n">
        <f aca="false">MIN(Z232,Sorted!$G$7)</f>
        <v>0</v>
      </c>
      <c r="AB232" s="47" t="n">
        <f aca="false">MAX(0,MIN(Z232-AA232,$C232-(H232+L232+P232+T232+X232)))</f>
        <v>0</v>
      </c>
      <c r="AC232" s="47" t="n">
        <f aca="false">ROUND(Z232-AA232-AB232,2)</f>
        <v>0</v>
      </c>
      <c r="AD232" s="47" t="n">
        <f aca="false">ROUND(AG231*(1+Sorted!$H$8),2)</f>
        <v>0</v>
      </c>
      <c r="AE232" s="47" t="n">
        <f aca="false">MIN(AD232,Sorted!$G$8)</f>
        <v>0</v>
      </c>
      <c r="AF232" s="47" t="n">
        <f aca="false">MAX(0,MIN(AD232-AE232,$C232-(H232+L232+P232+T232+X232+AB232)))</f>
        <v>0</v>
      </c>
      <c r="AG232" s="47" t="n">
        <f aca="false">ROUND(AD232-AE232-AF232,2)</f>
        <v>0</v>
      </c>
      <c r="AH232" s="47" t="n">
        <f aca="false">ROUND(AK231*(1+Sorted!$H$9),2)</f>
        <v>0</v>
      </c>
      <c r="AI232" s="47" t="n">
        <f aca="false">MIN(AH232,Sorted!$G$9)</f>
        <v>0</v>
      </c>
      <c r="AJ232" s="47" t="n">
        <f aca="false">MAX(0,MIN(AH232-AI232,$C232-(H232+L232+P232+T232+X232+AB232+AF232)))</f>
        <v>0</v>
      </c>
      <c r="AK232" s="47" t="n">
        <f aca="false">ROUND(AH232-AI232-AJ232,2)</f>
        <v>0</v>
      </c>
      <c r="AL232" s="47" t="n">
        <f aca="false">ROUND(AO231*(1+Sorted!$H$10),2)</f>
        <v>0</v>
      </c>
      <c r="AM232" s="47" t="n">
        <f aca="false">MIN(AL232,Sorted!$G$10)</f>
        <v>0</v>
      </c>
      <c r="AN232" s="47" t="n">
        <f aca="false">MAX(0,MIN(AL232-AM232,$C232-(H232+L232+P232+T232+X232+AB232+AF232+AJ232)))</f>
        <v>0</v>
      </c>
      <c r="AO232" s="47" t="n">
        <f aca="false">ROUND(AL232-AM232-AN232,2)</f>
        <v>0</v>
      </c>
      <c r="AP232" s="47" t="n">
        <f aca="false">ROUND(AS231*(1+Sorted!$H$11),2)</f>
        <v>0</v>
      </c>
      <c r="AQ232" s="47" t="n">
        <f aca="false">MIN(AP232,Sorted!$G$11)</f>
        <v>0</v>
      </c>
      <c r="AR232" s="47" t="n">
        <f aca="false">MAX(0,MIN(AP232-AQ232,$C232-(H232+L232+P232+T232+X232+AB232+AF232+AJ232+AN232)))</f>
        <v>0</v>
      </c>
      <c r="AS232" s="47" t="n">
        <f aca="false">ROUND(AP232-AQ232-AR232,2)</f>
        <v>0</v>
      </c>
    </row>
    <row r="233" customFormat="false" ht="15" hidden="false" customHeight="false" outlineLevel="0" collapsed="false">
      <c r="A233" s="45" t="n">
        <v>230</v>
      </c>
      <c r="B233" s="46" t="n">
        <f aca="false">EDATE('My Debts'!$C$7,A233-1)</f>
        <v>53297</v>
      </c>
      <c r="C233" s="47" t="n">
        <f aca="false">MAX(0,'My Debts'!$E$6-(G233+K233+O233+S233+W233+AA233+AE233+AI233+AM233+AQ233))</f>
        <v>730</v>
      </c>
      <c r="D233" s="47" t="n">
        <f aca="false">(F233+J233+N233+R233+V233+Z233+AD233+AH233+AL233+AP233)-(I233+M233+Q233+U233+Y233+AC233+AG233+AK233+AO233+AS233)</f>
        <v>0</v>
      </c>
      <c r="E233" s="48" t="n">
        <f aca="false">I233+M233+Q233+U233+Y233+AC233+AG233+AK233+AO233+AS233</f>
        <v>0</v>
      </c>
      <c r="F233" s="47" t="n">
        <f aca="false">ROUND(I232*(1+Sorted!$H$2),2)</f>
        <v>0</v>
      </c>
      <c r="G233" s="47" t="n">
        <f aca="false">MIN(F233,Sorted!$G$2)</f>
        <v>0</v>
      </c>
      <c r="H233" s="47" t="n">
        <f aca="false">MAX(0,MIN(F233-G233,$C233-(0)))</f>
        <v>0</v>
      </c>
      <c r="I233" s="47" t="n">
        <f aca="false">ROUND(F233-G233-H233,2)</f>
        <v>0</v>
      </c>
      <c r="J233" s="47" t="n">
        <f aca="false">ROUND(M232*(1+Sorted!$H$3),2)</f>
        <v>0</v>
      </c>
      <c r="K233" s="47" t="n">
        <f aca="false">MIN(J233,Sorted!$G$3)</f>
        <v>0</v>
      </c>
      <c r="L233" s="47" t="n">
        <f aca="false">MAX(0,MIN(J233-K233,$C233-(H233)))</f>
        <v>0</v>
      </c>
      <c r="M233" s="47" t="n">
        <f aca="false">ROUND(J233-K233-L233,2)</f>
        <v>0</v>
      </c>
      <c r="N233" s="47" t="n">
        <f aca="false">ROUND(Q232*(1+Sorted!$H$4),2)</f>
        <v>0</v>
      </c>
      <c r="O233" s="47" t="n">
        <f aca="false">MIN(N233,Sorted!$G$4)</f>
        <v>0</v>
      </c>
      <c r="P233" s="47" t="n">
        <f aca="false">MAX(0,MIN(N233-O233,$C233-(H233+L233)))</f>
        <v>0</v>
      </c>
      <c r="Q233" s="47" t="n">
        <f aca="false">ROUND(N233-O233-P233,2)</f>
        <v>0</v>
      </c>
      <c r="R233" s="47" t="n">
        <f aca="false">ROUND(U232*(1+Sorted!$H$5),2)</f>
        <v>0</v>
      </c>
      <c r="S233" s="47" t="n">
        <f aca="false">MIN(R233,Sorted!$G$5)</f>
        <v>0</v>
      </c>
      <c r="T233" s="47" t="n">
        <f aca="false">MAX(0,MIN(R233-S233,$C233-(H233+L233+P233)))</f>
        <v>0</v>
      </c>
      <c r="U233" s="47" t="n">
        <f aca="false">ROUND(R233-S233-T233,2)</f>
        <v>0</v>
      </c>
      <c r="V233" s="47" t="n">
        <f aca="false">ROUND(Y232*(1+Sorted!$H$6),2)</f>
        <v>0</v>
      </c>
      <c r="W233" s="47" t="n">
        <f aca="false">MIN(V233,Sorted!$G$6)</f>
        <v>0</v>
      </c>
      <c r="X233" s="47" t="n">
        <f aca="false">MAX(0,MIN(V233-W233,$C233-(H233+L233+P233+T233)))</f>
        <v>0</v>
      </c>
      <c r="Y233" s="47" t="n">
        <f aca="false">ROUND(V233-W233-X233,2)</f>
        <v>0</v>
      </c>
      <c r="Z233" s="47" t="n">
        <f aca="false">ROUND(AC232*(1+Sorted!$H$7),2)</f>
        <v>0</v>
      </c>
      <c r="AA233" s="47" t="n">
        <f aca="false">MIN(Z233,Sorted!$G$7)</f>
        <v>0</v>
      </c>
      <c r="AB233" s="47" t="n">
        <f aca="false">MAX(0,MIN(Z233-AA233,$C233-(H233+L233+P233+T233+X233)))</f>
        <v>0</v>
      </c>
      <c r="AC233" s="47" t="n">
        <f aca="false">ROUND(Z233-AA233-AB233,2)</f>
        <v>0</v>
      </c>
      <c r="AD233" s="47" t="n">
        <f aca="false">ROUND(AG232*(1+Sorted!$H$8),2)</f>
        <v>0</v>
      </c>
      <c r="AE233" s="47" t="n">
        <f aca="false">MIN(AD233,Sorted!$G$8)</f>
        <v>0</v>
      </c>
      <c r="AF233" s="47" t="n">
        <f aca="false">MAX(0,MIN(AD233-AE233,$C233-(H233+L233+P233+T233+X233+AB233)))</f>
        <v>0</v>
      </c>
      <c r="AG233" s="47" t="n">
        <f aca="false">ROUND(AD233-AE233-AF233,2)</f>
        <v>0</v>
      </c>
      <c r="AH233" s="47" t="n">
        <f aca="false">ROUND(AK232*(1+Sorted!$H$9),2)</f>
        <v>0</v>
      </c>
      <c r="AI233" s="47" t="n">
        <f aca="false">MIN(AH233,Sorted!$G$9)</f>
        <v>0</v>
      </c>
      <c r="AJ233" s="47" t="n">
        <f aca="false">MAX(0,MIN(AH233-AI233,$C233-(H233+L233+P233+T233+X233+AB233+AF233)))</f>
        <v>0</v>
      </c>
      <c r="AK233" s="47" t="n">
        <f aca="false">ROUND(AH233-AI233-AJ233,2)</f>
        <v>0</v>
      </c>
      <c r="AL233" s="47" t="n">
        <f aca="false">ROUND(AO232*(1+Sorted!$H$10),2)</f>
        <v>0</v>
      </c>
      <c r="AM233" s="47" t="n">
        <f aca="false">MIN(AL233,Sorted!$G$10)</f>
        <v>0</v>
      </c>
      <c r="AN233" s="47" t="n">
        <f aca="false">MAX(0,MIN(AL233-AM233,$C233-(H233+L233+P233+T233+X233+AB233+AF233+AJ233)))</f>
        <v>0</v>
      </c>
      <c r="AO233" s="47" t="n">
        <f aca="false">ROUND(AL233-AM233-AN233,2)</f>
        <v>0</v>
      </c>
      <c r="AP233" s="47" t="n">
        <f aca="false">ROUND(AS232*(1+Sorted!$H$11),2)</f>
        <v>0</v>
      </c>
      <c r="AQ233" s="47" t="n">
        <f aca="false">MIN(AP233,Sorted!$G$11)</f>
        <v>0</v>
      </c>
      <c r="AR233" s="47" t="n">
        <f aca="false">MAX(0,MIN(AP233-AQ233,$C233-(H233+L233+P233+T233+X233+AB233+AF233+AJ233+AN233)))</f>
        <v>0</v>
      </c>
      <c r="AS233" s="47" t="n">
        <f aca="false">ROUND(AP233-AQ233-AR233,2)</f>
        <v>0</v>
      </c>
    </row>
    <row r="234" customFormat="false" ht="15" hidden="false" customHeight="false" outlineLevel="0" collapsed="false">
      <c r="A234" s="45" t="n">
        <v>231</v>
      </c>
      <c r="B234" s="46" t="n">
        <f aca="false">EDATE('My Debts'!$C$7,A234-1)</f>
        <v>53328</v>
      </c>
      <c r="C234" s="47" t="n">
        <f aca="false">MAX(0,'My Debts'!$E$6-(G234+K234+O234+S234+W234+AA234+AE234+AI234+AM234+AQ234))</f>
        <v>730</v>
      </c>
      <c r="D234" s="47" t="n">
        <f aca="false">(F234+J234+N234+R234+V234+Z234+AD234+AH234+AL234+AP234)-(I234+M234+Q234+U234+Y234+AC234+AG234+AK234+AO234+AS234)</f>
        <v>0</v>
      </c>
      <c r="E234" s="48" t="n">
        <f aca="false">I234+M234+Q234+U234+Y234+AC234+AG234+AK234+AO234+AS234</f>
        <v>0</v>
      </c>
      <c r="F234" s="47" t="n">
        <f aca="false">ROUND(I233*(1+Sorted!$H$2),2)</f>
        <v>0</v>
      </c>
      <c r="G234" s="47" t="n">
        <f aca="false">MIN(F234,Sorted!$G$2)</f>
        <v>0</v>
      </c>
      <c r="H234" s="47" t="n">
        <f aca="false">MAX(0,MIN(F234-G234,$C234-(0)))</f>
        <v>0</v>
      </c>
      <c r="I234" s="47" t="n">
        <f aca="false">ROUND(F234-G234-H234,2)</f>
        <v>0</v>
      </c>
      <c r="J234" s="47" t="n">
        <f aca="false">ROUND(M233*(1+Sorted!$H$3),2)</f>
        <v>0</v>
      </c>
      <c r="K234" s="47" t="n">
        <f aca="false">MIN(J234,Sorted!$G$3)</f>
        <v>0</v>
      </c>
      <c r="L234" s="47" t="n">
        <f aca="false">MAX(0,MIN(J234-K234,$C234-(H234)))</f>
        <v>0</v>
      </c>
      <c r="M234" s="47" t="n">
        <f aca="false">ROUND(J234-K234-L234,2)</f>
        <v>0</v>
      </c>
      <c r="N234" s="47" t="n">
        <f aca="false">ROUND(Q233*(1+Sorted!$H$4),2)</f>
        <v>0</v>
      </c>
      <c r="O234" s="47" t="n">
        <f aca="false">MIN(N234,Sorted!$G$4)</f>
        <v>0</v>
      </c>
      <c r="P234" s="47" t="n">
        <f aca="false">MAX(0,MIN(N234-O234,$C234-(H234+L234)))</f>
        <v>0</v>
      </c>
      <c r="Q234" s="47" t="n">
        <f aca="false">ROUND(N234-O234-P234,2)</f>
        <v>0</v>
      </c>
      <c r="R234" s="47" t="n">
        <f aca="false">ROUND(U233*(1+Sorted!$H$5),2)</f>
        <v>0</v>
      </c>
      <c r="S234" s="47" t="n">
        <f aca="false">MIN(R234,Sorted!$G$5)</f>
        <v>0</v>
      </c>
      <c r="T234" s="47" t="n">
        <f aca="false">MAX(0,MIN(R234-S234,$C234-(H234+L234+P234)))</f>
        <v>0</v>
      </c>
      <c r="U234" s="47" t="n">
        <f aca="false">ROUND(R234-S234-T234,2)</f>
        <v>0</v>
      </c>
      <c r="V234" s="47" t="n">
        <f aca="false">ROUND(Y233*(1+Sorted!$H$6),2)</f>
        <v>0</v>
      </c>
      <c r="W234" s="47" t="n">
        <f aca="false">MIN(V234,Sorted!$G$6)</f>
        <v>0</v>
      </c>
      <c r="X234" s="47" t="n">
        <f aca="false">MAX(0,MIN(V234-W234,$C234-(H234+L234+P234+T234)))</f>
        <v>0</v>
      </c>
      <c r="Y234" s="47" t="n">
        <f aca="false">ROUND(V234-W234-X234,2)</f>
        <v>0</v>
      </c>
      <c r="Z234" s="47" t="n">
        <f aca="false">ROUND(AC233*(1+Sorted!$H$7),2)</f>
        <v>0</v>
      </c>
      <c r="AA234" s="47" t="n">
        <f aca="false">MIN(Z234,Sorted!$G$7)</f>
        <v>0</v>
      </c>
      <c r="AB234" s="47" t="n">
        <f aca="false">MAX(0,MIN(Z234-AA234,$C234-(H234+L234+P234+T234+X234)))</f>
        <v>0</v>
      </c>
      <c r="AC234" s="47" t="n">
        <f aca="false">ROUND(Z234-AA234-AB234,2)</f>
        <v>0</v>
      </c>
      <c r="AD234" s="47" t="n">
        <f aca="false">ROUND(AG233*(1+Sorted!$H$8),2)</f>
        <v>0</v>
      </c>
      <c r="AE234" s="47" t="n">
        <f aca="false">MIN(AD234,Sorted!$G$8)</f>
        <v>0</v>
      </c>
      <c r="AF234" s="47" t="n">
        <f aca="false">MAX(0,MIN(AD234-AE234,$C234-(H234+L234+P234+T234+X234+AB234)))</f>
        <v>0</v>
      </c>
      <c r="AG234" s="47" t="n">
        <f aca="false">ROUND(AD234-AE234-AF234,2)</f>
        <v>0</v>
      </c>
      <c r="AH234" s="47" t="n">
        <f aca="false">ROUND(AK233*(1+Sorted!$H$9),2)</f>
        <v>0</v>
      </c>
      <c r="AI234" s="47" t="n">
        <f aca="false">MIN(AH234,Sorted!$G$9)</f>
        <v>0</v>
      </c>
      <c r="AJ234" s="47" t="n">
        <f aca="false">MAX(0,MIN(AH234-AI234,$C234-(H234+L234+P234+T234+X234+AB234+AF234)))</f>
        <v>0</v>
      </c>
      <c r="AK234" s="47" t="n">
        <f aca="false">ROUND(AH234-AI234-AJ234,2)</f>
        <v>0</v>
      </c>
      <c r="AL234" s="47" t="n">
        <f aca="false">ROUND(AO233*(1+Sorted!$H$10),2)</f>
        <v>0</v>
      </c>
      <c r="AM234" s="47" t="n">
        <f aca="false">MIN(AL234,Sorted!$G$10)</f>
        <v>0</v>
      </c>
      <c r="AN234" s="47" t="n">
        <f aca="false">MAX(0,MIN(AL234-AM234,$C234-(H234+L234+P234+T234+X234+AB234+AF234+AJ234)))</f>
        <v>0</v>
      </c>
      <c r="AO234" s="47" t="n">
        <f aca="false">ROUND(AL234-AM234-AN234,2)</f>
        <v>0</v>
      </c>
      <c r="AP234" s="47" t="n">
        <f aca="false">ROUND(AS233*(1+Sorted!$H$11),2)</f>
        <v>0</v>
      </c>
      <c r="AQ234" s="47" t="n">
        <f aca="false">MIN(AP234,Sorted!$G$11)</f>
        <v>0</v>
      </c>
      <c r="AR234" s="47" t="n">
        <f aca="false">MAX(0,MIN(AP234-AQ234,$C234-(H234+L234+P234+T234+X234+AB234+AF234+AJ234+AN234)))</f>
        <v>0</v>
      </c>
      <c r="AS234" s="47" t="n">
        <f aca="false">ROUND(AP234-AQ234-AR234,2)</f>
        <v>0</v>
      </c>
    </row>
    <row r="235" customFormat="false" ht="15" hidden="false" customHeight="false" outlineLevel="0" collapsed="false">
      <c r="A235" s="45" t="n">
        <v>232</v>
      </c>
      <c r="B235" s="46" t="n">
        <f aca="false">EDATE('My Debts'!$C$7,A235-1)</f>
        <v>53359</v>
      </c>
      <c r="C235" s="47" t="n">
        <f aca="false">MAX(0,'My Debts'!$E$6-(G235+K235+O235+S235+W235+AA235+AE235+AI235+AM235+AQ235))</f>
        <v>730</v>
      </c>
      <c r="D235" s="47" t="n">
        <f aca="false">(F235+J235+N235+R235+V235+Z235+AD235+AH235+AL235+AP235)-(I235+M235+Q235+U235+Y235+AC235+AG235+AK235+AO235+AS235)</f>
        <v>0</v>
      </c>
      <c r="E235" s="48" t="n">
        <f aca="false">I235+M235+Q235+U235+Y235+AC235+AG235+AK235+AO235+AS235</f>
        <v>0</v>
      </c>
      <c r="F235" s="47" t="n">
        <f aca="false">ROUND(I234*(1+Sorted!$H$2),2)</f>
        <v>0</v>
      </c>
      <c r="G235" s="47" t="n">
        <f aca="false">MIN(F235,Sorted!$G$2)</f>
        <v>0</v>
      </c>
      <c r="H235" s="47" t="n">
        <f aca="false">MAX(0,MIN(F235-G235,$C235-(0)))</f>
        <v>0</v>
      </c>
      <c r="I235" s="47" t="n">
        <f aca="false">ROUND(F235-G235-H235,2)</f>
        <v>0</v>
      </c>
      <c r="J235" s="47" t="n">
        <f aca="false">ROUND(M234*(1+Sorted!$H$3),2)</f>
        <v>0</v>
      </c>
      <c r="K235" s="47" t="n">
        <f aca="false">MIN(J235,Sorted!$G$3)</f>
        <v>0</v>
      </c>
      <c r="L235" s="47" t="n">
        <f aca="false">MAX(0,MIN(J235-K235,$C235-(H235)))</f>
        <v>0</v>
      </c>
      <c r="M235" s="47" t="n">
        <f aca="false">ROUND(J235-K235-L235,2)</f>
        <v>0</v>
      </c>
      <c r="N235" s="47" t="n">
        <f aca="false">ROUND(Q234*(1+Sorted!$H$4),2)</f>
        <v>0</v>
      </c>
      <c r="O235" s="47" t="n">
        <f aca="false">MIN(N235,Sorted!$G$4)</f>
        <v>0</v>
      </c>
      <c r="P235" s="47" t="n">
        <f aca="false">MAX(0,MIN(N235-O235,$C235-(H235+L235)))</f>
        <v>0</v>
      </c>
      <c r="Q235" s="47" t="n">
        <f aca="false">ROUND(N235-O235-P235,2)</f>
        <v>0</v>
      </c>
      <c r="R235" s="47" t="n">
        <f aca="false">ROUND(U234*(1+Sorted!$H$5),2)</f>
        <v>0</v>
      </c>
      <c r="S235" s="47" t="n">
        <f aca="false">MIN(R235,Sorted!$G$5)</f>
        <v>0</v>
      </c>
      <c r="T235" s="47" t="n">
        <f aca="false">MAX(0,MIN(R235-S235,$C235-(H235+L235+P235)))</f>
        <v>0</v>
      </c>
      <c r="U235" s="47" t="n">
        <f aca="false">ROUND(R235-S235-T235,2)</f>
        <v>0</v>
      </c>
      <c r="V235" s="47" t="n">
        <f aca="false">ROUND(Y234*(1+Sorted!$H$6),2)</f>
        <v>0</v>
      </c>
      <c r="W235" s="47" t="n">
        <f aca="false">MIN(V235,Sorted!$G$6)</f>
        <v>0</v>
      </c>
      <c r="X235" s="47" t="n">
        <f aca="false">MAX(0,MIN(V235-W235,$C235-(H235+L235+P235+T235)))</f>
        <v>0</v>
      </c>
      <c r="Y235" s="47" t="n">
        <f aca="false">ROUND(V235-W235-X235,2)</f>
        <v>0</v>
      </c>
      <c r="Z235" s="47" t="n">
        <f aca="false">ROUND(AC234*(1+Sorted!$H$7),2)</f>
        <v>0</v>
      </c>
      <c r="AA235" s="47" t="n">
        <f aca="false">MIN(Z235,Sorted!$G$7)</f>
        <v>0</v>
      </c>
      <c r="AB235" s="47" t="n">
        <f aca="false">MAX(0,MIN(Z235-AA235,$C235-(H235+L235+P235+T235+X235)))</f>
        <v>0</v>
      </c>
      <c r="AC235" s="47" t="n">
        <f aca="false">ROUND(Z235-AA235-AB235,2)</f>
        <v>0</v>
      </c>
      <c r="AD235" s="47" t="n">
        <f aca="false">ROUND(AG234*(1+Sorted!$H$8),2)</f>
        <v>0</v>
      </c>
      <c r="AE235" s="47" t="n">
        <f aca="false">MIN(AD235,Sorted!$G$8)</f>
        <v>0</v>
      </c>
      <c r="AF235" s="47" t="n">
        <f aca="false">MAX(0,MIN(AD235-AE235,$C235-(H235+L235+P235+T235+X235+AB235)))</f>
        <v>0</v>
      </c>
      <c r="AG235" s="47" t="n">
        <f aca="false">ROUND(AD235-AE235-AF235,2)</f>
        <v>0</v>
      </c>
      <c r="AH235" s="47" t="n">
        <f aca="false">ROUND(AK234*(1+Sorted!$H$9),2)</f>
        <v>0</v>
      </c>
      <c r="AI235" s="47" t="n">
        <f aca="false">MIN(AH235,Sorted!$G$9)</f>
        <v>0</v>
      </c>
      <c r="AJ235" s="47" t="n">
        <f aca="false">MAX(0,MIN(AH235-AI235,$C235-(H235+L235+P235+T235+X235+AB235+AF235)))</f>
        <v>0</v>
      </c>
      <c r="AK235" s="47" t="n">
        <f aca="false">ROUND(AH235-AI235-AJ235,2)</f>
        <v>0</v>
      </c>
      <c r="AL235" s="47" t="n">
        <f aca="false">ROUND(AO234*(1+Sorted!$H$10),2)</f>
        <v>0</v>
      </c>
      <c r="AM235" s="47" t="n">
        <f aca="false">MIN(AL235,Sorted!$G$10)</f>
        <v>0</v>
      </c>
      <c r="AN235" s="47" t="n">
        <f aca="false">MAX(0,MIN(AL235-AM235,$C235-(H235+L235+P235+T235+X235+AB235+AF235+AJ235)))</f>
        <v>0</v>
      </c>
      <c r="AO235" s="47" t="n">
        <f aca="false">ROUND(AL235-AM235-AN235,2)</f>
        <v>0</v>
      </c>
      <c r="AP235" s="47" t="n">
        <f aca="false">ROUND(AS234*(1+Sorted!$H$11),2)</f>
        <v>0</v>
      </c>
      <c r="AQ235" s="47" t="n">
        <f aca="false">MIN(AP235,Sorted!$G$11)</f>
        <v>0</v>
      </c>
      <c r="AR235" s="47" t="n">
        <f aca="false">MAX(0,MIN(AP235-AQ235,$C235-(H235+L235+P235+T235+X235+AB235+AF235+AJ235+AN235)))</f>
        <v>0</v>
      </c>
      <c r="AS235" s="47" t="n">
        <f aca="false">ROUND(AP235-AQ235-AR235,2)</f>
        <v>0</v>
      </c>
    </row>
    <row r="236" customFormat="false" ht="15" hidden="false" customHeight="false" outlineLevel="0" collapsed="false">
      <c r="A236" s="45" t="n">
        <v>233</v>
      </c>
      <c r="B236" s="46" t="n">
        <f aca="false">EDATE('My Debts'!$C$7,A236-1)</f>
        <v>53387</v>
      </c>
      <c r="C236" s="47" t="n">
        <f aca="false">MAX(0,'My Debts'!$E$6-(G236+K236+O236+S236+W236+AA236+AE236+AI236+AM236+AQ236))</f>
        <v>730</v>
      </c>
      <c r="D236" s="47" t="n">
        <f aca="false">(F236+J236+N236+R236+V236+Z236+AD236+AH236+AL236+AP236)-(I236+M236+Q236+U236+Y236+AC236+AG236+AK236+AO236+AS236)</f>
        <v>0</v>
      </c>
      <c r="E236" s="48" t="n">
        <f aca="false">I236+M236+Q236+U236+Y236+AC236+AG236+AK236+AO236+AS236</f>
        <v>0</v>
      </c>
      <c r="F236" s="47" t="n">
        <f aca="false">ROUND(I235*(1+Sorted!$H$2),2)</f>
        <v>0</v>
      </c>
      <c r="G236" s="47" t="n">
        <f aca="false">MIN(F236,Sorted!$G$2)</f>
        <v>0</v>
      </c>
      <c r="H236" s="47" t="n">
        <f aca="false">MAX(0,MIN(F236-G236,$C236-(0)))</f>
        <v>0</v>
      </c>
      <c r="I236" s="47" t="n">
        <f aca="false">ROUND(F236-G236-H236,2)</f>
        <v>0</v>
      </c>
      <c r="J236" s="47" t="n">
        <f aca="false">ROUND(M235*(1+Sorted!$H$3),2)</f>
        <v>0</v>
      </c>
      <c r="K236" s="47" t="n">
        <f aca="false">MIN(J236,Sorted!$G$3)</f>
        <v>0</v>
      </c>
      <c r="L236" s="47" t="n">
        <f aca="false">MAX(0,MIN(J236-K236,$C236-(H236)))</f>
        <v>0</v>
      </c>
      <c r="M236" s="47" t="n">
        <f aca="false">ROUND(J236-K236-L236,2)</f>
        <v>0</v>
      </c>
      <c r="N236" s="47" t="n">
        <f aca="false">ROUND(Q235*(1+Sorted!$H$4),2)</f>
        <v>0</v>
      </c>
      <c r="O236" s="47" t="n">
        <f aca="false">MIN(N236,Sorted!$G$4)</f>
        <v>0</v>
      </c>
      <c r="P236" s="47" t="n">
        <f aca="false">MAX(0,MIN(N236-O236,$C236-(H236+L236)))</f>
        <v>0</v>
      </c>
      <c r="Q236" s="47" t="n">
        <f aca="false">ROUND(N236-O236-P236,2)</f>
        <v>0</v>
      </c>
      <c r="R236" s="47" t="n">
        <f aca="false">ROUND(U235*(1+Sorted!$H$5),2)</f>
        <v>0</v>
      </c>
      <c r="S236" s="47" t="n">
        <f aca="false">MIN(R236,Sorted!$G$5)</f>
        <v>0</v>
      </c>
      <c r="T236" s="47" t="n">
        <f aca="false">MAX(0,MIN(R236-S236,$C236-(H236+L236+P236)))</f>
        <v>0</v>
      </c>
      <c r="U236" s="47" t="n">
        <f aca="false">ROUND(R236-S236-T236,2)</f>
        <v>0</v>
      </c>
      <c r="V236" s="47" t="n">
        <f aca="false">ROUND(Y235*(1+Sorted!$H$6),2)</f>
        <v>0</v>
      </c>
      <c r="W236" s="47" t="n">
        <f aca="false">MIN(V236,Sorted!$G$6)</f>
        <v>0</v>
      </c>
      <c r="X236" s="47" t="n">
        <f aca="false">MAX(0,MIN(V236-W236,$C236-(H236+L236+P236+T236)))</f>
        <v>0</v>
      </c>
      <c r="Y236" s="47" t="n">
        <f aca="false">ROUND(V236-W236-X236,2)</f>
        <v>0</v>
      </c>
      <c r="Z236" s="47" t="n">
        <f aca="false">ROUND(AC235*(1+Sorted!$H$7),2)</f>
        <v>0</v>
      </c>
      <c r="AA236" s="47" t="n">
        <f aca="false">MIN(Z236,Sorted!$G$7)</f>
        <v>0</v>
      </c>
      <c r="AB236" s="47" t="n">
        <f aca="false">MAX(0,MIN(Z236-AA236,$C236-(H236+L236+P236+T236+X236)))</f>
        <v>0</v>
      </c>
      <c r="AC236" s="47" t="n">
        <f aca="false">ROUND(Z236-AA236-AB236,2)</f>
        <v>0</v>
      </c>
      <c r="AD236" s="47" t="n">
        <f aca="false">ROUND(AG235*(1+Sorted!$H$8),2)</f>
        <v>0</v>
      </c>
      <c r="AE236" s="47" t="n">
        <f aca="false">MIN(AD236,Sorted!$G$8)</f>
        <v>0</v>
      </c>
      <c r="AF236" s="47" t="n">
        <f aca="false">MAX(0,MIN(AD236-AE236,$C236-(H236+L236+P236+T236+X236+AB236)))</f>
        <v>0</v>
      </c>
      <c r="AG236" s="47" t="n">
        <f aca="false">ROUND(AD236-AE236-AF236,2)</f>
        <v>0</v>
      </c>
      <c r="AH236" s="47" t="n">
        <f aca="false">ROUND(AK235*(1+Sorted!$H$9),2)</f>
        <v>0</v>
      </c>
      <c r="AI236" s="47" t="n">
        <f aca="false">MIN(AH236,Sorted!$G$9)</f>
        <v>0</v>
      </c>
      <c r="AJ236" s="47" t="n">
        <f aca="false">MAX(0,MIN(AH236-AI236,$C236-(H236+L236+P236+T236+X236+AB236+AF236)))</f>
        <v>0</v>
      </c>
      <c r="AK236" s="47" t="n">
        <f aca="false">ROUND(AH236-AI236-AJ236,2)</f>
        <v>0</v>
      </c>
      <c r="AL236" s="47" t="n">
        <f aca="false">ROUND(AO235*(1+Sorted!$H$10),2)</f>
        <v>0</v>
      </c>
      <c r="AM236" s="47" t="n">
        <f aca="false">MIN(AL236,Sorted!$G$10)</f>
        <v>0</v>
      </c>
      <c r="AN236" s="47" t="n">
        <f aca="false">MAX(0,MIN(AL236-AM236,$C236-(H236+L236+P236+T236+X236+AB236+AF236+AJ236)))</f>
        <v>0</v>
      </c>
      <c r="AO236" s="47" t="n">
        <f aca="false">ROUND(AL236-AM236-AN236,2)</f>
        <v>0</v>
      </c>
      <c r="AP236" s="47" t="n">
        <f aca="false">ROUND(AS235*(1+Sorted!$H$11),2)</f>
        <v>0</v>
      </c>
      <c r="AQ236" s="47" t="n">
        <f aca="false">MIN(AP236,Sorted!$G$11)</f>
        <v>0</v>
      </c>
      <c r="AR236" s="47" t="n">
        <f aca="false">MAX(0,MIN(AP236-AQ236,$C236-(H236+L236+P236+T236+X236+AB236+AF236+AJ236+AN236)))</f>
        <v>0</v>
      </c>
      <c r="AS236" s="47" t="n">
        <f aca="false">ROUND(AP236-AQ236-AR236,2)</f>
        <v>0</v>
      </c>
    </row>
    <row r="237" customFormat="false" ht="15" hidden="false" customHeight="false" outlineLevel="0" collapsed="false">
      <c r="A237" s="45" t="n">
        <v>234</v>
      </c>
      <c r="B237" s="46" t="n">
        <f aca="false">EDATE('My Debts'!$C$7,A237-1)</f>
        <v>53418</v>
      </c>
      <c r="C237" s="47" t="n">
        <f aca="false">MAX(0,'My Debts'!$E$6-(G237+K237+O237+S237+W237+AA237+AE237+AI237+AM237+AQ237))</f>
        <v>730</v>
      </c>
      <c r="D237" s="47" t="n">
        <f aca="false">(F237+J237+N237+R237+V237+Z237+AD237+AH237+AL237+AP237)-(I237+M237+Q237+U237+Y237+AC237+AG237+AK237+AO237+AS237)</f>
        <v>0</v>
      </c>
      <c r="E237" s="48" t="n">
        <f aca="false">I237+M237+Q237+U237+Y237+AC237+AG237+AK237+AO237+AS237</f>
        <v>0</v>
      </c>
      <c r="F237" s="47" t="n">
        <f aca="false">ROUND(I236*(1+Sorted!$H$2),2)</f>
        <v>0</v>
      </c>
      <c r="G237" s="47" t="n">
        <f aca="false">MIN(F237,Sorted!$G$2)</f>
        <v>0</v>
      </c>
      <c r="H237" s="47" t="n">
        <f aca="false">MAX(0,MIN(F237-G237,$C237-(0)))</f>
        <v>0</v>
      </c>
      <c r="I237" s="47" t="n">
        <f aca="false">ROUND(F237-G237-H237,2)</f>
        <v>0</v>
      </c>
      <c r="J237" s="47" t="n">
        <f aca="false">ROUND(M236*(1+Sorted!$H$3),2)</f>
        <v>0</v>
      </c>
      <c r="K237" s="47" t="n">
        <f aca="false">MIN(J237,Sorted!$G$3)</f>
        <v>0</v>
      </c>
      <c r="L237" s="47" t="n">
        <f aca="false">MAX(0,MIN(J237-K237,$C237-(H237)))</f>
        <v>0</v>
      </c>
      <c r="M237" s="47" t="n">
        <f aca="false">ROUND(J237-K237-L237,2)</f>
        <v>0</v>
      </c>
      <c r="N237" s="47" t="n">
        <f aca="false">ROUND(Q236*(1+Sorted!$H$4),2)</f>
        <v>0</v>
      </c>
      <c r="O237" s="47" t="n">
        <f aca="false">MIN(N237,Sorted!$G$4)</f>
        <v>0</v>
      </c>
      <c r="P237" s="47" t="n">
        <f aca="false">MAX(0,MIN(N237-O237,$C237-(H237+L237)))</f>
        <v>0</v>
      </c>
      <c r="Q237" s="47" t="n">
        <f aca="false">ROUND(N237-O237-P237,2)</f>
        <v>0</v>
      </c>
      <c r="R237" s="47" t="n">
        <f aca="false">ROUND(U236*(1+Sorted!$H$5),2)</f>
        <v>0</v>
      </c>
      <c r="S237" s="47" t="n">
        <f aca="false">MIN(R237,Sorted!$G$5)</f>
        <v>0</v>
      </c>
      <c r="T237" s="47" t="n">
        <f aca="false">MAX(0,MIN(R237-S237,$C237-(H237+L237+P237)))</f>
        <v>0</v>
      </c>
      <c r="U237" s="47" t="n">
        <f aca="false">ROUND(R237-S237-T237,2)</f>
        <v>0</v>
      </c>
      <c r="V237" s="47" t="n">
        <f aca="false">ROUND(Y236*(1+Sorted!$H$6),2)</f>
        <v>0</v>
      </c>
      <c r="W237" s="47" t="n">
        <f aca="false">MIN(V237,Sorted!$G$6)</f>
        <v>0</v>
      </c>
      <c r="X237" s="47" t="n">
        <f aca="false">MAX(0,MIN(V237-W237,$C237-(H237+L237+P237+T237)))</f>
        <v>0</v>
      </c>
      <c r="Y237" s="47" t="n">
        <f aca="false">ROUND(V237-W237-X237,2)</f>
        <v>0</v>
      </c>
      <c r="Z237" s="47" t="n">
        <f aca="false">ROUND(AC236*(1+Sorted!$H$7),2)</f>
        <v>0</v>
      </c>
      <c r="AA237" s="47" t="n">
        <f aca="false">MIN(Z237,Sorted!$G$7)</f>
        <v>0</v>
      </c>
      <c r="AB237" s="47" t="n">
        <f aca="false">MAX(0,MIN(Z237-AA237,$C237-(H237+L237+P237+T237+X237)))</f>
        <v>0</v>
      </c>
      <c r="AC237" s="47" t="n">
        <f aca="false">ROUND(Z237-AA237-AB237,2)</f>
        <v>0</v>
      </c>
      <c r="AD237" s="47" t="n">
        <f aca="false">ROUND(AG236*(1+Sorted!$H$8),2)</f>
        <v>0</v>
      </c>
      <c r="AE237" s="47" t="n">
        <f aca="false">MIN(AD237,Sorted!$G$8)</f>
        <v>0</v>
      </c>
      <c r="AF237" s="47" t="n">
        <f aca="false">MAX(0,MIN(AD237-AE237,$C237-(H237+L237+P237+T237+X237+AB237)))</f>
        <v>0</v>
      </c>
      <c r="AG237" s="47" t="n">
        <f aca="false">ROUND(AD237-AE237-AF237,2)</f>
        <v>0</v>
      </c>
      <c r="AH237" s="47" t="n">
        <f aca="false">ROUND(AK236*(1+Sorted!$H$9),2)</f>
        <v>0</v>
      </c>
      <c r="AI237" s="47" t="n">
        <f aca="false">MIN(AH237,Sorted!$G$9)</f>
        <v>0</v>
      </c>
      <c r="AJ237" s="47" t="n">
        <f aca="false">MAX(0,MIN(AH237-AI237,$C237-(H237+L237+P237+T237+X237+AB237+AF237)))</f>
        <v>0</v>
      </c>
      <c r="AK237" s="47" t="n">
        <f aca="false">ROUND(AH237-AI237-AJ237,2)</f>
        <v>0</v>
      </c>
      <c r="AL237" s="47" t="n">
        <f aca="false">ROUND(AO236*(1+Sorted!$H$10),2)</f>
        <v>0</v>
      </c>
      <c r="AM237" s="47" t="n">
        <f aca="false">MIN(AL237,Sorted!$G$10)</f>
        <v>0</v>
      </c>
      <c r="AN237" s="47" t="n">
        <f aca="false">MAX(0,MIN(AL237-AM237,$C237-(H237+L237+P237+T237+X237+AB237+AF237+AJ237)))</f>
        <v>0</v>
      </c>
      <c r="AO237" s="47" t="n">
        <f aca="false">ROUND(AL237-AM237-AN237,2)</f>
        <v>0</v>
      </c>
      <c r="AP237" s="47" t="n">
        <f aca="false">ROUND(AS236*(1+Sorted!$H$11),2)</f>
        <v>0</v>
      </c>
      <c r="AQ237" s="47" t="n">
        <f aca="false">MIN(AP237,Sorted!$G$11)</f>
        <v>0</v>
      </c>
      <c r="AR237" s="47" t="n">
        <f aca="false">MAX(0,MIN(AP237-AQ237,$C237-(H237+L237+P237+T237+X237+AB237+AF237+AJ237+AN237)))</f>
        <v>0</v>
      </c>
      <c r="AS237" s="47" t="n">
        <f aca="false">ROUND(AP237-AQ237-AR237,2)</f>
        <v>0</v>
      </c>
    </row>
    <row r="238" customFormat="false" ht="15" hidden="false" customHeight="false" outlineLevel="0" collapsed="false">
      <c r="A238" s="45" t="n">
        <v>235</v>
      </c>
      <c r="B238" s="46" t="n">
        <f aca="false">EDATE('My Debts'!$C$7,A238-1)</f>
        <v>53448</v>
      </c>
      <c r="C238" s="47" t="n">
        <f aca="false">MAX(0,'My Debts'!$E$6-(G238+K238+O238+S238+W238+AA238+AE238+AI238+AM238+AQ238))</f>
        <v>730</v>
      </c>
      <c r="D238" s="47" t="n">
        <f aca="false">(F238+J238+N238+R238+V238+Z238+AD238+AH238+AL238+AP238)-(I238+M238+Q238+U238+Y238+AC238+AG238+AK238+AO238+AS238)</f>
        <v>0</v>
      </c>
      <c r="E238" s="48" t="n">
        <f aca="false">I238+M238+Q238+U238+Y238+AC238+AG238+AK238+AO238+AS238</f>
        <v>0</v>
      </c>
      <c r="F238" s="47" t="n">
        <f aca="false">ROUND(I237*(1+Sorted!$H$2),2)</f>
        <v>0</v>
      </c>
      <c r="G238" s="47" t="n">
        <f aca="false">MIN(F238,Sorted!$G$2)</f>
        <v>0</v>
      </c>
      <c r="H238" s="47" t="n">
        <f aca="false">MAX(0,MIN(F238-G238,$C238-(0)))</f>
        <v>0</v>
      </c>
      <c r="I238" s="47" t="n">
        <f aca="false">ROUND(F238-G238-H238,2)</f>
        <v>0</v>
      </c>
      <c r="J238" s="47" t="n">
        <f aca="false">ROUND(M237*(1+Sorted!$H$3),2)</f>
        <v>0</v>
      </c>
      <c r="K238" s="47" t="n">
        <f aca="false">MIN(J238,Sorted!$G$3)</f>
        <v>0</v>
      </c>
      <c r="L238" s="47" t="n">
        <f aca="false">MAX(0,MIN(J238-K238,$C238-(H238)))</f>
        <v>0</v>
      </c>
      <c r="M238" s="47" t="n">
        <f aca="false">ROUND(J238-K238-L238,2)</f>
        <v>0</v>
      </c>
      <c r="N238" s="47" t="n">
        <f aca="false">ROUND(Q237*(1+Sorted!$H$4),2)</f>
        <v>0</v>
      </c>
      <c r="O238" s="47" t="n">
        <f aca="false">MIN(N238,Sorted!$G$4)</f>
        <v>0</v>
      </c>
      <c r="P238" s="47" t="n">
        <f aca="false">MAX(0,MIN(N238-O238,$C238-(H238+L238)))</f>
        <v>0</v>
      </c>
      <c r="Q238" s="47" t="n">
        <f aca="false">ROUND(N238-O238-P238,2)</f>
        <v>0</v>
      </c>
      <c r="R238" s="47" t="n">
        <f aca="false">ROUND(U237*(1+Sorted!$H$5),2)</f>
        <v>0</v>
      </c>
      <c r="S238" s="47" t="n">
        <f aca="false">MIN(R238,Sorted!$G$5)</f>
        <v>0</v>
      </c>
      <c r="T238" s="47" t="n">
        <f aca="false">MAX(0,MIN(R238-S238,$C238-(H238+L238+P238)))</f>
        <v>0</v>
      </c>
      <c r="U238" s="47" t="n">
        <f aca="false">ROUND(R238-S238-T238,2)</f>
        <v>0</v>
      </c>
      <c r="V238" s="47" t="n">
        <f aca="false">ROUND(Y237*(1+Sorted!$H$6),2)</f>
        <v>0</v>
      </c>
      <c r="W238" s="47" t="n">
        <f aca="false">MIN(V238,Sorted!$G$6)</f>
        <v>0</v>
      </c>
      <c r="X238" s="47" t="n">
        <f aca="false">MAX(0,MIN(V238-W238,$C238-(H238+L238+P238+T238)))</f>
        <v>0</v>
      </c>
      <c r="Y238" s="47" t="n">
        <f aca="false">ROUND(V238-W238-X238,2)</f>
        <v>0</v>
      </c>
      <c r="Z238" s="47" t="n">
        <f aca="false">ROUND(AC237*(1+Sorted!$H$7),2)</f>
        <v>0</v>
      </c>
      <c r="AA238" s="47" t="n">
        <f aca="false">MIN(Z238,Sorted!$G$7)</f>
        <v>0</v>
      </c>
      <c r="AB238" s="47" t="n">
        <f aca="false">MAX(0,MIN(Z238-AA238,$C238-(H238+L238+P238+T238+X238)))</f>
        <v>0</v>
      </c>
      <c r="AC238" s="47" t="n">
        <f aca="false">ROUND(Z238-AA238-AB238,2)</f>
        <v>0</v>
      </c>
      <c r="AD238" s="47" t="n">
        <f aca="false">ROUND(AG237*(1+Sorted!$H$8),2)</f>
        <v>0</v>
      </c>
      <c r="AE238" s="47" t="n">
        <f aca="false">MIN(AD238,Sorted!$G$8)</f>
        <v>0</v>
      </c>
      <c r="AF238" s="47" t="n">
        <f aca="false">MAX(0,MIN(AD238-AE238,$C238-(H238+L238+P238+T238+X238+AB238)))</f>
        <v>0</v>
      </c>
      <c r="AG238" s="47" t="n">
        <f aca="false">ROUND(AD238-AE238-AF238,2)</f>
        <v>0</v>
      </c>
      <c r="AH238" s="47" t="n">
        <f aca="false">ROUND(AK237*(1+Sorted!$H$9),2)</f>
        <v>0</v>
      </c>
      <c r="AI238" s="47" t="n">
        <f aca="false">MIN(AH238,Sorted!$G$9)</f>
        <v>0</v>
      </c>
      <c r="AJ238" s="47" t="n">
        <f aca="false">MAX(0,MIN(AH238-AI238,$C238-(H238+L238+P238+T238+X238+AB238+AF238)))</f>
        <v>0</v>
      </c>
      <c r="AK238" s="47" t="n">
        <f aca="false">ROUND(AH238-AI238-AJ238,2)</f>
        <v>0</v>
      </c>
      <c r="AL238" s="47" t="n">
        <f aca="false">ROUND(AO237*(1+Sorted!$H$10),2)</f>
        <v>0</v>
      </c>
      <c r="AM238" s="47" t="n">
        <f aca="false">MIN(AL238,Sorted!$G$10)</f>
        <v>0</v>
      </c>
      <c r="AN238" s="47" t="n">
        <f aca="false">MAX(0,MIN(AL238-AM238,$C238-(H238+L238+P238+T238+X238+AB238+AF238+AJ238)))</f>
        <v>0</v>
      </c>
      <c r="AO238" s="47" t="n">
        <f aca="false">ROUND(AL238-AM238-AN238,2)</f>
        <v>0</v>
      </c>
      <c r="AP238" s="47" t="n">
        <f aca="false">ROUND(AS237*(1+Sorted!$H$11),2)</f>
        <v>0</v>
      </c>
      <c r="AQ238" s="47" t="n">
        <f aca="false">MIN(AP238,Sorted!$G$11)</f>
        <v>0</v>
      </c>
      <c r="AR238" s="47" t="n">
        <f aca="false">MAX(0,MIN(AP238-AQ238,$C238-(H238+L238+P238+T238+X238+AB238+AF238+AJ238+AN238)))</f>
        <v>0</v>
      </c>
      <c r="AS238" s="47" t="n">
        <f aca="false">ROUND(AP238-AQ238-AR238,2)</f>
        <v>0</v>
      </c>
    </row>
    <row r="239" customFormat="false" ht="15" hidden="false" customHeight="false" outlineLevel="0" collapsed="false">
      <c r="A239" s="45" t="n">
        <v>236</v>
      </c>
      <c r="B239" s="46" t="n">
        <f aca="false">EDATE('My Debts'!$C$7,A239-1)</f>
        <v>53479</v>
      </c>
      <c r="C239" s="47" t="n">
        <f aca="false">MAX(0,'My Debts'!$E$6-(G239+K239+O239+S239+W239+AA239+AE239+AI239+AM239+AQ239))</f>
        <v>730</v>
      </c>
      <c r="D239" s="47" t="n">
        <f aca="false">(F239+J239+N239+R239+V239+Z239+AD239+AH239+AL239+AP239)-(I239+M239+Q239+U239+Y239+AC239+AG239+AK239+AO239+AS239)</f>
        <v>0</v>
      </c>
      <c r="E239" s="48" t="n">
        <f aca="false">I239+M239+Q239+U239+Y239+AC239+AG239+AK239+AO239+AS239</f>
        <v>0</v>
      </c>
      <c r="F239" s="47" t="n">
        <f aca="false">ROUND(I238*(1+Sorted!$H$2),2)</f>
        <v>0</v>
      </c>
      <c r="G239" s="47" t="n">
        <f aca="false">MIN(F239,Sorted!$G$2)</f>
        <v>0</v>
      </c>
      <c r="H239" s="47" t="n">
        <f aca="false">MAX(0,MIN(F239-G239,$C239-(0)))</f>
        <v>0</v>
      </c>
      <c r="I239" s="47" t="n">
        <f aca="false">ROUND(F239-G239-H239,2)</f>
        <v>0</v>
      </c>
      <c r="J239" s="47" t="n">
        <f aca="false">ROUND(M238*(1+Sorted!$H$3),2)</f>
        <v>0</v>
      </c>
      <c r="K239" s="47" t="n">
        <f aca="false">MIN(J239,Sorted!$G$3)</f>
        <v>0</v>
      </c>
      <c r="L239" s="47" t="n">
        <f aca="false">MAX(0,MIN(J239-K239,$C239-(H239)))</f>
        <v>0</v>
      </c>
      <c r="M239" s="47" t="n">
        <f aca="false">ROUND(J239-K239-L239,2)</f>
        <v>0</v>
      </c>
      <c r="N239" s="47" t="n">
        <f aca="false">ROUND(Q238*(1+Sorted!$H$4),2)</f>
        <v>0</v>
      </c>
      <c r="O239" s="47" t="n">
        <f aca="false">MIN(N239,Sorted!$G$4)</f>
        <v>0</v>
      </c>
      <c r="P239" s="47" t="n">
        <f aca="false">MAX(0,MIN(N239-O239,$C239-(H239+L239)))</f>
        <v>0</v>
      </c>
      <c r="Q239" s="47" t="n">
        <f aca="false">ROUND(N239-O239-P239,2)</f>
        <v>0</v>
      </c>
      <c r="R239" s="47" t="n">
        <f aca="false">ROUND(U238*(1+Sorted!$H$5),2)</f>
        <v>0</v>
      </c>
      <c r="S239" s="47" t="n">
        <f aca="false">MIN(R239,Sorted!$G$5)</f>
        <v>0</v>
      </c>
      <c r="T239" s="47" t="n">
        <f aca="false">MAX(0,MIN(R239-S239,$C239-(H239+L239+P239)))</f>
        <v>0</v>
      </c>
      <c r="U239" s="47" t="n">
        <f aca="false">ROUND(R239-S239-T239,2)</f>
        <v>0</v>
      </c>
      <c r="V239" s="47" t="n">
        <f aca="false">ROUND(Y238*(1+Sorted!$H$6),2)</f>
        <v>0</v>
      </c>
      <c r="W239" s="47" t="n">
        <f aca="false">MIN(V239,Sorted!$G$6)</f>
        <v>0</v>
      </c>
      <c r="X239" s="47" t="n">
        <f aca="false">MAX(0,MIN(V239-W239,$C239-(H239+L239+P239+T239)))</f>
        <v>0</v>
      </c>
      <c r="Y239" s="47" t="n">
        <f aca="false">ROUND(V239-W239-X239,2)</f>
        <v>0</v>
      </c>
      <c r="Z239" s="47" t="n">
        <f aca="false">ROUND(AC238*(1+Sorted!$H$7),2)</f>
        <v>0</v>
      </c>
      <c r="AA239" s="47" t="n">
        <f aca="false">MIN(Z239,Sorted!$G$7)</f>
        <v>0</v>
      </c>
      <c r="AB239" s="47" t="n">
        <f aca="false">MAX(0,MIN(Z239-AA239,$C239-(H239+L239+P239+T239+X239)))</f>
        <v>0</v>
      </c>
      <c r="AC239" s="47" t="n">
        <f aca="false">ROUND(Z239-AA239-AB239,2)</f>
        <v>0</v>
      </c>
      <c r="AD239" s="47" t="n">
        <f aca="false">ROUND(AG238*(1+Sorted!$H$8),2)</f>
        <v>0</v>
      </c>
      <c r="AE239" s="47" t="n">
        <f aca="false">MIN(AD239,Sorted!$G$8)</f>
        <v>0</v>
      </c>
      <c r="AF239" s="47" t="n">
        <f aca="false">MAX(0,MIN(AD239-AE239,$C239-(H239+L239+P239+T239+X239+AB239)))</f>
        <v>0</v>
      </c>
      <c r="AG239" s="47" t="n">
        <f aca="false">ROUND(AD239-AE239-AF239,2)</f>
        <v>0</v>
      </c>
      <c r="AH239" s="47" t="n">
        <f aca="false">ROUND(AK238*(1+Sorted!$H$9),2)</f>
        <v>0</v>
      </c>
      <c r="AI239" s="47" t="n">
        <f aca="false">MIN(AH239,Sorted!$G$9)</f>
        <v>0</v>
      </c>
      <c r="AJ239" s="47" t="n">
        <f aca="false">MAX(0,MIN(AH239-AI239,$C239-(H239+L239+P239+T239+X239+AB239+AF239)))</f>
        <v>0</v>
      </c>
      <c r="AK239" s="47" t="n">
        <f aca="false">ROUND(AH239-AI239-AJ239,2)</f>
        <v>0</v>
      </c>
      <c r="AL239" s="47" t="n">
        <f aca="false">ROUND(AO238*(1+Sorted!$H$10),2)</f>
        <v>0</v>
      </c>
      <c r="AM239" s="47" t="n">
        <f aca="false">MIN(AL239,Sorted!$G$10)</f>
        <v>0</v>
      </c>
      <c r="AN239" s="47" t="n">
        <f aca="false">MAX(0,MIN(AL239-AM239,$C239-(H239+L239+P239+T239+X239+AB239+AF239+AJ239)))</f>
        <v>0</v>
      </c>
      <c r="AO239" s="47" t="n">
        <f aca="false">ROUND(AL239-AM239-AN239,2)</f>
        <v>0</v>
      </c>
      <c r="AP239" s="47" t="n">
        <f aca="false">ROUND(AS238*(1+Sorted!$H$11),2)</f>
        <v>0</v>
      </c>
      <c r="AQ239" s="47" t="n">
        <f aca="false">MIN(AP239,Sorted!$G$11)</f>
        <v>0</v>
      </c>
      <c r="AR239" s="47" t="n">
        <f aca="false">MAX(0,MIN(AP239-AQ239,$C239-(H239+L239+P239+T239+X239+AB239+AF239+AJ239+AN239)))</f>
        <v>0</v>
      </c>
      <c r="AS239" s="47" t="n">
        <f aca="false">ROUND(AP239-AQ239-AR239,2)</f>
        <v>0</v>
      </c>
    </row>
    <row r="240" customFormat="false" ht="15" hidden="false" customHeight="false" outlineLevel="0" collapsed="false">
      <c r="A240" s="45" t="n">
        <v>237</v>
      </c>
      <c r="B240" s="46" t="n">
        <f aca="false">EDATE('My Debts'!$C$7,A240-1)</f>
        <v>53509</v>
      </c>
      <c r="C240" s="47" t="n">
        <f aca="false">MAX(0,'My Debts'!$E$6-(G240+K240+O240+S240+W240+AA240+AE240+AI240+AM240+AQ240))</f>
        <v>730</v>
      </c>
      <c r="D240" s="47" t="n">
        <f aca="false">(F240+J240+N240+R240+V240+Z240+AD240+AH240+AL240+AP240)-(I240+M240+Q240+U240+Y240+AC240+AG240+AK240+AO240+AS240)</f>
        <v>0</v>
      </c>
      <c r="E240" s="48" t="n">
        <f aca="false">I240+M240+Q240+U240+Y240+AC240+AG240+AK240+AO240+AS240</f>
        <v>0</v>
      </c>
      <c r="F240" s="47" t="n">
        <f aca="false">ROUND(I239*(1+Sorted!$H$2),2)</f>
        <v>0</v>
      </c>
      <c r="G240" s="47" t="n">
        <f aca="false">MIN(F240,Sorted!$G$2)</f>
        <v>0</v>
      </c>
      <c r="H240" s="47" t="n">
        <f aca="false">MAX(0,MIN(F240-G240,$C240-(0)))</f>
        <v>0</v>
      </c>
      <c r="I240" s="47" t="n">
        <f aca="false">ROUND(F240-G240-H240,2)</f>
        <v>0</v>
      </c>
      <c r="J240" s="47" t="n">
        <f aca="false">ROUND(M239*(1+Sorted!$H$3),2)</f>
        <v>0</v>
      </c>
      <c r="K240" s="47" t="n">
        <f aca="false">MIN(J240,Sorted!$G$3)</f>
        <v>0</v>
      </c>
      <c r="L240" s="47" t="n">
        <f aca="false">MAX(0,MIN(J240-K240,$C240-(H240)))</f>
        <v>0</v>
      </c>
      <c r="M240" s="47" t="n">
        <f aca="false">ROUND(J240-K240-L240,2)</f>
        <v>0</v>
      </c>
      <c r="N240" s="47" t="n">
        <f aca="false">ROUND(Q239*(1+Sorted!$H$4),2)</f>
        <v>0</v>
      </c>
      <c r="O240" s="47" t="n">
        <f aca="false">MIN(N240,Sorted!$G$4)</f>
        <v>0</v>
      </c>
      <c r="P240" s="47" t="n">
        <f aca="false">MAX(0,MIN(N240-O240,$C240-(H240+L240)))</f>
        <v>0</v>
      </c>
      <c r="Q240" s="47" t="n">
        <f aca="false">ROUND(N240-O240-P240,2)</f>
        <v>0</v>
      </c>
      <c r="R240" s="47" t="n">
        <f aca="false">ROUND(U239*(1+Sorted!$H$5),2)</f>
        <v>0</v>
      </c>
      <c r="S240" s="47" t="n">
        <f aca="false">MIN(R240,Sorted!$G$5)</f>
        <v>0</v>
      </c>
      <c r="T240" s="47" t="n">
        <f aca="false">MAX(0,MIN(R240-S240,$C240-(H240+L240+P240)))</f>
        <v>0</v>
      </c>
      <c r="U240" s="47" t="n">
        <f aca="false">ROUND(R240-S240-T240,2)</f>
        <v>0</v>
      </c>
      <c r="V240" s="47" t="n">
        <f aca="false">ROUND(Y239*(1+Sorted!$H$6),2)</f>
        <v>0</v>
      </c>
      <c r="W240" s="47" t="n">
        <f aca="false">MIN(V240,Sorted!$G$6)</f>
        <v>0</v>
      </c>
      <c r="X240" s="47" t="n">
        <f aca="false">MAX(0,MIN(V240-W240,$C240-(H240+L240+P240+T240)))</f>
        <v>0</v>
      </c>
      <c r="Y240" s="47" t="n">
        <f aca="false">ROUND(V240-W240-X240,2)</f>
        <v>0</v>
      </c>
      <c r="Z240" s="47" t="n">
        <f aca="false">ROUND(AC239*(1+Sorted!$H$7),2)</f>
        <v>0</v>
      </c>
      <c r="AA240" s="47" t="n">
        <f aca="false">MIN(Z240,Sorted!$G$7)</f>
        <v>0</v>
      </c>
      <c r="AB240" s="47" t="n">
        <f aca="false">MAX(0,MIN(Z240-AA240,$C240-(H240+L240+P240+T240+X240)))</f>
        <v>0</v>
      </c>
      <c r="AC240" s="47" t="n">
        <f aca="false">ROUND(Z240-AA240-AB240,2)</f>
        <v>0</v>
      </c>
      <c r="AD240" s="47" t="n">
        <f aca="false">ROUND(AG239*(1+Sorted!$H$8),2)</f>
        <v>0</v>
      </c>
      <c r="AE240" s="47" t="n">
        <f aca="false">MIN(AD240,Sorted!$G$8)</f>
        <v>0</v>
      </c>
      <c r="AF240" s="47" t="n">
        <f aca="false">MAX(0,MIN(AD240-AE240,$C240-(H240+L240+P240+T240+X240+AB240)))</f>
        <v>0</v>
      </c>
      <c r="AG240" s="47" t="n">
        <f aca="false">ROUND(AD240-AE240-AF240,2)</f>
        <v>0</v>
      </c>
      <c r="AH240" s="47" t="n">
        <f aca="false">ROUND(AK239*(1+Sorted!$H$9),2)</f>
        <v>0</v>
      </c>
      <c r="AI240" s="47" t="n">
        <f aca="false">MIN(AH240,Sorted!$G$9)</f>
        <v>0</v>
      </c>
      <c r="AJ240" s="47" t="n">
        <f aca="false">MAX(0,MIN(AH240-AI240,$C240-(H240+L240+P240+T240+X240+AB240+AF240)))</f>
        <v>0</v>
      </c>
      <c r="AK240" s="47" t="n">
        <f aca="false">ROUND(AH240-AI240-AJ240,2)</f>
        <v>0</v>
      </c>
      <c r="AL240" s="47" t="n">
        <f aca="false">ROUND(AO239*(1+Sorted!$H$10),2)</f>
        <v>0</v>
      </c>
      <c r="AM240" s="47" t="n">
        <f aca="false">MIN(AL240,Sorted!$G$10)</f>
        <v>0</v>
      </c>
      <c r="AN240" s="47" t="n">
        <f aca="false">MAX(0,MIN(AL240-AM240,$C240-(H240+L240+P240+T240+X240+AB240+AF240+AJ240)))</f>
        <v>0</v>
      </c>
      <c r="AO240" s="47" t="n">
        <f aca="false">ROUND(AL240-AM240-AN240,2)</f>
        <v>0</v>
      </c>
      <c r="AP240" s="47" t="n">
        <f aca="false">ROUND(AS239*(1+Sorted!$H$11),2)</f>
        <v>0</v>
      </c>
      <c r="AQ240" s="47" t="n">
        <f aca="false">MIN(AP240,Sorted!$G$11)</f>
        <v>0</v>
      </c>
      <c r="AR240" s="47" t="n">
        <f aca="false">MAX(0,MIN(AP240-AQ240,$C240-(H240+L240+P240+T240+X240+AB240+AF240+AJ240+AN240)))</f>
        <v>0</v>
      </c>
      <c r="AS240" s="47" t="n">
        <f aca="false">ROUND(AP240-AQ240-AR240,2)</f>
        <v>0</v>
      </c>
    </row>
    <row r="241" customFormat="false" ht="15" hidden="false" customHeight="false" outlineLevel="0" collapsed="false">
      <c r="A241" s="45" t="n">
        <v>238</v>
      </c>
      <c r="B241" s="46" t="n">
        <f aca="false">EDATE('My Debts'!$C$7,A241-1)</f>
        <v>53540</v>
      </c>
      <c r="C241" s="47" t="n">
        <f aca="false">MAX(0,'My Debts'!$E$6-(G241+K241+O241+S241+W241+AA241+AE241+AI241+AM241+AQ241))</f>
        <v>730</v>
      </c>
      <c r="D241" s="47" t="n">
        <f aca="false">(F241+J241+N241+R241+V241+Z241+AD241+AH241+AL241+AP241)-(I241+M241+Q241+U241+Y241+AC241+AG241+AK241+AO241+AS241)</f>
        <v>0</v>
      </c>
      <c r="E241" s="48" t="n">
        <f aca="false">I241+M241+Q241+U241+Y241+AC241+AG241+AK241+AO241+AS241</f>
        <v>0</v>
      </c>
      <c r="F241" s="47" t="n">
        <f aca="false">ROUND(I240*(1+Sorted!$H$2),2)</f>
        <v>0</v>
      </c>
      <c r="G241" s="47" t="n">
        <f aca="false">MIN(F241,Sorted!$G$2)</f>
        <v>0</v>
      </c>
      <c r="H241" s="47" t="n">
        <f aca="false">MAX(0,MIN(F241-G241,$C241-(0)))</f>
        <v>0</v>
      </c>
      <c r="I241" s="47" t="n">
        <f aca="false">ROUND(F241-G241-H241,2)</f>
        <v>0</v>
      </c>
      <c r="J241" s="47" t="n">
        <f aca="false">ROUND(M240*(1+Sorted!$H$3),2)</f>
        <v>0</v>
      </c>
      <c r="K241" s="47" t="n">
        <f aca="false">MIN(J241,Sorted!$G$3)</f>
        <v>0</v>
      </c>
      <c r="L241" s="47" t="n">
        <f aca="false">MAX(0,MIN(J241-K241,$C241-(H241)))</f>
        <v>0</v>
      </c>
      <c r="M241" s="47" t="n">
        <f aca="false">ROUND(J241-K241-L241,2)</f>
        <v>0</v>
      </c>
      <c r="N241" s="47" t="n">
        <f aca="false">ROUND(Q240*(1+Sorted!$H$4),2)</f>
        <v>0</v>
      </c>
      <c r="O241" s="47" t="n">
        <f aca="false">MIN(N241,Sorted!$G$4)</f>
        <v>0</v>
      </c>
      <c r="P241" s="47" t="n">
        <f aca="false">MAX(0,MIN(N241-O241,$C241-(H241+L241)))</f>
        <v>0</v>
      </c>
      <c r="Q241" s="47" t="n">
        <f aca="false">ROUND(N241-O241-P241,2)</f>
        <v>0</v>
      </c>
      <c r="R241" s="47" t="n">
        <f aca="false">ROUND(U240*(1+Sorted!$H$5),2)</f>
        <v>0</v>
      </c>
      <c r="S241" s="47" t="n">
        <f aca="false">MIN(R241,Sorted!$G$5)</f>
        <v>0</v>
      </c>
      <c r="T241" s="47" t="n">
        <f aca="false">MAX(0,MIN(R241-S241,$C241-(H241+L241+P241)))</f>
        <v>0</v>
      </c>
      <c r="U241" s="47" t="n">
        <f aca="false">ROUND(R241-S241-T241,2)</f>
        <v>0</v>
      </c>
      <c r="V241" s="47" t="n">
        <f aca="false">ROUND(Y240*(1+Sorted!$H$6),2)</f>
        <v>0</v>
      </c>
      <c r="W241" s="47" t="n">
        <f aca="false">MIN(V241,Sorted!$G$6)</f>
        <v>0</v>
      </c>
      <c r="X241" s="47" t="n">
        <f aca="false">MAX(0,MIN(V241-W241,$C241-(H241+L241+P241+T241)))</f>
        <v>0</v>
      </c>
      <c r="Y241" s="47" t="n">
        <f aca="false">ROUND(V241-W241-X241,2)</f>
        <v>0</v>
      </c>
      <c r="Z241" s="47" t="n">
        <f aca="false">ROUND(AC240*(1+Sorted!$H$7),2)</f>
        <v>0</v>
      </c>
      <c r="AA241" s="47" t="n">
        <f aca="false">MIN(Z241,Sorted!$G$7)</f>
        <v>0</v>
      </c>
      <c r="AB241" s="47" t="n">
        <f aca="false">MAX(0,MIN(Z241-AA241,$C241-(H241+L241+P241+T241+X241)))</f>
        <v>0</v>
      </c>
      <c r="AC241" s="47" t="n">
        <f aca="false">ROUND(Z241-AA241-AB241,2)</f>
        <v>0</v>
      </c>
      <c r="AD241" s="47" t="n">
        <f aca="false">ROUND(AG240*(1+Sorted!$H$8),2)</f>
        <v>0</v>
      </c>
      <c r="AE241" s="47" t="n">
        <f aca="false">MIN(AD241,Sorted!$G$8)</f>
        <v>0</v>
      </c>
      <c r="AF241" s="47" t="n">
        <f aca="false">MAX(0,MIN(AD241-AE241,$C241-(H241+L241+P241+T241+X241+AB241)))</f>
        <v>0</v>
      </c>
      <c r="AG241" s="47" t="n">
        <f aca="false">ROUND(AD241-AE241-AF241,2)</f>
        <v>0</v>
      </c>
      <c r="AH241" s="47" t="n">
        <f aca="false">ROUND(AK240*(1+Sorted!$H$9),2)</f>
        <v>0</v>
      </c>
      <c r="AI241" s="47" t="n">
        <f aca="false">MIN(AH241,Sorted!$G$9)</f>
        <v>0</v>
      </c>
      <c r="AJ241" s="47" t="n">
        <f aca="false">MAX(0,MIN(AH241-AI241,$C241-(H241+L241+P241+T241+X241+AB241+AF241)))</f>
        <v>0</v>
      </c>
      <c r="AK241" s="47" t="n">
        <f aca="false">ROUND(AH241-AI241-AJ241,2)</f>
        <v>0</v>
      </c>
      <c r="AL241" s="47" t="n">
        <f aca="false">ROUND(AO240*(1+Sorted!$H$10),2)</f>
        <v>0</v>
      </c>
      <c r="AM241" s="47" t="n">
        <f aca="false">MIN(AL241,Sorted!$G$10)</f>
        <v>0</v>
      </c>
      <c r="AN241" s="47" t="n">
        <f aca="false">MAX(0,MIN(AL241-AM241,$C241-(H241+L241+P241+T241+X241+AB241+AF241+AJ241)))</f>
        <v>0</v>
      </c>
      <c r="AO241" s="47" t="n">
        <f aca="false">ROUND(AL241-AM241-AN241,2)</f>
        <v>0</v>
      </c>
      <c r="AP241" s="47" t="n">
        <f aca="false">ROUND(AS240*(1+Sorted!$H$11),2)</f>
        <v>0</v>
      </c>
      <c r="AQ241" s="47" t="n">
        <f aca="false">MIN(AP241,Sorted!$G$11)</f>
        <v>0</v>
      </c>
      <c r="AR241" s="47" t="n">
        <f aca="false">MAX(0,MIN(AP241-AQ241,$C241-(H241+L241+P241+T241+X241+AB241+AF241+AJ241+AN241)))</f>
        <v>0</v>
      </c>
      <c r="AS241" s="47" t="n">
        <f aca="false">ROUND(AP241-AQ241-AR241,2)</f>
        <v>0</v>
      </c>
    </row>
    <row r="242" customFormat="false" ht="15" hidden="false" customHeight="false" outlineLevel="0" collapsed="false">
      <c r="A242" s="45" t="n">
        <v>239</v>
      </c>
      <c r="B242" s="46" t="n">
        <f aca="false">EDATE('My Debts'!$C$7,A242-1)</f>
        <v>53571</v>
      </c>
      <c r="C242" s="47" t="n">
        <f aca="false">MAX(0,'My Debts'!$E$6-(G242+K242+O242+S242+W242+AA242+AE242+AI242+AM242+AQ242))</f>
        <v>730</v>
      </c>
      <c r="D242" s="47" t="n">
        <f aca="false">(F242+J242+N242+R242+V242+Z242+AD242+AH242+AL242+AP242)-(I242+M242+Q242+U242+Y242+AC242+AG242+AK242+AO242+AS242)</f>
        <v>0</v>
      </c>
      <c r="E242" s="48" t="n">
        <f aca="false">I242+M242+Q242+U242+Y242+AC242+AG242+AK242+AO242+AS242</f>
        <v>0</v>
      </c>
      <c r="F242" s="47" t="n">
        <f aca="false">ROUND(I241*(1+Sorted!$H$2),2)</f>
        <v>0</v>
      </c>
      <c r="G242" s="47" t="n">
        <f aca="false">MIN(F242,Sorted!$G$2)</f>
        <v>0</v>
      </c>
      <c r="H242" s="47" t="n">
        <f aca="false">MAX(0,MIN(F242-G242,$C242-(0)))</f>
        <v>0</v>
      </c>
      <c r="I242" s="47" t="n">
        <f aca="false">ROUND(F242-G242-H242,2)</f>
        <v>0</v>
      </c>
      <c r="J242" s="47" t="n">
        <f aca="false">ROUND(M241*(1+Sorted!$H$3),2)</f>
        <v>0</v>
      </c>
      <c r="K242" s="47" t="n">
        <f aca="false">MIN(J242,Sorted!$G$3)</f>
        <v>0</v>
      </c>
      <c r="L242" s="47" t="n">
        <f aca="false">MAX(0,MIN(J242-K242,$C242-(H242)))</f>
        <v>0</v>
      </c>
      <c r="M242" s="47" t="n">
        <f aca="false">ROUND(J242-K242-L242,2)</f>
        <v>0</v>
      </c>
      <c r="N242" s="47" t="n">
        <f aca="false">ROUND(Q241*(1+Sorted!$H$4),2)</f>
        <v>0</v>
      </c>
      <c r="O242" s="47" t="n">
        <f aca="false">MIN(N242,Sorted!$G$4)</f>
        <v>0</v>
      </c>
      <c r="P242" s="47" t="n">
        <f aca="false">MAX(0,MIN(N242-O242,$C242-(H242+L242)))</f>
        <v>0</v>
      </c>
      <c r="Q242" s="47" t="n">
        <f aca="false">ROUND(N242-O242-P242,2)</f>
        <v>0</v>
      </c>
      <c r="R242" s="47" t="n">
        <f aca="false">ROUND(U241*(1+Sorted!$H$5),2)</f>
        <v>0</v>
      </c>
      <c r="S242" s="47" t="n">
        <f aca="false">MIN(R242,Sorted!$G$5)</f>
        <v>0</v>
      </c>
      <c r="T242" s="47" t="n">
        <f aca="false">MAX(0,MIN(R242-S242,$C242-(H242+L242+P242)))</f>
        <v>0</v>
      </c>
      <c r="U242" s="47" t="n">
        <f aca="false">ROUND(R242-S242-T242,2)</f>
        <v>0</v>
      </c>
      <c r="V242" s="47" t="n">
        <f aca="false">ROUND(Y241*(1+Sorted!$H$6),2)</f>
        <v>0</v>
      </c>
      <c r="W242" s="47" t="n">
        <f aca="false">MIN(V242,Sorted!$G$6)</f>
        <v>0</v>
      </c>
      <c r="X242" s="47" t="n">
        <f aca="false">MAX(0,MIN(V242-W242,$C242-(H242+L242+P242+T242)))</f>
        <v>0</v>
      </c>
      <c r="Y242" s="47" t="n">
        <f aca="false">ROUND(V242-W242-X242,2)</f>
        <v>0</v>
      </c>
      <c r="Z242" s="47" t="n">
        <f aca="false">ROUND(AC241*(1+Sorted!$H$7),2)</f>
        <v>0</v>
      </c>
      <c r="AA242" s="47" t="n">
        <f aca="false">MIN(Z242,Sorted!$G$7)</f>
        <v>0</v>
      </c>
      <c r="AB242" s="47" t="n">
        <f aca="false">MAX(0,MIN(Z242-AA242,$C242-(H242+L242+P242+T242+X242)))</f>
        <v>0</v>
      </c>
      <c r="AC242" s="47" t="n">
        <f aca="false">ROUND(Z242-AA242-AB242,2)</f>
        <v>0</v>
      </c>
      <c r="AD242" s="47" t="n">
        <f aca="false">ROUND(AG241*(1+Sorted!$H$8),2)</f>
        <v>0</v>
      </c>
      <c r="AE242" s="47" t="n">
        <f aca="false">MIN(AD242,Sorted!$G$8)</f>
        <v>0</v>
      </c>
      <c r="AF242" s="47" t="n">
        <f aca="false">MAX(0,MIN(AD242-AE242,$C242-(H242+L242+P242+T242+X242+AB242)))</f>
        <v>0</v>
      </c>
      <c r="AG242" s="47" t="n">
        <f aca="false">ROUND(AD242-AE242-AF242,2)</f>
        <v>0</v>
      </c>
      <c r="AH242" s="47" t="n">
        <f aca="false">ROUND(AK241*(1+Sorted!$H$9),2)</f>
        <v>0</v>
      </c>
      <c r="AI242" s="47" t="n">
        <f aca="false">MIN(AH242,Sorted!$G$9)</f>
        <v>0</v>
      </c>
      <c r="AJ242" s="47" t="n">
        <f aca="false">MAX(0,MIN(AH242-AI242,$C242-(H242+L242+P242+T242+X242+AB242+AF242)))</f>
        <v>0</v>
      </c>
      <c r="AK242" s="47" t="n">
        <f aca="false">ROUND(AH242-AI242-AJ242,2)</f>
        <v>0</v>
      </c>
      <c r="AL242" s="47" t="n">
        <f aca="false">ROUND(AO241*(1+Sorted!$H$10),2)</f>
        <v>0</v>
      </c>
      <c r="AM242" s="47" t="n">
        <f aca="false">MIN(AL242,Sorted!$G$10)</f>
        <v>0</v>
      </c>
      <c r="AN242" s="47" t="n">
        <f aca="false">MAX(0,MIN(AL242-AM242,$C242-(H242+L242+P242+T242+X242+AB242+AF242+AJ242)))</f>
        <v>0</v>
      </c>
      <c r="AO242" s="47" t="n">
        <f aca="false">ROUND(AL242-AM242-AN242,2)</f>
        <v>0</v>
      </c>
      <c r="AP242" s="47" t="n">
        <f aca="false">ROUND(AS241*(1+Sorted!$H$11),2)</f>
        <v>0</v>
      </c>
      <c r="AQ242" s="47" t="n">
        <f aca="false">MIN(AP242,Sorted!$G$11)</f>
        <v>0</v>
      </c>
      <c r="AR242" s="47" t="n">
        <f aca="false">MAX(0,MIN(AP242-AQ242,$C242-(H242+L242+P242+T242+X242+AB242+AF242+AJ242+AN242)))</f>
        <v>0</v>
      </c>
      <c r="AS242" s="47" t="n">
        <f aca="false">ROUND(AP242-AQ242-AR242,2)</f>
        <v>0</v>
      </c>
    </row>
    <row r="243" customFormat="false" ht="15" hidden="false" customHeight="false" outlineLevel="0" collapsed="false">
      <c r="A243" s="45" t="n">
        <v>240</v>
      </c>
      <c r="B243" s="46" t="n">
        <f aca="false">EDATE('My Debts'!$C$7,A243-1)</f>
        <v>53601</v>
      </c>
      <c r="C243" s="47" t="n">
        <f aca="false">MAX(0,'My Debts'!$E$6-(G243+K243+O243+S243+W243+AA243+AE243+AI243+AM243+AQ243))</f>
        <v>730</v>
      </c>
      <c r="D243" s="47" t="n">
        <f aca="false">(F243+J243+N243+R243+V243+Z243+AD243+AH243+AL243+AP243)-(I243+M243+Q243+U243+Y243+AC243+AG243+AK243+AO243+AS243)</f>
        <v>0</v>
      </c>
      <c r="E243" s="48" t="n">
        <f aca="false">I243+M243+Q243+U243+Y243+AC243+AG243+AK243+AO243+AS243</f>
        <v>0</v>
      </c>
      <c r="F243" s="47" t="n">
        <f aca="false">ROUND(I242*(1+Sorted!$H$2),2)</f>
        <v>0</v>
      </c>
      <c r="G243" s="47" t="n">
        <f aca="false">MIN(F243,Sorted!$G$2)</f>
        <v>0</v>
      </c>
      <c r="H243" s="47" t="n">
        <f aca="false">MAX(0,MIN(F243-G243,$C243-(0)))</f>
        <v>0</v>
      </c>
      <c r="I243" s="47" t="n">
        <f aca="false">ROUND(F243-G243-H243,2)</f>
        <v>0</v>
      </c>
      <c r="J243" s="47" t="n">
        <f aca="false">ROUND(M242*(1+Sorted!$H$3),2)</f>
        <v>0</v>
      </c>
      <c r="K243" s="47" t="n">
        <f aca="false">MIN(J243,Sorted!$G$3)</f>
        <v>0</v>
      </c>
      <c r="L243" s="47" t="n">
        <f aca="false">MAX(0,MIN(J243-K243,$C243-(H243)))</f>
        <v>0</v>
      </c>
      <c r="M243" s="47" t="n">
        <f aca="false">ROUND(J243-K243-L243,2)</f>
        <v>0</v>
      </c>
      <c r="N243" s="47" t="n">
        <f aca="false">ROUND(Q242*(1+Sorted!$H$4),2)</f>
        <v>0</v>
      </c>
      <c r="O243" s="47" t="n">
        <f aca="false">MIN(N243,Sorted!$G$4)</f>
        <v>0</v>
      </c>
      <c r="P243" s="47" t="n">
        <f aca="false">MAX(0,MIN(N243-O243,$C243-(H243+L243)))</f>
        <v>0</v>
      </c>
      <c r="Q243" s="47" t="n">
        <f aca="false">ROUND(N243-O243-P243,2)</f>
        <v>0</v>
      </c>
      <c r="R243" s="47" t="n">
        <f aca="false">ROUND(U242*(1+Sorted!$H$5),2)</f>
        <v>0</v>
      </c>
      <c r="S243" s="47" t="n">
        <f aca="false">MIN(R243,Sorted!$G$5)</f>
        <v>0</v>
      </c>
      <c r="T243" s="47" t="n">
        <f aca="false">MAX(0,MIN(R243-S243,$C243-(H243+L243+P243)))</f>
        <v>0</v>
      </c>
      <c r="U243" s="47" t="n">
        <f aca="false">ROUND(R243-S243-T243,2)</f>
        <v>0</v>
      </c>
      <c r="V243" s="47" t="n">
        <f aca="false">ROUND(Y242*(1+Sorted!$H$6),2)</f>
        <v>0</v>
      </c>
      <c r="W243" s="47" t="n">
        <f aca="false">MIN(V243,Sorted!$G$6)</f>
        <v>0</v>
      </c>
      <c r="X243" s="47" t="n">
        <f aca="false">MAX(0,MIN(V243-W243,$C243-(H243+L243+P243+T243)))</f>
        <v>0</v>
      </c>
      <c r="Y243" s="47" t="n">
        <f aca="false">ROUND(V243-W243-X243,2)</f>
        <v>0</v>
      </c>
      <c r="Z243" s="47" t="n">
        <f aca="false">ROUND(AC242*(1+Sorted!$H$7),2)</f>
        <v>0</v>
      </c>
      <c r="AA243" s="47" t="n">
        <f aca="false">MIN(Z243,Sorted!$G$7)</f>
        <v>0</v>
      </c>
      <c r="AB243" s="47" t="n">
        <f aca="false">MAX(0,MIN(Z243-AA243,$C243-(H243+L243+P243+T243+X243)))</f>
        <v>0</v>
      </c>
      <c r="AC243" s="47" t="n">
        <f aca="false">ROUND(Z243-AA243-AB243,2)</f>
        <v>0</v>
      </c>
      <c r="AD243" s="47" t="n">
        <f aca="false">ROUND(AG242*(1+Sorted!$H$8),2)</f>
        <v>0</v>
      </c>
      <c r="AE243" s="47" t="n">
        <f aca="false">MIN(AD243,Sorted!$G$8)</f>
        <v>0</v>
      </c>
      <c r="AF243" s="47" t="n">
        <f aca="false">MAX(0,MIN(AD243-AE243,$C243-(H243+L243+P243+T243+X243+AB243)))</f>
        <v>0</v>
      </c>
      <c r="AG243" s="47" t="n">
        <f aca="false">ROUND(AD243-AE243-AF243,2)</f>
        <v>0</v>
      </c>
      <c r="AH243" s="47" t="n">
        <f aca="false">ROUND(AK242*(1+Sorted!$H$9),2)</f>
        <v>0</v>
      </c>
      <c r="AI243" s="47" t="n">
        <f aca="false">MIN(AH243,Sorted!$G$9)</f>
        <v>0</v>
      </c>
      <c r="AJ243" s="47" t="n">
        <f aca="false">MAX(0,MIN(AH243-AI243,$C243-(H243+L243+P243+T243+X243+AB243+AF243)))</f>
        <v>0</v>
      </c>
      <c r="AK243" s="47" t="n">
        <f aca="false">ROUND(AH243-AI243-AJ243,2)</f>
        <v>0</v>
      </c>
      <c r="AL243" s="47" t="n">
        <f aca="false">ROUND(AO242*(1+Sorted!$H$10),2)</f>
        <v>0</v>
      </c>
      <c r="AM243" s="47" t="n">
        <f aca="false">MIN(AL243,Sorted!$G$10)</f>
        <v>0</v>
      </c>
      <c r="AN243" s="47" t="n">
        <f aca="false">MAX(0,MIN(AL243-AM243,$C243-(H243+L243+P243+T243+X243+AB243+AF243+AJ243)))</f>
        <v>0</v>
      </c>
      <c r="AO243" s="47" t="n">
        <f aca="false">ROUND(AL243-AM243-AN243,2)</f>
        <v>0</v>
      </c>
      <c r="AP243" s="47" t="n">
        <f aca="false">ROUND(AS242*(1+Sorted!$H$11),2)</f>
        <v>0</v>
      </c>
      <c r="AQ243" s="47" t="n">
        <f aca="false">MIN(AP243,Sorted!$G$11)</f>
        <v>0</v>
      </c>
      <c r="AR243" s="47" t="n">
        <f aca="false">MAX(0,MIN(AP243-AQ243,$C243-(H243+L243+P243+T243+X243+AB243+AF243+AJ243+AN243)))</f>
        <v>0</v>
      </c>
      <c r="AS243" s="47" t="n">
        <f aca="false">ROUND(AP243-AQ243-AR243,2)</f>
        <v>0</v>
      </c>
    </row>
  </sheetData>
  <mergeCells count="10">
    <mergeCell ref="F2:I2"/>
    <mergeCell ref="J2:M2"/>
    <mergeCell ref="N2:Q2"/>
    <mergeCell ref="R2:U2"/>
    <mergeCell ref="V2:Y2"/>
    <mergeCell ref="Z2:AC2"/>
    <mergeCell ref="AD2:AG2"/>
    <mergeCell ref="AH2:AK2"/>
    <mergeCell ref="AL2:AO2"/>
    <mergeCell ref="AP2:AS2"/>
  </mergeCells>
  <conditionalFormatting sqref="E4:E243">
    <cfRule type="cellIs" priority="2" operator="lessThanOrEqual" aboveAverage="0" equalAverage="0" bottom="0" percent="0" rank="0" text="" dxfId="1">
      <formula>0.01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2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4" min="3" style="0" width="12"/>
    <col collapsed="false" customWidth="true" hidden="false" outlineLevel="0" max="5" min="5" style="0" width="13"/>
    <col collapsed="false" customWidth="true" hidden="false" outlineLevel="0" max="45" min="6" style="0" width="12"/>
  </cols>
  <sheetData>
    <row r="1" customFormat="false" ht="17.35" hidden="false" customHeight="false" outlineLevel="0" collapsed="false">
      <c r="A1" s="41" t="s">
        <v>68</v>
      </c>
    </row>
    <row r="2" customFormat="false" ht="15" hidden="false" customHeight="false" outlineLevel="0" collapsed="false">
      <c r="F2" s="42" t="str">
        <f aca="false">IF(Sorted!$D$2="","",Sorted!$D$2)</f>
        <v>Personal loan</v>
      </c>
      <c r="G2" s="42"/>
      <c r="H2" s="42"/>
      <c r="I2" s="42"/>
      <c r="J2" s="42" t="str">
        <f aca="false">IF(Sorted!$D$3="","",Sorted!$D$3)</f>
        <v>Store card</v>
      </c>
      <c r="K2" s="42"/>
      <c r="L2" s="42"/>
      <c r="M2" s="42"/>
      <c r="N2" s="42" t="str">
        <f aca="false">IF(Sorted!$D$4="","",Sorted!$D$4)</f>
        <v>Car loan</v>
      </c>
      <c r="O2" s="42"/>
      <c r="P2" s="42"/>
      <c r="Q2" s="42"/>
      <c r="R2" s="42" t="str">
        <f aca="false">IF(Sorted!$D$5="","",Sorted!$D$5)</f>
        <v>Visa credit card</v>
      </c>
      <c r="S2" s="42"/>
      <c r="T2" s="42"/>
      <c r="U2" s="42"/>
      <c r="V2" s="42" t="str">
        <f aca="false">IF(Sorted!$D$6="","",Sorted!$D$6)</f>
        <v/>
      </c>
      <c r="W2" s="42"/>
      <c r="X2" s="42"/>
      <c r="Y2" s="42"/>
      <c r="Z2" s="42" t="str">
        <f aca="false">IF(Sorted!$D$7="","",Sorted!$D$7)</f>
        <v/>
      </c>
      <c r="AA2" s="42"/>
      <c r="AB2" s="42"/>
      <c r="AC2" s="42"/>
      <c r="AD2" s="42" t="str">
        <f aca="false">IF(Sorted!$D$8="","",Sorted!$D$8)</f>
        <v/>
      </c>
      <c r="AE2" s="42"/>
      <c r="AF2" s="42"/>
      <c r="AG2" s="42"/>
      <c r="AH2" s="42" t="str">
        <f aca="false">IF(Sorted!$D$9="","",Sorted!$D$9)</f>
        <v/>
      </c>
      <c r="AI2" s="42"/>
      <c r="AJ2" s="42"/>
      <c r="AK2" s="42"/>
      <c r="AL2" s="42" t="str">
        <f aca="false">IF(Sorted!$D$10="","",Sorted!$D$10)</f>
        <v/>
      </c>
      <c r="AM2" s="42"/>
      <c r="AN2" s="42"/>
      <c r="AO2" s="42"/>
      <c r="AP2" s="42" t="str">
        <f aca="false">IF(Sorted!$D$11="","",Sorted!$D$11)</f>
        <v/>
      </c>
      <c r="AQ2" s="42"/>
      <c r="AR2" s="42"/>
      <c r="AS2" s="42"/>
    </row>
    <row r="3" customFormat="false" ht="27.75" hidden="false" customHeight="true" outlineLevel="0" collapsed="false">
      <c r="A3" s="43" t="s">
        <v>60</v>
      </c>
      <c r="B3" s="43" t="s">
        <v>61</v>
      </c>
      <c r="C3" s="43" t="s">
        <v>62</v>
      </c>
      <c r="D3" s="43" t="s">
        <v>63</v>
      </c>
      <c r="E3" s="43" t="s">
        <v>64</v>
      </c>
      <c r="F3" s="43" t="s">
        <v>65</v>
      </c>
      <c r="G3" s="43" t="s">
        <v>66</v>
      </c>
      <c r="H3" s="43" t="s">
        <v>67</v>
      </c>
      <c r="I3" s="43" t="s">
        <v>30</v>
      </c>
      <c r="J3" s="44" t="s">
        <v>65</v>
      </c>
      <c r="K3" s="44" t="s">
        <v>66</v>
      </c>
      <c r="L3" s="44" t="s">
        <v>67</v>
      </c>
      <c r="M3" s="44" t="s">
        <v>30</v>
      </c>
      <c r="N3" s="43" t="s">
        <v>65</v>
      </c>
      <c r="O3" s="43" t="s">
        <v>66</v>
      </c>
      <c r="P3" s="43" t="s">
        <v>67</v>
      </c>
      <c r="Q3" s="43" t="s">
        <v>30</v>
      </c>
      <c r="R3" s="44" t="s">
        <v>65</v>
      </c>
      <c r="S3" s="44" t="s">
        <v>66</v>
      </c>
      <c r="T3" s="44" t="s">
        <v>67</v>
      </c>
      <c r="U3" s="44" t="s">
        <v>30</v>
      </c>
      <c r="V3" s="43" t="s">
        <v>65</v>
      </c>
      <c r="W3" s="43" t="s">
        <v>66</v>
      </c>
      <c r="X3" s="43" t="s">
        <v>67</v>
      </c>
      <c r="Y3" s="43" t="s">
        <v>30</v>
      </c>
      <c r="Z3" s="44" t="s">
        <v>65</v>
      </c>
      <c r="AA3" s="44" t="s">
        <v>66</v>
      </c>
      <c r="AB3" s="44" t="s">
        <v>67</v>
      </c>
      <c r="AC3" s="44" t="s">
        <v>30</v>
      </c>
      <c r="AD3" s="43" t="s">
        <v>65</v>
      </c>
      <c r="AE3" s="43" t="s">
        <v>66</v>
      </c>
      <c r="AF3" s="43" t="s">
        <v>67</v>
      </c>
      <c r="AG3" s="43" t="s">
        <v>30</v>
      </c>
      <c r="AH3" s="44" t="s">
        <v>65</v>
      </c>
      <c r="AI3" s="44" t="s">
        <v>66</v>
      </c>
      <c r="AJ3" s="44" t="s">
        <v>67</v>
      </c>
      <c r="AK3" s="44" t="s">
        <v>30</v>
      </c>
      <c r="AL3" s="43" t="s">
        <v>65</v>
      </c>
      <c r="AM3" s="43" t="s">
        <v>66</v>
      </c>
      <c r="AN3" s="43" t="s">
        <v>67</v>
      </c>
      <c r="AO3" s="43" t="s">
        <v>30</v>
      </c>
      <c r="AP3" s="44" t="s">
        <v>65</v>
      </c>
      <c r="AQ3" s="44" t="s">
        <v>66</v>
      </c>
      <c r="AR3" s="44" t="s">
        <v>67</v>
      </c>
      <c r="AS3" s="44" t="s">
        <v>30</v>
      </c>
    </row>
    <row r="4" customFormat="false" ht="15" hidden="false" customHeight="false" outlineLevel="0" collapsed="false">
      <c r="A4" s="45" t="n">
        <v>1</v>
      </c>
      <c r="B4" s="46" t="n">
        <f aca="false">EDATE('My Debts'!$C$7,A4-1)</f>
        <v>46327</v>
      </c>
      <c r="C4" s="47" t="n">
        <v>0</v>
      </c>
      <c r="D4" s="47" t="n">
        <f aca="false">(F4+J4+N4+R4+V4+Z4+AD4+AH4+AL4+AP4)-(I4+M4+Q4+U4+Y4+AC4+AG4+AK4+AO4+AS4)</f>
        <v>530.000000000002</v>
      </c>
      <c r="E4" s="48" t="n">
        <f aca="false">I4+M4+Q4+U4+Y4+AC4+AG4+AK4+AO4+AS4</f>
        <v>13184.04</v>
      </c>
      <c r="F4" s="47" t="n">
        <f aca="false">ROUND(Sorted!$E$2*(1+Sorted!$H$2),2)</f>
        <v>908.63</v>
      </c>
      <c r="G4" s="47" t="n">
        <f aca="false">MIN(F4,Sorted!$G$2)</f>
        <v>60</v>
      </c>
      <c r="H4" s="47" t="n">
        <v>0</v>
      </c>
      <c r="I4" s="47" t="n">
        <f aca="false">ROUND(F4-G4-H4,2)</f>
        <v>848.63</v>
      </c>
      <c r="J4" s="47" t="n">
        <f aca="false">ROUND(Sorted!$E$3*(1+Sorted!$H$3),2)</f>
        <v>1486.24</v>
      </c>
      <c r="K4" s="47" t="n">
        <f aca="false">MIN(J4,Sorted!$G$3)</f>
        <v>55</v>
      </c>
      <c r="L4" s="47" t="n">
        <v>0</v>
      </c>
      <c r="M4" s="47" t="n">
        <f aca="false">ROUND(J4-K4-L4,2)</f>
        <v>1431.24</v>
      </c>
      <c r="N4" s="47" t="n">
        <f aca="false">ROUND(Sorted!$E$4*(1+Sorted!$H$4),2)</f>
        <v>4326.52</v>
      </c>
      <c r="O4" s="47" t="n">
        <f aca="false">MIN(N4,Sorted!$G$4)</f>
        <v>240</v>
      </c>
      <c r="P4" s="47" t="n">
        <v>0</v>
      </c>
      <c r="Q4" s="47" t="n">
        <f aca="false">ROUND(N4-O4-P4,2)</f>
        <v>4086.52</v>
      </c>
      <c r="R4" s="47" t="n">
        <f aca="false">ROUND(Sorted!$E$5*(1+Sorted!$H$5),2)</f>
        <v>6992.65</v>
      </c>
      <c r="S4" s="47" t="n">
        <f aca="false">MIN(R4,Sorted!$G$5)</f>
        <v>175</v>
      </c>
      <c r="T4" s="47" t="n">
        <v>0</v>
      </c>
      <c r="U4" s="47" t="n">
        <f aca="false">ROUND(R4-S4-T4,2)</f>
        <v>6817.65</v>
      </c>
      <c r="V4" s="47" t="n">
        <f aca="false">ROUND(Sorted!$E$6*(1+Sorted!$H$6),2)</f>
        <v>0</v>
      </c>
      <c r="W4" s="47" t="n">
        <f aca="false">MIN(V4,Sorted!$G$6)</f>
        <v>0</v>
      </c>
      <c r="X4" s="47" t="n">
        <v>0</v>
      </c>
      <c r="Y4" s="47" t="n">
        <f aca="false">ROUND(V4-W4-X4,2)</f>
        <v>0</v>
      </c>
      <c r="Z4" s="47" t="n">
        <f aca="false">ROUND(Sorted!$E$7*(1+Sorted!$H$7),2)</f>
        <v>0</v>
      </c>
      <c r="AA4" s="47" t="n">
        <f aca="false">MIN(Z4,Sorted!$G$7)</f>
        <v>0</v>
      </c>
      <c r="AB4" s="47" t="n">
        <v>0</v>
      </c>
      <c r="AC4" s="47" t="n">
        <f aca="false">ROUND(Z4-AA4-AB4,2)</f>
        <v>0</v>
      </c>
      <c r="AD4" s="47" t="n">
        <f aca="false">ROUND(Sorted!$E$8*(1+Sorted!$H$8),2)</f>
        <v>0</v>
      </c>
      <c r="AE4" s="47" t="n">
        <f aca="false">MIN(AD4,Sorted!$G$8)</f>
        <v>0</v>
      </c>
      <c r="AF4" s="47" t="n">
        <v>0</v>
      </c>
      <c r="AG4" s="47" t="n">
        <f aca="false">ROUND(AD4-AE4-AF4,2)</f>
        <v>0</v>
      </c>
      <c r="AH4" s="47" t="n">
        <f aca="false">ROUND(Sorted!$E$9*(1+Sorted!$H$9),2)</f>
        <v>0</v>
      </c>
      <c r="AI4" s="47" t="n">
        <f aca="false">MIN(AH4,Sorted!$G$9)</f>
        <v>0</v>
      </c>
      <c r="AJ4" s="47" t="n">
        <v>0</v>
      </c>
      <c r="AK4" s="47" t="n">
        <f aca="false">ROUND(AH4-AI4-AJ4,2)</f>
        <v>0</v>
      </c>
      <c r="AL4" s="47" t="n">
        <f aca="false">ROUND(Sorted!$E$10*(1+Sorted!$H$10),2)</f>
        <v>0</v>
      </c>
      <c r="AM4" s="47" t="n">
        <f aca="false">MIN(AL4,Sorted!$G$10)</f>
        <v>0</v>
      </c>
      <c r="AN4" s="47" t="n">
        <v>0</v>
      </c>
      <c r="AO4" s="47" t="n">
        <f aca="false">ROUND(AL4-AM4-AN4,2)</f>
        <v>0</v>
      </c>
      <c r="AP4" s="47" t="n">
        <f aca="false">ROUND(Sorted!$E$11*(1+Sorted!$H$11),2)</f>
        <v>0</v>
      </c>
      <c r="AQ4" s="47" t="n">
        <f aca="false">MIN(AP4,Sorted!$G$11)</f>
        <v>0</v>
      </c>
      <c r="AR4" s="47" t="n">
        <v>0</v>
      </c>
      <c r="AS4" s="47" t="n">
        <f aca="false">ROUND(AP4-AQ4-AR4,2)</f>
        <v>0</v>
      </c>
    </row>
    <row r="5" customFormat="false" ht="15" hidden="false" customHeight="false" outlineLevel="0" collapsed="false">
      <c r="A5" s="45" t="n">
        <v>2</v>
      </c>
      <c r="B5" s="46" t="n">
        <f aca="false">EDATE('My Debts'!$C$7,A5-1)</f>
        <v>46357</v>
      </c>
      <c r="C5" s="47" t="n">
        <v>0</v>
      </c>
      <c r="D5" s="47" t="n">
        <f aca="false">(F5+J5+N5+R5+V5+Z5+AD5+AH5+AL5+AP5)-(I5+M5+Q5+U5+Y5+AC5+AG5+AK5+AO5+AS5)</f>
        <v>530</v>
      </c>
      <c r="E5" s="48" t="n">
        <f aca="false">I5+M5+Q5+U5+Y5+AC5+AG5+AK5+AO5+AS5</f>
        <v>12865.12</v>
      </c>
      <c r="F5" s="47" t="n">
        <f aca="false">ROUND(I4*(1+Sorted!$H$2),2)</f>
        <v>856.76</v>
      </c>
      <c r="G5" s="47" t="n">
        <f aca="false">MIN(F5,Sorted!$G$2)</f>
        <v>60</v>
      </c>
      <c r="H5" s="47" t="n">
        <v>0</v>
      </c>
      <c r="I5" s="47" t="n">
        <f aca="false">ROUND(F5-G5-H5,2)</f>
        <v>796.76</v>
      </c>
      <c r="J5" s="47" t="n">
        <f aca="false">ROUND(M4*(1+Sorted!$H$3),2)</f>
        <v>1467.01</v>
      </c>
      <c r="K5" s="47" t="n">
        <f aca="false">MIN(J5,Sorted!$G$3)</f>
        <v>55</v>
      </c>
      <c r="L5" s="47" t="n">
        <v>0</v>
      </c>
      <c r="M5" s="47" t="n">
        <f aca="false">ROUND(J5-K5-L5,2)</f>
        <v>1412.01</v>
      </c>
      <c r="N5" s="47" t="n">
        <f aca="false">ROUND(Q4*(1+Sorted!$H$4),2)</f>
        <v>4111.72</v>
      </c>
      <c r="O5" s="47" t="n">
        <f aca="false">MIN(N5,Sorted!$G$4)</f>
        <v>240</v>
      </c>
      <c r="P5" s="47" t="n">
        <v>0</v>
      </c>
      <c r="Q5" s="47" t="n">
        <f aca="false">ROUND(N5-O5-P5,2)</f>
        <v>3871.72</v>
      </c>
      <c r="R5" s="47" t="n">
        <f aca="false">ROUND(U4*(1+Sorted!$H$5),2)</f>
        <v>6959.63</v>
      </c>
      <c r="S5" s="47" t="n">
        <f aca="false">MIN(R5,Sorted!$G$5)</f>
        <v>175</v>
      </c>
      <c r="T5" s="47" t="n">
        <v>0</v>
      </c>
      <c r="U5" s="47" t="n">
        <f aca="false">ROUND(R5-S5-T5,2)</f>
        <v>6784.63</v>
      </c>
      <c r="V5" s="47" t="n">
        <f aca="false">ROUND(Y4*(1+Sorted!$H$6),2)</f>
        <v>0</v>
      </c>
      <c r="W5" s="47" t="n">
        <f aca="false">MIN(V5,Sorted!$G$6)</f>
        <v>0</v>
      </c>
      <c r="X5" s="47" t="n">
        <v>0</v>
      </c>
      <c r="Y5" s="47" t="n">
        <f aca="false">ROUND(V5-W5-X5,2)</f>
        <v>0</v>
      </c>
      <c r="Z5" s="47" t="n">
        <f aca="false">ROUND(AC4*(1+Sorted!$H$7),2)</f>
        <v>0</v>
      </c>
      <c r="AA5" s="47" t="n">
        <f aca="false">MIN(Z5,Sorted!$G$7)</f>
        <v>0</v>
      </c>
      <c r="AB5" s="47" t="n">
        <v>0</v>
      </c>
      <c r="AC5" s="47" t="n">
        <f aca="false">ROUND(Z5-AA5-AB5,2)</f>
        <v>0</v>
      </c>
      <c r="AD5" s="47" t="n">
        <f aca="false">ROUND(AG4*(1+Sorted!$H$8),2)</f>
        <v>0</v>
      </c>
      <c r="AE5" s="47" t="n">
        <f aca="false">MIN(AD5,Sorted!$G$8)</f>
        <v>0</v>
      </c>
      <c r="AF5" s="47" t="n">
        <v>0</v>
      </c>
      <c r="AG5" s="47" t="n">
        <f aca="false">ROUND(AD5-AE5-AF5,2)</f>
        <v>0</v>
      </c>
      <c r="AH5" s="47" t="n">
        <f aca="false">ROUND(AK4*(1+Sorted!$H$9),2)</f>
        <v>0</v>
      </c>
      <c r="AI5" s="47" t="n">
        <f aca="false">MIN(AH5,Sorted!$G$9)</f>
        <v>0</v>
      </c>
      <c r="AJ5" s="47" t="n">
        <v>0</v>
      </c>
      <c r="AK5" s="47" t="n">
        <f aca="false">ROUND(AH5-AI5-AJ5,2)</f>
        <v>0</v>
      </c>
      <c r="AL5" s="47" t="n">
        <f aca="false">ROUND(AO4*(1+Sorted!$H$10),2)</f>
        <v>0</v>
      </c>
      <c r="AM5" s="47" t="n">
        <f aca="false">MIN(AL5,Sorted!$G$10)</f>
        <v>0</v>
      </c>
      <c r="AN5" s="47" t="n">
        <v>0</v>
      </c>
      <c r="AO5" s="47" t="n">
        <f aca="false">ROUND(AL5-AM5-AN5,2)</f>
        <v>0</v>
      </c>
      <c r="AP5" s="47" t="n">
        <f aca="false">ROUND(AS4*(1+Sorted!$H$11),2)</f>
        <v>0</v>
      </c>
      <c r="AQ5" s="47" t="n">
        <f aca="false">MIN(AP5,Sorted!$G$11)</f>
        <v>0</v>
      </c>
      <c r="AR5" s="47" t="n">
        <v>0</v>
      </c>
      <c r="AS5" s="47" t="n">
        <f aca="false">ROUND(AP5-AQ5-AR5,2)</f>
        <v>0</v>
      </c>
    </row>
    <row r="6" customFormat="false" ht="15" hidden="false" customHeight="false" outlineLevel="0" collapsed="false">
      <c r="A6" s="45" t="n">
        <v>3</v>
      </c>
      <c r="B6" s="46" t="n">
        <f aca="false">EDATE('My Debts'!$C$7,A6-1)</f>
        <v>46388</v>
      </c>
      <c r="C6" s="47" t="n">
        <v>0</v>
      </c>
      <c r="D6" s="47" t="n">
        <f aca="false">(F6+J6+N6+R6+V6+Z6+AD6+AH6+AL6+AP6)-(I6+M6+Q6+U6+Y6+AC6+AG6+AK6+AO6+AS6)</f>
        <v>530</v>
      </c>
      <c r="E6" s="48" t="n">
        <f aca="false">I6+M6+Q6+U6+Y6+AC6+AG6+AK6+AO6+AS6</f>
        <v>12543.22</v>
      </c>
      <c r="F6" s="47" t="n">
        <f aca="false">ROUND(I5*(1+Sorted!$H$2),2)</f>
        <v>804.4</v>
      </c>
      <c r="G6" s="47" t="n">
        <f aca="false">MIN(F6,Sorted!$G$2)</f>
        <v>60</v>
      </c>
      <c r="H6" s="47" t="n">
        <v>0</v>
      </c>
      <c r="I6" s="47" t="n">
        <f aca="false">ROUND(F6-G6-H6,2)</f>
        <v>744.4</v>
      </c>
      <c r="J6" s="47" t="n">
        <f aca="false">ROUND(M5*(1+Sorted!$H$3),2)</f>
        <v>1447.3</v>
      </c>
      <c r="K6" s="47" t="n">
        <f aca="false">MIN(J6,Sorted!$G$3)</f>
        <v>55</v>
      </c>
      <c r="L6" s="47" t="n">
        <v>0</v>
      </c>
      <c r="M6" s="47" t="n">
        <f aca="false">ROUND(J6-K6-L6,2)</f>
        <v>1392.3</v>
      </c>
      <c r="N6" s="47" t="n">
        <f aca="false">ROUND(Q5*(1+Sorted!$H$4),2)</f>
        <v>3895.6</v>
      </c>
      <c r="O6" s="47" t="n">
        <f aca="false">MIN(N6,Sorted!$G$4)</f>
        <v>240</v>
      </c>
      <c r="P6" s="47" t="n">
        <v>0</v>
      </c>
      <c r="Q6" s="47" t="n">
        <f aca="false">ROUND(N6-O6-P6,2)</f>
        <v>3655.6</v>
      </c>
      <c r="R6" s="47" t="n">
        <f aca="false">ROUND(U5*(1+Sorted!$H$5),2)</f>
        <v>6925.92</v>
      </c>
      <c r="S6" s="47" t="n">
        <f aca="false">MIN(R6,Sorted!$G$5)</f>
        <v>175</v>
      </c>
      <c r="T6" s="47" t="n">
        <v>0</v>
      </c>
      <c r="U6" s="47" t="n">
        <f aca="false">ROUND(R6-S6-T6,2)</f>
        <v>6750.92</v>
      </c>
      <c r="V6" s="47" t="n">
        <f aca="false">ROUND(Y5*(1+Sorted!$H$6),2)</f>
        <v>0</v>
      </c>
      <c r="W6" s="47" t="n">
        <f aca="false">MIN(V6,Sorted!$G$6)</f>
        <v>0</v>
      </c>
      <c r="X6" s="47" t="n">
        <v>0</v>
      </c>
      <c r="Y6" s="47" t="n">
        <f aca="false">ROUND(V6-W6-X6,2)</f>
        <v>0</v>
      </c>
      <c r="Z6" s="47" t="n">
        <f aca="false">ROUND(AC5*(1+Sorted!$H$7),2)</f>
        <v>0</v>
      </c>
      <c r="AA6" s="47" t="n">
        <f aca="false">MIN(Z6,Sorted!$G$7)</f>
        <v>0</v>
      </c>
      <c r="AB6" s="47" t="n">
        <v>0</v>
      </c>
      <c r="AC6" s="47" t="n">
        <f aca="false">ROUND(Z6-AA6-AB6,2)</f>
        <v>0</v>
      </c>
      <c r="AD6" s="47" t="n">
        <f aca="false">ROUND(AG5*(1+Sorted!$H$8),2)</f>
        <v>0</v>
      </c>
      <c r="AE6" s="47" t="n">
        <f aca="false">MIN(AD6,Sorted!$G$8)</f>
        <v>0</v>
      </c>
      <c r="AF6" s="47" t="n">
        <v>0</v>
      </c>
      <c r="AG6" s="47" t="n">
        <f aca="false">ROUND(AD6-AE6-AF6,2)</f>
        <v>0</v>
      </c>
      <c r="AH6" s="47" t="n">
        <f aca="false">ROUND(AK5*(1+Sorted!$H$9),2)</f>
        <v>0</v>
      </c>
      <c r="AI6" s="47" t="n">
        <f aca="false">MIN(AH6,Sorted!$G$9)</f>
        <v>0</v>
      </c>
      <c r="AJ6" s="47" t="n">
        <v>0</v>
      </c>
      <c r="AK6" s="47" t="n">
        <f aca="false">ROUND(AH6-AI6-AJ6,2)</f>
        <v>0</v>
      </c>
      <c r="AL6" s="47" t="n">
        <f aca="false">ROUND(AO5*(1+Sorted!$H$10),2)</f>
        <v>0</v>
      </c>
      <c r="AM6" s="47" t="n">
        <f aca="false">MIN(AL6,Sorted!$G$10)</f>
        <v>0</v>
      </c>
      <c r="AN6" s="47" t="n">
        <v>0</v>
      </c>
      <c r="AO6" s="47" t="n">
        <f aca="false">ROUND(AL6-AM6-AN6,2)</f>
        <v>0</v>
      </c>
      <c r="AP6" s="47" t="n">
        <f aca="false">ROUND(AS5*(1+Sorted!$H$11),2)</f>
        <v>0</v>
      </c>
      <c r="AQ6" s="47" t="n">
        <f aca="false">MIN(AP6,Sorted!$G$11)</f>
        <v>0</v>
      </c>
      <c r="AR6" s="47" t="n">
        <v>0</v>
      </c>
      <c r="AS6" s="47" t="n">
        <f aca="false">ROUND(AP6-AQ6-AR6,2)</f>
        <v>0</v>
      </c>
    </row>
    <row r="7" customFormat="false" ht="15" hidden="false" customHeight="false" outlineLevel="0" collapsed="false">
      <c r="A7" s="45" t="n">
        <v>4</v>
      </c>
      <c r="B7" s="46" t="n">
        <f aca="false">EDATE('My Debts'!$C$7,A7-1)</f>
        <v>46419</v>
      </c>
      <c r="C7" s="47" t="n">
        <v>0</v>
      </c>
      <c r="D7" s="47" t="n">
        <f aca="false">(F7+J7+N7+R7+V7+Z7+AD7+AH7+AL7+AP7)-(I7+M7+Q7+U7+Y7+AC7+AG7+AK7+AO7+AS7)</f>
        <v>530</v>
      </c>
      <c r="E7" s="48" t="n">
        <f aca="false">I7+M7+Q7+U7+Y7+AC7+AG7+AK7+AO7+AS7</f>
        <v>12218.28</v>
      </c>
      <c r="F7" s="47" t="n">
        <f aca="false">ROUND(I6*(1+Sorted!$H$2),2)</f>
        <v>751.53</v>
      </c>
      <c r="G7" s="47" t="n">
        <f aca="false">MIN(F7,Sorted!$G$2)</f>
        <v>60</v>
      </c>
      <c r="H7" s="47" t="n">
        <v>0</v>
      </c>
      <c r="I7" s="47" t="n">
        <f aca="false">ROUND(F7-G7-H7,2)</f>
        <v>691.53</v>
      </c>
      <c r="J7" s="47" t="n">
        <f aca="false">ROUND(M6*(1+Sorted!$H$3),2)</f>
        <v>1427.1</v>
      </c>
      <c r="K7" s="47" t="n">
        <f aca="false">MIN(J7,Sorted!$G$3)</f>
        <v>55</v>
      </c>
      <c r="L7" s="47" t="n">
        <v>0</v>
      </c>
      <c r="M7" s="47" t="n">
        <f aca="false">ROUND(J7-K7-L7,2)</f>
        <v>1372.1</v>
      </c>
      <c r="N7" s="47" t="n">
        <f aca="false">ROUND(Q6*(1+Sorted!$H$4),2)</f>
        <v>3678.14</v>
      </c>
      <c r="O7" s="47" t="n">
        <f aca="false">MIN(N7,Sorted!$G$4)</f>
        <v>240</v>
      </c>
      <c r="P7" s="47" t="n">
        <v>0</v>
      </c>
      <c r="Q7" s="47" t="n">
        <f aca="false">ROUND(N7-O7-P7,2)</f>
        <v>3438.14</v>
      </c>
      <c r="R7" s="47" t="n">
        <f aca="false">ROUND(U6*(1+Sorted!$H$5),2)</f>
        <v>6891.51</v>
      </c>
      <c r="S7" s="47" t="n">
        <f aca="false">MIN(R7,Sorted!$G$5)</f>
        <v>175</v>
      </c>
      <c r="T7" s="47" t="n">
        <v>0</v>
      </c>
      <c r="U7" s="47" t="n">
        <f aca="false">ROUND(R7-S7-T7,2)</f>
        <v>6716.51</v>
      </c>
      <c r="V7" s="47" t="n">
        <f aca="false">ROUND(Y6*(1+Sorted!$H$6),2)</f>
        <v>0</v>
      </c>
      <c r="W7" s="47" t="n">
        <f aca="false">MIN(V7,Sorted!$G$6)</f>
        <v>0</v>
      </c>
      <c r="X7" s="47" t="n">
        <v>0</v>
      </c>
      <c r="Y7" s="47" t="n">
        <f aca="false">ROUND(V7-W7-X7,2)</f>
        <v>0</v>
      </c>
      <c r="Z7" s="47" t="n">
        <f aca="false">ROUND(AC6*(1+Sorted!$H$7),2)</f>
        <v>0</v>
      </c>
      <c r="AA7" s="47" t="n">
        <f aca="false">MIN(Z7,Sorted!$G$7)</f>
        <v>0</v>
      </c>
      <c r="AB7" s="47" t="n">
        <v>0</v>
      </c>
      <c r="AC7" s="47" t="n">
        <f aca="false">ROUND(Z7-AA7-AB7,2)</f>
        <v>0</v>
      </c>
      <c r="AD7" s="47" t="n">
        <f aca="false">ROUND(AG6*(1+Sorted!$H$8),2)</f>
        <v>0</v>
      </c>
      <c r="AE7" s="47" t="n">
        <f aca="false">MIN(AD7,Sorted!$G$8)</f>
        <v>0</v>
      </c>
      <c r="AF7" s="47" t="n">
        <v>0</v>
      </c>
      <c r="AG7" s="47" t="n">
        <f aca="false">ROUND(AD7-AE7-AF7,2)</f>
        <v>0</v>
      </c>
      <c r="AH7" s="47" t="n">
        <f aca="false">ROUND(AK6*(1+Sorted!$H$9),2)</f>
        <v>0</v>
      </c>
      <c r="AI7" s="47" t="n">
        <f aca="false">MIN(AH7,Sorted!$G$9)</f>
        <v>0</v>
      </c>
      <c r="AJ7" s="47" t="n">
        <v>0</v>
      </c>
      <c r="AK7" s="47" t="n">
        <f aca="false">ROUND(AH7-AI7-AJ7,2)</f>
        <v>0</v>
      </c>
      <c r="AL7" s="47" t="n">
        <f aca="false">ROUND(AO6*(1+Sorted!$H$10),2)</f>
        <v>0</v>
      </c>
      <c r="AM7" s="47" t="n">
        <f aca="false">MIN(AL7,Sorted!$G$10)</f>
        <v>0</v>
      </c>
      <c r="AN7" s="47" t="n">
        <v>0</v>
      </c>
      <c r="AO7" s="47" t="n">
        <f aca="false">ROUND(AL7-AM7-AN7,2)</f>
        <v>0</v>
      </c>
      <c r="AP7" s="47" t="n">
        <f aca="false">ROUND(AS6*(1+Sorted!$H$11),2)</f>
        <v>0</v>
      </c>
      <c r="AQ7" s="47" t="n">
        <f aca="false">MIN(AP7,Sorted!$G$11)</f>
        <v>0</v>
      </c>
      <c r="AR7" s="47" t="n">
        <v>0</v>
      </c>
      <c r="AS7" s="47" t="n">
        <f aca="false">ROUND(AP7-AQ7-AR7,2)</f>
        <v>0</v>
      </c>
    </row>
    <row r="8" customFormat="false" ht="15" hidden="false" customHeight="false" outlineLevel="0" collapsed="false">
      <c r="A8" s="45" t="n">
        <v>5</v>
      </c>
      <c r="B8" s="46" t="n">
        <f aca="false">EDATE('My Debts'!$C$7,A8-1)</f>
        <v>46447</v>
      </c>
      <c r="C8" s="47" t="n">
        <v>0</v>
      </c>
      <c r="D8" s="47" t="n">
        <f aca="false">(F8+J8+N8+R8+V8+Z8+AD8+AH8+AL8+AP8)-(I8+M8+Q8+U8+Y8+AC8+AG8+AK8+AO8+AS8)</f>
        <v>530</v>
      </c>
      <c r="E8" s="48" t="n">
        <f aca="false">I8+M8+Q8+U8+Y8+AC8+AG8+AK8+AO8+AS8</f>
        <v>11890.27</v>
      </c>
      <c r="F8" s="47" t="n">
        <f aca="false">ROUND(I7*(1+Sorted!$H$2),2)</f>
        <v>698.16</v>
      </c>
      <c r="G8" s="47" t="n">
        <f aca="false">MIN(F8,Sorted!$G$2)</f>
        <v>60</v>
      </c>
      <c r="H8" s="47" t="n">
        <v>0</v>
      </c>
      <c r="I8" s="47" t="n">
        <f aca="false">ROUND(F8-G8-H8,2)</f>
        <v>638.16</v>
      </c>
      <c r="J8" s="47" t="n">
        <f aca="false">ROUND(M7*(1+Sorted!$H$3),2)</f>
        <v>1406.39</v>
      </c>
      <c r="K8" s="47" t="n">
        <f aca="false">MIN(J8,Sorted!$G$3)</f>
        <v>55</v>
      </c>
      <c r="L8" s="47" t="n">
        <v>0</v>
      </c>
      <c r="M8" s="47" t="n">
        <f aca="false">ROUND(J8-K8-L8,2)</f>
        <v>1351.39</v>
      </c>
      <c r="N8" s="47" t="n">
        <f aca="false">ROUND(Q7*(1+Sorted!$H$4),2)</f>
        <v>3459.34</v>
      </c>
      <c r="O8" s="47" t="n">
        <f aca="false">MIN(N8,Sorted!$G$4)</f>
        <v>240</v>
      </c>
      <c r="P8" s="47" t="n">
        <v>0</v>
      </c>
      <c r="Q8" s="47" t="n">
        <f aca="false">ROUND(N8-O8-P8,2)</f>
        <v>3219.34</v>
      </c>
      <c r="R8" s="47" t="n">
        <f aca="false">ROUND(U7*(1+Sorted!$H$5),2)</f>
        <v>6856.38</v>
      </c>
      <c r="S8" s="47" t="n">
        <f aca="false">MIN(R8,Sorted!$G$5)</f>
        <v>175</v>
      </c>
      <c r="T8" s="47" t="n">
        <v>0</v>
      </c>
      <c r="U8" s="47" t="n">
        <f aca="false">ROUND(R8-S8-T8,2)</f>
        <v>6681.38</v>
      </c>
      <c r="V8" s="47" t="n">
        <f aca="false">ROUND(Y7*(1+Sorted!$H$6),2)</f>
        <v>0</v>
      </c>
      <c r="W8" s="47" t="n">
        <f aca="false">MIN(V8,Sorted!$G$6)</f>
        <v>0</v>
      </c>
      <c r="X8" s="47" t="n">
        <v>0</v>
      </c>
      <c r="Y8" s="47" t="n">
        <f aca="false">ROUND(V8-W8-X8,2)</f>
        <v>0</v>
      </c>
      <c r="Z8" s="47" t="n">
        <f aca="false">ROUND(AC7*(1+Sorted!$H$7),2)</f>
        <v>0</v>
      </c>
      <c r="AA8" s="47" t="n">
        <f aca="false">MIN(Z8,Sorted!$G$7)</f>
        <v>0</v>
      </c>
      <c r="AB8" s="47" t="n">
        <v>0</v>
      </c>
      <c r="AC8" s="47" t="n">
        <f aca="false">ROUND(Z8-AA8-AB8,2)</f>
        <v>0</v>
      </c>
      <c r="AD8" s="47" t="n">
        <f aca="false">ROUND(AG7*(1+Sorted!$H$8),2)</f>
        <v>0</v>
      </c>
      <c r="AE8" s="47" t="n">
        <f aca="false">MIN(AD8,Sorted!$G$8)</f>
        <v>0</v>
      </c>
      <c r="AF8" s="47" t="n">
        <v>0</v>
      </c>
      <c r="AG8" s="47" t="n">
        <f aca="false">ROUND(AD8-AE8-AF8,2)</f>
        <v>0</v>
      </c>
      <c r="AH8" s="47" t="n">
        <f aca="false">ROUND(AK7*(1+Sorted!$H$9),2)</f>
        <v>0</v>
      </c>
      <c r="AI8" s="47" t="n">
        <f aca="false">MIN(AH8,Sorted!$G$9)</f>
        <v>0</v>
      </c>
      <c r="AJ8" s="47" t="n">
        <v>0</v>
      </c>
      <c r="AK8" s="47" t="n">
        <f aca="false">ROUND(AH8-AI8-AJ8,2)</f>
        <v>0</v>
      </c>
      <c r="AL8" s="47" t="n">
        <f aca="false">ROUND(AO7*(1+Sorted!$H$10),2)</f>
        <v>0</v>
      </c>
      <c r="AM8" s="47" t="n">
        <f aca="false">MIN(AL8,Sorted!$G$10)</f>
        <v>0</v>
      </c>
      <c r="AN8" s="47" t="n">
        <v>0</v>
      </c>
      <c r="AO8" s="47" t="n">
        <f aca="false">ROUND(AL8-AM8-AN8,2)</f>
        <v>0</v>
      </c>
      <c r="AP8" s="47" t="n">
        <f aca="false">ROUND(AS7*(1+Sorted!$H$11),2)</f>
        <v>0</v>
      </c>
      <c r="AQ8" s="47" t="n">
        <f aca="false">MIN(AP8,Sorted!$G$11)</f>
        <v>0</v>
      </c>
      <c r="AR8" s="47" t="n">
        <v>0</v>
      </c>
      <c r="AS8" s="47" t="n">
        <f aca="false">ROUND(AP8-AQ8-AR8,2)</f>
        <v>0</v>
      </c>
    </row>
    <row r="9" customFormat="false" ht="15" hidden="false" customHeight="false" outlineLevel="0" collapsed="false">
      <c r="A9" s="45" t="n">
        <v>6</v>
      </c>
      <c r="B9" s="46" t="n">
        <f aca="false">EDATE('My Debts'!$C$7,A9-1)</f>
        <v>46478</v>
      </c>
      <c r="C9" s="47" t="n">
        <v>0</v>
      </c>
      <c r="D9" s="47" t="n">
        <f aca="false">(F9+J9+N9+R9+V9+Z9+AD9+AH9+AL9+AP9)-(I9+M9+Q9+U9+Y9+AC9+AG9+AK9+AO9+AS9)</f>
        <v>530</v>
      </c>
      <c r="E9" s="48" t="n">
        <f aca="false">I9+M9+Q9+U9+Y9+AC9+AG9+AK9+AO9+AS9</f>
        <v>11559.15</v>
      </c>
      <c r="F9" s="47" t="n">
        <f aca="false">ROUND(I8*(1+Sorted!$H$2),2)</f>
        <v>644.28</v>
      </c>
      <c r="G9" s="47" t="n">
        <f aca="false">MIN(F9,Sorted!$G$2)</f>
        <v>60</v>
      </c>
      <c r="H9" s="47" t="n">
        <v>0</v>
      </c>
      <c r="I9" s="47" t="n">
        <f aca="false">ROUND(F9-G9-H9,2)</f>
        <v>584.28</v>
      </c>
      <c r="J9" s="47" t="n">
        <f aca="false">ROUND(M8*(1+Sorted!$H$3),2)</f>
        <v>1385.16</v>
      </c>
      <c r="K9" s="47" t="n">
        <f aca="false">MIN(J9,Sorted!$G$3)</f>
        <v>55</v>
      </c>
      <c r="L9" s="47" t="n">
        <v>0</v>
      </c>
      <c r="M9" s="47" t="n">
        <f aca="false">ROUND(J9-K9-L9,2)</f>
        <v>1330.16</v>
      </c>
      <c r="N9" s="47" t="n">
        <f aca="false">ROUND(Q8*(1+Sorted!$H$4),2)</f>
        <v>3239.19</v>
      </c>
      <c r="O9" s="47" t="n">
        <f aca="false">MIN(N9,Sorted!$G$4)</f>
        <v>240</v>
      </c>
      <c r="P9" s="47" t="n">
        <v>0</v>
      </c>
      <c r="Q9" s="47" t="n">
        <f aca="false">ROUND(N9-O9-P9,2)</f>
        <v>2999.19</v>
      </c>
      <c r="R9" s="47" t="n">
        <f aca="false">ROUND(U8*(1+Sorted!$H$5),2)</f>
        <v>6820.52</v>
      </c>
      <c r="S9" s="47" t="n">
        <f aca="false">MIN(R9,Sorted!$G$5)</f>
        <v>175</v>
      </c>
      <c r="T9" s="47" t="n">
        <v>0</v>
      </c>
      <c r="U9" s="47" t="n">
        <f aca="false">ROUND(R9-S9-T9,2)</f>
        <v>6645.52</v>
      </c>
      <c r="V9" s="47" t="n">
        <f aca="false">ROUND(Y8*(1+Sorted!$H$6),2)</f>
        <v>0</v>
      </c>
      <c r="W9" s="47" t="n">
        <f aca="false">MIN(V9,Sorted!$G$6)</f>
        <v>0</v>
      </c>
      <c r="X9" s="47" t="n">
        <v>0</v>
      </c>
      <c r="Y9" s="47" t="n">
        <f aca="false">ROUND(V9-W9-X9,2)</f>
        <v>0</v>
      </c>
      <c r="Z9" s="47" t="n">
        <f aca="false">ROUND(AC8*(1+Sorted!$H$7),2)</f>
        <v>0</v>
      </c>
      <c r="AA9" s="47" t="n">
        <f aca="false">MIN(Z9,Sorted!$G$7)</f>
        <v>0</v>
      </c>
      <c r="AB9" s="47" t="n">
        <v>0</v>
      </c>
      <c r="AC9" s="47" t="n">
        <f aca="false">ROUND(Z9-AA9-AB9,2)</f>
        <v>0</v>
      </c>
      <c r="AD9" s="47" t="n">
        <f aca="false">ROUND(AG8*(1+Sorted!$H$8),2)</f>
        <v>0</v>
      </c>
      <c r="AE9" s="47" t="n">
        <f aca="false">MIN(AD9,Sorted!$G$8)</f>
        <v>0</v>
      </c>
      <c r="AF9" s="47" t="n">
        <v>0</v>
      </c>
      <c r="AG9" s="47" t="n">
        <f aca="false">ROUND(AD9-AE9-AF9,2)</f>
        <v>0</v>
      </c>
      <c r="AH9" s="47" t="n">
        <f aca="false">ROUND(AK8*(1+Sorted!$H$9),2)</f>
        <v>0</v>
      </c>
      <c r="AI9" s="47" t="n">
        <f aca="false">MIN(AH9,Sorted!$G$9)</f>
        <v>0</v>
      </c>
      <c r="AJ9" s="47" t="n">
        <v>0</v>
      </c>
      <c r="AK9" s="47" t="n">
        <f aca="false">ROUND(AH9-AI9-AJ9,2)</f>
        <v>0</v>
      </c>
      <c r="AL9" s="47" t="n">
        <f aca="false">ROUND(AO8*(1+Sorted!$H$10),2)</f>
        <v>0</v>
      </c>
      <c r="AM9" s="47" t="n">
        <f aca="false">MIN(AL9,Sorted!$G$10)</f>
        <v>0</v>
      </c>
      <c r="AN9" s="47" t="n">
        <v>0</v>
      </c>
      <c r="AO9" s="47" t="n">
        <f aca="false">ROUND(AL9-AM9-AN9,2)</f>
        <v>0</v>
      </c>
      <c r="AP9" s="47" t="n">
        <f aca="false">ROUND(AS8*(1+Sorted!$H$11),2)</f>
        <v>0</v>
      </c>
      <c r="AQ9" s="47" t="n">
        <f aca="false">MIN(AP9,Sorted!$G$11)</f>
        <v>0</v>
      </c>
      <c r="AR9" s="47" t="n">
        <v>0</v>
      </c>
      <c r="AS9" s="47" t="n">
        <f aca="false">ROUND(AP9-AQ9-AR9,2)</f>
        <v>0</v>
      </c>
    </row>
    <row r="10" customFormat="false" ht="15" hidden="false" customHeight="false" outlineLevel="0" collapsed="false">
      <c r="A10" s="45" t="n">
        <v>7</v>
      </c>
      <c r="B10" s="46" t="n">
        <f aca="false">EDATE('My Debts'!$C$7,A10-1)</f>
        <v>46508</v>
      </c>
      <c r="C10" s="47" t="n">
        <v>0</v>
      </c>
      <c r="D10" s="47" t="n">
        <f aca="false">(F10+J10+N10+R10+V10+Z10+AD10+AH10+AL10+AP10)-(I10+M10+Q10+U10+Y10+AC10+AG10+AK10+AO10+AS10)</f>
        <v>530</v>
      </c>
      <c r="E10" s="48" t="n">
        <f aca="false">I10+M10+Q10+U10+Y10+AC10+AG10+AK10+AO10+AS10</f>
        <v>11224.88</v>
      </c>
      <c r="F10" s="47" t="n">
        <f aca="false">ROUND(I9*(1+Sorted!$H$2),2)</f>
        <v>589.88</v>
      </c>
      <c r="G10" s="47" t="n">
        <f aca="false">MIN(F10,Sorted!$G$2)</f>
        <v>60</v>
      </c>
      <c r="H10" s="47" t="n">
        <v>0</v>
      </c>
      <c r="I10" s="47" t="n">
        <f aca="false">ROUND(F10-G10-H10,2)</f>
        <v>529.88</v>
      </c>
      <c r="J10" s="47" t="n">
        <f aca="false">ROUND(M9*(1+Sorted!$H$3),2)</f>
        <v>1363.4</v>
      </c>
      <c r="K10" s="47" t="n">
        <f aca="false">MIN(J10,Sorted!$G$3)</f>
        <v>55</v>
      </c>
      <c r="L10" s="47" t="n">
        <v>0</v>
      </c>
      <c r="M10" s="47" t="n">
        <f aca="false">ROUND(J10-K10-L10,2)</f>
        <v>1308.4</v>
      </c>
      <c r="N10" s="47" t="n">
        <f aca="false">ROUND(Q9*(1+Sorted!$H$4),2)</f>
        <v>3017.69</v>
      </c>
      <c r="O10" s="47" t="n">
        <f aca="false">MIN(N10,Sorted!$G$4)</f>
        <v>240</v>
      </c>
      <c r="P10" s="47" t="n">
        <v>0</v>
      </c>
      <c r="Q10" s="47" t="n">
        <f aca="false">ROUND(N10-O10-P10,2)</f>
        <v>2777.69</v>
      </c>
      <c r="R10" s="47" t="n">
        <f aca="false">ROUND(U9*(1+Sorted!$H$5),2)</f>
        <v>6783.91</v>
      </c>
      <c r="S10" s="47" t="n">
        <f aca="false">MIN(R10,Sorted!$G$5)</f>
        <v>175</v>
      </c>
      <c r="T10" s="47" t="n">
        <v>0</v>
      </c>
      <c r="U10" s="47" t="n">
        <f aca="false">ROUND(R10-S10-T10,2)</f>
        <v>6608.91</v>
      </c>
      <c r="V10" s="47" t="n">
        <f aca="false">ROUND(Y9*(1+Sorted!$H$6),2)</f>
        <v>0</v>
      </c>
      <c r="W10" s="47" t="n">
        <f aca="false">MIN(V10,Sorted!$G$6)</f>
        <v>0</v>
      </c>
      <c r="X10" s="47" t="n">
        <v>0</v>
      </c>
      <c r="Y10" s="47" t="n">
        <f aca="false">ROUND(V10-W10-X10,2)</f>
        <v>0</v>
      </c>
      <c r="Z10" s="47" t="n">
        <f aca="false">ROUND(AC9*(1+Sorted!$H$7),2)</f>
        <v>0</v>
      </c>
      <c r="AA10" s="47" t="n">
        <f aca="false">MIN(Z10,Sorted!$G$7)</f>
        <v>0</v>
      </c>
      <c r="AB10" s="47" t="n">
        <v>0</v>
      </c>
      <c r="AC10" s="47" t="n">
        <f aca="false">ROUND(Z10-AA10-AB10,2)</f>
        <v>0</v>
      </c>
      <c r="AD10" s="47" t="n">
        <f aca="false">ROUND(AG9*(1+Sorted!$H$8),2)</f>
        <v>0</v>
      </c>
      <c r="AE10" s="47" t="n">
        <f aca="false">MIN(AD10,Sorted!$G$8)</f>
        <v>0</v>
      </c>
      <c r="AF10" s="47" t="n">
        <v>0</v>
      </c>
      <c r="AG10" s="47" t="n">
        <f aca="false">ROUND(AD10-AE10-AF10,2)</f>
        <v>0</v>
      </c>
      <c r="AH10" s="47" t="n">
        <f aca="false">ROUND(AK9*(1+Sorted!$H$9),2)</f>
        <v>0</v>
      </c>
      <c r="AI10" s="47" t="n">
        <f aca="false">MIN(AH10,Sorted!$G$9)</f>
        <v>0</v>
      </c>
      <c r="AJ10" s="47" t="n">
        <v>0</v>
      </c>
      <c r="AK10" s="47" t="n">
        <f aca="false">ROUND(AH10-AI10-AJ10,2)</f>
        <v>0</v>
      </c>
      <c r="AL10" s="47" t="n">
        <f aca="false">ROUND(AO9*(1+Sorted!$H$10),2)</f>
        <v>0</v>
      </c>
      <c r="AM10" s="47" t="n">
        <f aca="false">MIN(AL10,Sorted!$G$10)</f>
        <v>0</v>
      </c>
      <c r="AN10" s="47" t="n">
        <v>0</v>
      </c>
      <c r="AO10" s="47" t="n">
        <f aca="false">ROUND(AL10-AM10-AN10,2)</f>
        <v>0</v>
      </c>
      <c r="AP10" s="47" t="n">
        <f aca="false">ROUND(AS9*(1+Sorted!$H$11),2)</f>
        <v>0</v>
      </c>
      <c r="AQ10" s="47" t="n">
        <f aca="false">MIN(AP10,Sorted!$G$11)</f>
        <v>0</v>
      </c>
      <c r="AR10" s="47" t="n">
        <v>0</v>
      </c>
      <c r="AS10" s="47" t="n">
        <f aca="false">ROUND(AP10-AQ10-AR10,2)</f>
        <v>0</v>
      </c>
    </row>
    <row r="11" customFormat="false" ht="15" hidden="false" customHeight="false" outlineLevel="0" collapsed="false">
      <c r="A11" s="45" t="n">
        <v>8</v>
      </c>
      <c r="B11" s="46" t="n">
        <f aca="false">EDATE('My Debts'!$C$7,A11-1)</f>
        <v>46539</v>
      </c>
      <c r="C11" s="47" t="n">
        <v>0</v>
      </c>
      <c r="D11" s="47" t="n">
        <f aca="false">(F11+J11+N11+R11+V11+Z11+AD11+AH11+AL11+AP11)-(I11+M11+Q11+U11+Y11+AC11+AG11+AK11+AO11+AS11)</f>
        <v>530</v>
      </c>
      <c r="E11" s="48" t="n">
        <f aca="false">I11+M11+Q11+U11+Y11+AC11+AG11+AK11+AO11+AS11</f>
        <v>10887.42</v>
      </c>
      <c r="F11" s="47" t="n">
        <f aca="false">ROUND(I10*(1+Sorted!$H$2),2)</f>
        <v>534.96</v>
      </c>
      <c r="G11" s="47" t="n">
        <f aca="false">MIN(F11,Sorted!$G$2)</f>
        <v>60</v>
      </c>
      <c r="H11" s="47" t="n">
        <v>0</v>
      </c>
      <c r="I11" s="47" t="n">
        <f aca="false">ROUND(F11-G11-H11,2)</f>
        <v>474.96</v>
      </c>
      <c r="J11" s="47" t="n">
        <f aca="false">ROUND(M10*(1+Sorted!$H$3),2)</f>
        <v>1341.1</v>
      </c>
      <c r="K11" s="47" t="n">
        <f aca="false">MIN(J11,Sorted!$G$3)</f>
        <v>55</v>
      </c>
      <c r="L11" s="47" t="n">
        <v>0</v>
      </c>
      <c r="M11" s="47" t="n">
        <f aca="false">ROUND(J11-K11-L11,2)</f>
        <v>1286.1</v>
      </c>
      <c r="N11" s="47" t="n">
        <f aca="false">ROUND(Q10*(1+Sorted!$H$4),2)</f>
        <v>2794.82</v>
      </c>
      <c r="O11" s="47" t="n">
        <f aca="false">MIN(N11,Sorted!$G$4)</f>
        <v>240</v>
      </c>
      <c r="P11" s="47" t="n">
        <v>0</v>
      </c>
      <c r="Q11" s="47" t="n">
        <f aca="false">ROUND(N11-O11-P11,2)</f>
        <v>2554.82</v>
      </c>
      <c r="R11" s="47" t="n">
        <f aca="false">ROUND(U10*(1+Sorted!$H$5),2)</f>
        <v>6746.54</v>
      </c>
      <c r="S11" s="47" t="n">
        <f aca="false">MIN(R11,Sorted!$G$5)</f>
        <v>175</v>
      </c>
      <c r="T11" s="47" t="n">
        <v>0</v>
      </c>
      <c r="U11" s="47" t="n">
        <f aca="false">ROUND(R11-S11-T11,2)</f>
        <v>6571.54</v>
      </c>
      <c r="V11" s="47" t="n">
        <f aca="false">ROUND(Y10*(1+Sorted!$H$6),2)</f>
        <v>0</v>
      </c>
      <c r="W11" s="47" t="n">
        <f aca="false">MIN(V11,Sorted!$G$6)</f>
        <v>0</v>
      </c>
      <c r="X11" s="47" t="n">
        <v>0</v>
      </c>
      <c r="Y11" s="47" t="n">
        <f aca="false">ROUND(V11-W11-X11,2)</f>
        <v>0</v>
      </c>
      <c r="Z11" s="47" t="n">
        <f aca="false">ROUND(AC10*(1+Sorted!$H$7),2)</f>
        <v>0</v>
      </c>
      <c r="AA11" s="47" t="n">
        <f aca="false">MIN(Z11,Sorted!$G$7)</f>
        <v>0</v>
      </c>
      <c r="AB11" s="47" t="n">
        <v>0</v>
      </c>
      <c r="AC11" s="47" t="n">
        <f aca="false">ROUND(Z11-AA11-AB11,2)</f>
        <v>0</v>
      </c>
      <c r="AD11" s="47" t="n">
        <f aca="false">ROUND(AG10*(1+Sorted!$H$8),2)</f>
        <v>0</v>
      </c>
      <c r="AE11" s="47" t="n">
        <f aca="false">MIN(AD11,Sorted!$G$8)</f>
        <v>0</v>
      </c>
      <c r="AF11" s="47" t="n">
        <v>0</v>
      </c>
      <c r="AG11" s="47" t="n">
        <f aca="false">ROUND(AD11-AE11-AF11,2)</f>
        <v>0</v>
      </c>
      <c r="AH11" s="47" t="n">
        <f aca="false">ROUND(AK10*(1+Sorted!$H$9),2)</f>
        <v>0</v>
      </c>
      <c r="AI11" s="47" t="n">
        <f aca="false">MIN(AH11,Sorted!$G$9)</f>
        <v>0</v>
      </c>
      <c r="AJ11" s="47" t="n">
        <v>0</v>
      </c>
      <c r="AK11" s="47" t="n">
        <f aca="false">ROUND(AH11-AI11-AJ11,2)</f>
        <v>0</v>
      </c>
      <c r="AL11" s="47" t="n">
        <f aca="false">ROUND(AO10*(1+Sorted!$H$10),2)</f>
        <v>0</v>
      </c>
      <c r="AM11" s="47" t="n">
        <f aca="false">MIN(AL11,Sorted!$G$10)</f>
        <v>0</v>
      </c>
      <c r="AN11" s="47" t="n">
        <v>0</v>
      </c>
      <c r="AO11" s="47" t="n">
        <f aca="false">ROUND(AL11-AM11-AN11,2)</f>
        <v>0</v>
      </c>
      <c r="AP11" s="47" t="n">
        <f aca="false">ROUND(AS10*(1+Sorted!$H$11),2)</f>
        <v>0</v>
      </c>
      <c r="AQ11" s="47" t="n">
        <f aca="false">MIN(AP11,Sorted!$G$11)</f>
        <v>0</v>
      </c>
      <c r="AR11" s="47" t="n">
        <v>0</v>
      </c>
      <c r="AS11" s="47" t="n">
        <f aca="false">ROUND(AP11-AQ11-AR11,2)</f>
        <v>0</v>
      </c>
    </row>
    <row r="12" customFormat="false" ht="15" hidden="false" customHeight="false" outlineLevel="0" collapsed="false">
      <c r="A12" s="45" t="n">
        <v>9</v>
      </c>
      <c r="B12" s="46" t="n">
        <f aca="false">EDATE('My Debts'!$C$7,A12-1)</f>
        <v>46569</v>
      </c>
      <c r="C12" s="47" t="n">
        <v>0</v>
      </c>
      <c r="D12" s="47" t="n">
        <f aca="false">(F12+J12+N12+R12+V12+Z12+AD12+AH12+AL12+AP12)-(I12+M12+Q12+U12+Y12+AC12+AG12+AK12+AO12+AS12)</f>
        <v>529.999999999998</v>
      </c>
      <c r="E12" s="48" t="n">
        <f aca="false">I12+M12+Q12+U12+Y12+AC12+AG12+AK12+AO12+AS12</f>
        <v>10546.71</v>
      </c>
      <c r="F12" s="47" t="n">
        <f aca="false">ROUND(I11*(1+Sorted!$H$2),2)</f>
        <v>479.51</v>
      </c>
      <c r="G12" s="47" t="n">
        <f aca="false">MIN(F12,Sorted!$G$2)</f>
        <v>60</v>
      </c>
      <c r="H12" s="47" t="n">
        <v>0</v>
      </c>
      <c r="I12" s="47" t="n">
        <f aca="false">ROUND(F12-G12-H12,2)</f>
        <v>419.51</v>
      </c>
      <c r="J12" s="47" t="n">
        <f aca="false">ROUND(M11*(1+Sorted!$H$3),2)</f>
        <v>1318.24</v>
      </c>
      <c r="K12" s="47" t="n">
        <f aca="false">MIN(J12,Sorted!$G$3)</f>
        <v>55</v>
      </c>
      <c r="L12" s="47" t="n">
        <v>0</v>
      </c>
      <c r="M12" s="47" t="n">
        <f aca="false">ROUND(J12-K12-L12,2)</f>
        <v>1263.24</v>
      </c>
      <c r="N12" s="47" t="n">
        <f aca="false">ROUND(Q11*(1+Sorted!$H$4),2)</f>
        <v>2570.57</v>
      </c>
      <c r="O12" s="47" t="n">
        <f aca="false">MIN(N12,Sorted!$G$4)</f>
        <v>240</v>
      </c>
      <c r="P12" s="47" t="n">
        <v>0</v>
      </c>
      <c r="Q12" s="47" t="n">
        <f aca="false">ROUND(N12-O12-P12,2)</f>
        <v>2330.57</v>
      </c>
      <c r="R12" s="47" t="n">
        <f aca="false">ROUND(U11*(1+Sorted!$H$5),2)</f>
        <v>6708.39</v>
      </c>
      <c r="S12" s="47" t="n">
        <f aca="false">MIN(R12,Sorted!$G$5)</f>
        <v>175</v>
      </c>
      <c r="T12" s="47" t="n">
        <v>0</v>
      </c>
      <c r="U12" s="47" t="n">
        <f aca="false">ROUND(R12-S12-T12,2)</f>
        <v>6533.39</v>
      </c>
      <c r="V12" s="47" t="n">
        <f aca="false">ROUND(Y11*(1+Sorted!$H$6),2)</f>
        <v>0</v>
      </c>
      <c r="W12" s="47" t="n">
        <f aca="false">MIN(V12,Sorted!$G$6)</f>
        <v>0</v>
      </c>
      <c r="X12" s="47" t="n">
        <v>0</v>
      </c>
      <c r="Y12" s="47" t="n">
        <f aca="false">ROUND(V12-W12-X12,2)</f>
        <v>0</v>
      </c>
      <c r="Z12" s="47" t="n">
        <f aca="false">ROUND(AC11*(1+Sorted!$H$7),2)</f>
        <v>0</v>
      </c>
      <c r="AA12" s="47" t="n">
        <f aca="false">MIN(Z12,Sorted!$G$7)</f>
        <v>0</v>
      </c>
      <c r="AB12" s="47" t="n">
        <v>0</v>
      </c>
      <c r="AC12" s="47" t="n">
        <f aca="false">ROUND(Z12-AA12-AB12,2)</f>
        <v>0</v>
      </c>
      <c r="AD12" s="47" t="n">
        <f aca="false">ROUND(AG11*(1+Sorted!$H$8),2)</f>
        <v>0</v>
      </c>
      <c r="AE12" s="47" t="n">
        <f aca="false">MIN(AD12,Sorted!$G$8)</f>
        <v>0</v>
      </c>
      <c r="AF12" s="47" t="n">
        <v>0</v>
      </c>
      <c r="AG12" s="47" t="n">
        <f aca="false">ROUND(AD12-AE12-AF12,2)</f>
        <v>0</v>
      </c>
      <c r="AH12" s="47" t="n">
        <f aca="false">ROUND(AK11*(1+Sorted!$H$9),2)</f>
        <v>0</v>
      </c>
      <c r="AI12" s="47" t="n">
        <f aca="false">MIN(AH12,Sorted!$G$9)</f>
        <v>0</v>
      </c>
      <c r="AJ12" s="47" t="n">
        <v>0</v>
      </c>
      <c r="AK12" s="47" t="n">
        <f aca="false">ROUND(AH12-AI12-AJ12,2)</f>
        <v>0</v>
      </c>
      <c r="AL12" s="47" t="n">
        <f aca="false">ROUND(AO11*(1+Sorted!$H$10),2)</f>
        <v>0</v>
      </c>
      <c r="AM12" s="47" t="n">
        <f aca="false">MIN(AL12,Sorted!$G$10)</f>
        <v>0</v>
      </c>
      <c r="AN12" s="47" t="n">
        <v>0</v>
      </c>
      <c r="AO12" s="47" t="n">
        <f aca="false">ROUND(AL12-AM12-AN12,2)</f>
        <v>0</v>
      </c>
      <c r="AP12" s="47" t="n">
        <f aca="false">ROUND(AS11*(1+Sorted!$H$11),2)</f>
        <v>0</v>
      </c>
      <c r="AQ12" s="47" t="n">
        <f aca="false">MIN(AP12,Sorted!$G$11)</f>
        <v>0</v>
      </c>
      <c r="AR12" s="47" t="n">
        <v>0</v>
      </c>
      <c r="AS12" s="47" t="n">
        <f aca="false">ROUND(AP12-AQ12-AR12,2)</f>
        <v>0</v>
      </c>
    </row>
    <row r="13" customFormat="false" ht="15" hidden="false" customHeight="false" outlineLevel="0" collapsed="false">
      <c r="A13" s="45" t="n">
        <v>10</v>
      </c>
      <c r="B13" s="46" t="n">
        <f aca="false">EDATE('My Debts'!$C$7,A13-1)</f>
        <v>46600</v>
      </c>
      <c r="C13" s="47" t="n">
        <v>0</v>
      </c>
      <c r="D13" s="47" t="n">
        <f aca="false">(F13+J13+N13+R13+V13+Z13+AD13+AH13+AL13+AP13)-(I13+M13+Q13+U13+Y13+AC13+AG13+AK13+AO13+AS13)</f>
        <v>530</v>
      </c>
      <c r="E13" s="48" t="n">
        <f aca="false">I13+M13+Q13+U13+Y13+AC13+AG13+AK13+AO13+AS13</f>
        <v>10202.73</v>
      </c>
      <c r="F13" s="47" t="n">
        <f aca="false">ROUND(I12*(1+Sorted!$H$2),2)</f>
        <v>423.53</v>
      </c>
      <c r="G13" s="47" t="n">
        <f aca="false">MIN(F13,Sorted!$G$2)</f>
        <v>60</v>
      </c>
      <c r="H13" s="47" t="n">
        <v>0</v>
      </c>
      <c r="I13" s="47" t="n">
        <f aca="false">ROUND(F13-G13-H13,2)</f>
        <v>363.53</v>
      </c>
      <c r="J13" s="47" t="n">
        <f aca="false">ROUND(M12*(1+Sorted!$H$3),2)</f>
        <v>1294.81</v>
      </c>
      <c r="K13" s="47" t="n">
        <f aca="false">MIN(J13,Sorted!$G$3)</f>
        <v>55</v>
      </c>
      <c r="L13" s="47" t="n">
        <v>0</v>
      </c>
      <c r="M13" s="47" t="n">
        <f aca="false">ROUND(J13-K13-L13,2)</f>
        <v>1239.81</v>
      </c>
      <c r="N13" s="47" t="n">
        <f aca="false">ROUND(Q12*(1+Sorted!$H$4),2)</f>
        <v>2344.94</v>
      </c>
      <c r="O13" s="47" t="n">
        <f aca="false">MIN(N13,Sorted!$G$4)</f>
        <v>240</v>
      </c>
      <c r="P13" s="47" t="n">
        <v>0</v>
      </c>
      <c r="Q13" s="47" t="n">
        <f aca="false">ROUND(N13-O13-P13,2)</f>
        <v>2104.94</v>
      </c>
      <c r="R13" s="47" t="n">
        <f aca="false">ROUND(U12*(1+Sorted!$H$5),2)</f>
        <v>6669.45</v>
      </c>
      <c r="S13" s="47" t="n">
        <f aca="false">MIN(R13,Sorted!$G$5)</f>
        <v>175</v>
      </c>
      <c r="T13" s="47" t="n">
        <v>0</v>
      </c>
      <c r="U13" s="47" t="n">
        <f aca="false">ROUND(R13-S13-T13,2)</f>
        <v>6494.45</v>
      </c>
      <c r="V13" s="47" t="n">
        <f aca="false">ROUND(Y12*(1+Sorted!$H$6),2)</f>
        <v>0</v>
      </c>
      <c r="W13" s="47" t="n">
        <f aca="false">MIN(V13,Sorted!$G$6)</f>
        <v>0</v>
      </c>
      <c r="X13" s="47" t="n">
        <v>0</v>
      </c>
      <c r="Y13" s="47" t="n">
        <f aca="false">ROUND(V13-W13-X13,2)</f>
        <v>0</v>
      </c>
      <c r="Z13" s="47" t="n">
        <f aca="false">ROUND(AC12*(1+Sorted!$H$7),2)</f>
        <v>0</v>
      </c>
      <c r="AA13" s="47" t="n">
        <f aca="false">MIN(Z13,Sorted!$G$7)</f>
        <v>0</v>
      </c>
      <c r="AB13" s="47" t="n">
        <v>0</v>
      </c>
      <c r="AC13" s="47" t="n">
        <f aca="false">ROUND(Z13-AA13-AB13,2)</f>
        <v>0</v>
      </c>
      <c r="AD13" s="47" t="n">
        <f aca="false">ROUND(AG12*(1+Sorted!$H$8),2)</f>
        <v>0</v>
      </c>
      <c r="AE13" s="47" t="n">
        <f aca="false">MIN(AD13,Sorted!$G$8)</f>
        <v>0</v>
      </c>
      <c r="AF13" s="47" t="n">
        <v>0</v>
      </c>
      <c r="AG13" s="47" t="n">
        <f aca="false">ROUND(AD13-AE13-AF13,2)</f>
        <v>0</v>
      </c>
      <c r="AH13" s="47" t="n">
        <f aca="false">ROUND(AK12*(1+Sorted!$H$9),2)</f>
        <v>0</v>
      </c>
      <c r="AI13" s="47" t="n">
        <f aca="false">MIN(AH13,Sorted!$G$9)</f>
        <v>0</v>
      </c>
      <c r="AJ13" s="47" t="n">
        <v>0</v>
      </c>
      <c r="AK13" s="47" t="n">
        <f aca="false">ROUND(AH13-AI13-AJ13,2)</f>
        <v>0</v>
      </c>
      <c r="AL13" s="47" t="n">
        <f aca="false">ROUND(AO12*(1+Sorted!$H$10),2)</f>
        <v>0</v>
      </c>
      <c r="AM13" s="47" t="n">
        <f aca="false">MIN(AL13,Sorted!$G$10)</f>
        <v>0</v>
      </c>
      <c r="AN13" s="47" t="n">
        <v>0</v>
      </c>
      <c r="AO13" s="47" t="n">
        <f aca="false">ROUND(AL13-AM13-AN13,2)</f>
        <v>0</v>
      </c>
      <c r="AP13" s="47" t="n">
        <f aca="false">ROUND(AS12*(1+Sorted!$H$11),2)</f>
        <v>0</v>
      </c>
      <c r="AQ13" s="47" t="n">
        <f aca="false">MIN(AP13,Sorted!$G$11)</f>
        <v>0</v>
      </c>
      <c r="AR13" s="47" t="n">
        <v>0</v>
      </c>
      <c r="AS13" s="47" t="n">
        <f aca="false">ROUND(AP13-AQ13-AR13,2)</f>
        <v>0</v>
      </c>
    </row>
    <row r="14" customFormat="false" ht="15" hidden="false" customHeight="false" outlineLevel="0" collapsed="false">
      <c r="A14" s="45" t="n">
        <v>11</v>
      </c>
      <c r="B14" s="46" t="n">
        <f aca="false">EDATE('My Debts'!$C$7,A14-1)</f>
        <v>46631</v>
      </c>
      <c r="C14" s="47" t="n">
        <v>0</v>
      </c>
      <c r="D14" s="47" t="n">
        <f aca="false">(F14+J14+N14+R14+V14+Z14+AD14+AH14+AL14+AP14)-(I14+M14+Q14+U14+Y14+AC14+AG14+AK14+AO14+AS14)</f>
        <v>530</v>
      </c>
      <c r="E14" s="48" t="n">
        <f aca="false">I14+M14+Q14+U14+Y14+AC14+AG14+AK14+AO14+AS14</f>
        <v>9855.42</v>
      </c>
      <c r="F14" s="47" t="n">
        <f aca="false">ROUND(I13*(1+Sorted!$H$2),2)</f>
        <v>367.01</v>
      </c>
      <c r="G14" s="47" t="n">
        <f aca="false">MIN(F14,Sorted!$G$2)</f>
        <v>60</v>
      </c>
      <c r="H14" s="47" t="n">
        <v>0</v>
      </c>
      <c r="I14" s="47" t="n">
        <f aca="false">ROUND(F14-G14-H14,2)</f>
        <v>307.01</v>
      </c>
      <c r="J14" s="47" t="n">
        <f aca="false">ROUND(M13*(1+Sorted!$H$3),2)</f>
        <v>1270.79</v>
      </c>
      <c r="K14" s="47" t="n">
        <f aca="false">MIN(J14,Sorted!$G$3)</f>
        <v>55</v>
      </c>
      <c r="L14" s="47" t="n">
        <v>0</v>
      </c>
      <c r="M14" s="47" t="n">
        <f aca="false">ROUND(J14-K14-L14,2)</f>
        <v>1215.79</v>
      </c>
      <c r="N14" s="47" t="n">
        <f aca="false">ROUND(Q13*(1+Sorted!$H$4),2)</f>
        <v>2117.92</v>
      </c>
      <c r="O14" s="47" t="n">
        <f aca="false">MIN(N14,Sorted!$G$4)</f>
        <v>240</v>
      </c>
      <c r="P14" s="47" t="n">
        <v>0</v>
      </c>
      <c r="Q14" s="47" t="n">
        <f aca="false">ROUND(N14-O14-P14,2)</f>
        <v>1877.92</v>
      </c>
      <c r="R14" s="47" t="n">
        <f aca="false">ROUND(U13*(1+Sorted!$H$5),2)</f>
        <v>6629.7</v>
      </c>
      <c r="S14" s="47" t="n">
        <f aca="false">MIN(R14,Sorted!$G$5)</f>
        <v>175</v>
      </c>
      <c r="T14" s="47" t="n">
        <v>0</v>
      </c>
      <c r="U14" s="47" t="n">
        <f aca="false">ROUND(R14-S14-T14,2)</f>
        <v>6454.7</v>
      </c>
      <c r="V14" s="47" t="n">
        <f aca="false">ROUND(Y13*(1+Sorted!$H$6),2)</f>
        <v>0</v>
      </c>
      <c r="W14" s="47" t="n">
        <f aca="false">MIN(V14,Sorted!$G$6)</f>
        <v>0</v>
      </c>
      <c r="X14" s="47" t="n">
        <v>0</v>
      </c>
      <c r="Y14" s="47" t="n">
        <f aca="false">ROUND(V14-W14-X14,2)</f>
        <v>0</v>
      </c>
      <c r="Z14" s="47" t="n">
        <f aca="false">ROUND(AC13*(1+Sorted!$H$7),2)</f>
        <v>0</v>
      </c>
      <c r="AA14" s="47" t="n">
        <f aca="false">MIN(Z14,Sorted!$G$7)</f>
        <v>0</v>
      </c>
      <c r="AB14" s="47" t="n">
        <v>0</v>
      </c>
      <c r="AC14" s="47" t="n">
        <f aca="false">ROUND(Z14-AA14-AB14,2)</f>
        <v>0</v>
      </c>
      <c r="AD14" s="47" t="n">
        <f aca="false">ROUND(AG13*(1+Sorted!$H$8),2)</f>
        <v>0</v>
      </c>
      <c r="AE14" s="47" t="n">
        <f aca="false">MIN(AD14,Sorted!$G$8)</f>
        <v>0</v>
      </c>
      <c r="AF14" s="47" t="n">
        <v>0</v>
      </c>
      <c r="AG14" s="47" t="n">
        <f aca="false">ROUND(AD14-AE14-AF14,2)</f>
        <v>0</v>
      </c>
      <c r="AH14" s="47" t="n">
        <f aca="false">ROUND(AK13*(1+Sorted!$H$9),2)</f>
        <v>0</v>
      </c>
      <c r="AI14" s="47" t="n">
        <f aca="false">MIN(AH14,Sorted!$G$9)</f>
        <v>0</v>
      </c>
      <c r="AJ14" s="47" t="n">
        <v>0</v>
      </c>
      <c r="AK14" s="47" t="n">
        <f aca="false">ROUND(AH14-AI14-AJ14,2)</f>
        <v>0</v>
      </c>
      <c r="AL14" s="47" t="n">
        <f aca="false">ROUND(AO13*(1+Sorted!$H$10),2)</f>
        <v>0</v>
      </c>
      <c r="AM14" s="47" t="n">
        <f aca="false">MIN(AL14,Sorted!$G$10)</f>
        <v>0</v>
      </c>
      <c r="AN14" s="47" t="n">
        <v>0</v>
      </c>
      <c r="AO14" s="47" t="n">
        <f aca="false">ROUND(AL14-AM14-AN14,2)</f>
        <v>0</v>
      </c>
      <c r="AP14" s="47" t="n">
        <f aca="false">ROUND(AS13*(1+Sorted!$H$11),2)</f>
        <v>0</v>
      </c>
      <c r="AQ14" s="47" t="n">
        <f aca="false">MIN(AP14,Sorted!$G$11)</f>
        <v>0</v>
      </c>
      <c r="AR14" s="47" t="n">
        <v>0</v>
      </c>
      <c r="AS14" s="47" t="n">
        <f aca="false">ROUND(AP14-AQ14-AR14,2)</f>
        <v>0</v>
      </c>
    </row>
    <row r="15" customFormat="false" ht="15" hidden="false" customHeight="false" outlineLevel="0" collapsed="false">
      <c r="A15" s="45" t="n">
        <v>12</v>
      </c>
      <c r="B15" s="46" t="n">
        <f aca="false">EDATE('My Debts'!$C$7,A15-1)</f>
        <v>46661</v>
      </c>
      <c r="C15" s="47" t="n">
        <v>0</v>
      </c>
      <c r="D15" s="47" t="n">
        <f aca="false">(F15+J15+N15+R15+V15+Z15+AD15+AH15+AL15+AP15)-(I15+M15+Q15+U15+Y15+AC15+AG15+AK15+AO15+AS15)</f>
        <v>530</v>
      </c>
      <c r="E15" s="48" t="n">
        <f aca="false">I15+M15+Q15+U15+Y15+AC15+AG15+AK15+AO15+AS15</f>
        <v>9504.74</v>
      </c>
      <c r="F15" s="47" t="n">
        <f aca="false">ROUND(I14*(1+Sorted!$H$2),2)</f>
        <v>309.95</v>
      </c>
      <c r="G15" s="47" t="n">
        <f aca="false">MIN(F15,Sorted!$G$2)</f>
        <v>60</v>
      </c>
      <c r="H15" s="47" t="n">
        <v>0</v>
      </c>
      <c r="I15" s="47" t="n">
        <f aca="false">ROUND(F15-G15-H15,2)</f>
        <v>249.95</v>
      </c>
      <c r="J15" s="47" t="n">
        <f aca="false">ROUND(M14*(1+Sorted!$H$3),2)</f>
        <v>1246.17</v>
      </c>
      <c r="K15" s="47" t="n">
        <f aca="false">MIN(J15,Sorted!$G$3)</f>
        <v>55</v>
      </c>
      <c r="L15" s="47" t="n">
        <v>0</v>
      </c>
      <c r="M15" s="47" t="n">
        <f aca="false">ROUND(J15-K15-L15,2)</f>
        <v>1191.17</v>
      </c>
      <c r="N15" s="47" t="n">
        <f aca="false">ROUND(Q14*(1+Sorted!$H$4),2)</f>
        <v>1889.5</v>
      </c>
      <c r="O15" s="47" t="n">
        <f aca="false">MIN(N15,Sorted!$G$4)</f>
        <v>240</v>
      </c>
      <c r="P15" s="47" t="n">
        <v>0</v>
      </c>
      <c r="Q15" s="47" t="n">
        <f aca="false">ROUND(N15-O15-P15,2)</f>
        <v>1649.5</v>
      </c>
      <c r="R15" s="47" t="n">
        <f aca="false">ROUND(U14*(1+Sorted!$H$5),2)</f>
        <v>6589.12</v>
      </c>
      <c r="S15" s="47" t="n">
        <f aca="false">MIN(R15,Sorted!$G$5)</f>
        <v>175</v>
      </c>
      <c r="T15" s="47" t="n">
        <v>0</v>
      </c>
      <c r="U15" s="47" t="n">
        <f aca="false">ROUND(R15-S15-T15,2)</f>
        <v>6414.12</v>
      </c>
      <c r="V15" s="47" t="n">
        <f aca="false">ROUND(Y14*(1+Sorted!$H$6),2)</f>
        <v>0</v>
      </c>
      <c r="W15" s="47" t="n">
        <f aca="false">MIN(V15,Sorted!$G$6)</f>
        <v>0</v>
      </c>
      <c r="X15" s="47" t="n">
        <v>0</v>
      </c>
      <c r="Y15" s="47" t="n">
        <f aca="false">ROUND(V15-W15-X15,2)</f>
        <v>0</v>
      </c>
      <c r="Z15" s="47" t="n">
        <f aca="false">ROUND(AC14*(1+Sorted!$H$7),2)</f>
        <v>0</v>
      </c>
      <c r="AA15" s="47" t="n">
        <f aca="false">MIN(Z15,Sorted!$G$7)</f>
        <v>0</v>
      </c>
      <c r="AB15" s="47" t="n">
        <v>0</v>
      </c>
      <c r="AC15" s="47" t="n">
        <f aca="false">ROUND(Z15-AA15-AB15,2)</f>
        <v>0</v>
      </c>
      <c r="AD15" s="47" t="n">
        <f aca="false">ROUND(AG14*(1+Sorted!$H$8),2)</f>
        <v>0</v>
      </c>
      <c r="AE15" s="47" t="n">
        <f aca="false">MIN(AD15,Sorted!$G$8)</f>
        <v>0</v>
      </c>
      <c r="AF15" s="47" t="n">
        <v>0</v>
      </c>
      <c r="AG15" s="47" t="n">
        <f aca="false">ROUND(AD15-AE15-AF15,2)</f>
        <v>0</v>
      </c>
      <c r="AH15" s="47" t="n">
        <f aca="false">ROUND(AK14*(1+Sorted!$H$9),2)</f>
        <v>0</v>
      </c>
      <c r="AI15" s="47" t="n">
        <f aca="false">MIN(AH15,Sorted!$G$9)</f>
        <v>0</v>
      </c>
      <c r="AJ15" s="47" t="n">
        <v>0</v>
      </c>
      <c r="AK15" s="47" t="n">
        <f aca="false">ROUND(AH15-AI15-AJ15,2)</f>
        <v>0</v>
      </c>
      <c r="AL15" s="47" t="n">
        <f aca="false">ROUND(AO14*(1+Sorted!$H$10),2)</f>
        <v>0</v>
      </c>
      <c r="AM15" s="47" t="n">
        <f aca="false">MIN(AL15,Sorted!$G$10)</f>
        <v>0</v>
      </c>
      <c r="AN15" s="47" t="n">
        <v>0</v>
      </c>
      <c r="AO15" s="47" t="n">
        <f aca="false">ROUND(AL15-AM15-AN15,2)</f>
        <v>0</v>
      </c>
      <c r="AP15" s="47" t="n">
        <f aca="false">ROUND(AS14*(1+Sorted!$H$11),2)</f>
        <v>0</v>
      </c>
      <c r="AQ15" s="47" t="n">
        <f aca="false">MIN(AP15,Sorted!$G$11)</f>
        <v>0</v>
      </c>
      <c r="AR15" s="47" t="n">
        <v>0</v>
      </c>
      <c r="AS15" s="47" t="n">
        <f aca="false">ROUND(AP15-AQ15-AR15,2)</f>
        <v>0</v>
      </c>
    </row>
    <row r="16" customFormat="false" ht="15" hidden="false" customHeight="false" outlineLevel="0" collapsed="false">
      <c r="A16" s="45" t="n">
        <v>13</v>
      </c>
      <c r="B16" s="46" t="n">
        <f aca="false">EDATE('My Debts'!$C$7,A16-1)</f>
        <v>46692</v>
      </c>
      <c r="C16" s="47" t="n">
        <v>0</v>
      </c>
      <c r="D16" s="47" t="n">
        <f aca="false">(F16+J16+N16+R16+V16+Z16+AD16+AH16+AL16+AP16)-(I16+M16+Q16+U16+Y16+AC16+AG16+AK16+AO16+AS16)</f>
        <v>530</v>
      </c>
      <c r="E16" s="48" t="n">
        <f aca="false">I16+M16+Q16+U16+Y16+AC16+AG16+AK16+AO16+AS16</f>
        <v>9150.65</v>
      </c>
      <c r="F16" s="47" t="n">
        <f aca="false">ROUND(I15*(1+Sorted!$H$2),2)</f>
        <v>252.35</v>
      </c>
      <c r="G16" s="47" t="n">
        <f aca="false">MIN(F16,Sorted!$G$2)</f>
        <v>60</v>
      </c>
      <c r="H16" s="47" t="n">
        <v>0</v>
      </c>
      <c r="I16" s="47" t="n">
        <f aca="false">ROUND(F16-G16-H16,2)</f>
        <v>192.35</v>
      </c>
      <c r="J16" s="47" t="n">
        <f aca="false">ROUND(M15*(1+Sorted!$H$3),2)</f>
        <v>1220.94</v>
      </c>
      <c r="K16" s="47" t="n">
        <f aca="false">MIN(J16,Sorted!$G$3)</f>
        <v>55</v>
      </c>
      <c r="L16" s="47" t="n">
        <v>0</v>
      </c>
      <c r="M16" s="47" t="n">
        <f aca="false">ROUND(J16-K16-L16,2)</f>
        <v>1165.94</v>
      </c>
      <c r="N16" s="47" t="n">
        <f aca="false">ROUND(Q15*(1+Sorted!$H$4),2)</f>
        <v>1659.67</v>
      </c>
      <c r="O16" s="47" t="n">
        <f aca="false">MIN(N16,Sorted!$G$4)</f>
        <v>240</v>
      </c>
      <c r="P16" s="47" t="n">
        <v>0</v>
      </c>
      <c r="Q16" s="47" t="n">
        <f aca="false">ROUND(N16-O16-P16,2)</f>
        <v>1419.67</v>
      </c>
      <c r="R16" s="47" t="n">
        <f aca="false">ROUND(U15*(1+Sorted!$H$5),2)</f>
        <v>6547.69</v>
      </c>
      <c r="S16" s="47" t="n">
        <f aca="false">MIN(R16,Sorted!$G$5)</f>
        <v>175</v>
      </c>
      <c r="T16" s="47" t="n">
        <v>0</v>
      </c>
      <c r="U16" s="47" t="n">
        <f aca="false">ROUND(R16-S16-T16,2)</f>
        <v>6372.69</v>
      </c>
      <c r="V16" s="47" t="n">
        <f aca="false">ROUND(Y15*(1+Sorted!$H$6),2)</f>
        <v>0</v>
      </c>
      <c r="W16" s="47" t="n">
        <f aca="false">MIN(V16,Sorted!$G$6)</f>
        <v>0</v>
      </c>
      <c r="X16" s="47" t="n">
        <v>0</v>
      </c>
      <c r="Y16" s="47" t="n">
        <f aca="false">ROUND(V16-W16-X16,2)</f>
        <v>0</v>
      </c>
      <c r="Z16" s="47" t="n">
        <f aca="false">ROUND(AC15*(1+Sorted!$H$7),2)</f>
        <v>0</v>
      </c>
      <c r="AA16" s="47" t="n">
        <f aca="false">MIN(Z16,Sorted!$G$7)</f>
        <v>0</v>
      </c>
      <c r="AB16" s="47" t="n">
        <v>0</v>
      </c>
      <c r="AC16" s="47" t="n">
        <f aca="false">ROUND(Z16-AA16-AB16,2)</f>
        <v>0</v>
      </c>
      <c r="AD16" s="47" t="n">
        <f aca="false">ROUND(AG15*(1+Sorted!$H$8),2)</f>
        <v>0</v>
      </c>
      <c r="AE16" s="47" t="n">
        <f aca="false">MIN(AD16,Sorted!$G$8)</f>
        <v>0</v>
      </c>
      <c r="AF16" s="47" t="n">
        <v>0</v>
      </c>
      <c r="AG16" s="47" t="n">
        <f aca="false">ROUND(AD16-AE16-AF16,2)</f>
        <v>0</v>
      </c>
      <c r="AH16" s="47" t="n">
        <f aca="false">ROUND(AK15*(1+Sorted!$H$9),2)</f>
        <v>0</v>
      </c>
      <c r="AI16" s="47" t="n">
        <f aca="false">MIN(AH16,Sorted!$G$9)</f>
        <v>0</v>
      </c>
      <c r="AJ16" s="47" t="n">
        <v>0</v>
      </c>
      <c r="AK16" s="47" t="n">
        <f aca="false">ROUND(AH16-AI16-AJ16,2)</f>
        <v>0</v>
      </c>
      <c r="AL16" s="47" t="n">
        <f aca="false">ROUND(AO15*(1+Sorted!$H$10),2)</f>
        <v>0</v>
      </c>
      <c r="AM16" s="47" t="n">
        <f aca="false">MIN(AL16,Sorted!$G$10)</f>
        <v>0</v>
      </c>
      <c r="AN16" s="47" t="n">
        <v>0</v>
      </c>
      <c r="AO16" s="47" t="n">
        <f aca="false">ROUND(AL16-AM16-AN16,2)</f>
        <v>0</v>
      </c>
      <c r="AP16" s="47" t="n">
        <f aca="false">ROUND(AS15*(1+Sorted!$H$11),2)</f>
        <v>0</v>
      </c>
      <c r="AQ16" s="47" t="n">
        <f aca="false">MIN(AP16,Sorted!$G$11)</f>
        <v>0</v>
      </c>
      <c r="AR16" s="47" t="n">
        <v>0</v>
      </c>
      <c r="AS16" s="47" t="n">
        <f aca="false">ROUND(AP16-AQ16-AR16,2)</f>
        <v>0</v>
      </c>
    </row>
    <row r="17" customFormat="false" ht="15" hidden="false" customHeight="false" outlineLevel="0" collapsed="false">
      <c r="A17" s="45" t="n">
        <v>14</v>
      </c>
      <c r="B17" s="46" t="n">
        <f aca="false">EDATE('My Debts'!$C$7,A17-1)</f>
        <v>46722</v>
      </c>
      <c r="C17" s="47" t="n">
        <v>0</v>
      </c>
      <c r="D17" s="47" t="n">
        <f aca="false">(F17+J17+N17+R17+V17+Z17+AD17+AH17+AL17+AP17)-(I17+M17+Q17+U17+Y17+AC17+AG17+AK17+AO17+AS17)</f>
        <v>530</v>
      </c>
      <c r="E17" s="48" t="n">
        <f aca="false">I17+M17+Q17+U17+Y17+AC17+AG17+AK17+AO17+AS17</f>
        <v>8793.09</v>
      </c>
      <c r="F17" s="47" t="n">
        <f aca="false">ROUND(I16*(1+Sorted!$H$2),2)</f>
        <v>194.19</v>
      </c>
      <c r="G17" s="47" t="n">
        <f aca="false">MIN(F17,Sorted!$G$2)</f>
        <v>60</v>
      </c>
      <c r="H17" s="47" t="n">
        <v>0</v>
      </c>
      <c r="I17" s="47" t="n">
        <f aca="false">ROUND(F17-G17-H17,2)</f>
        <v>134.19</v>
      </c>
      <c r="J17" s="47" t="n">
        <f aca="false">ROUND(M16*(1+Sorted!$H$3),2)</f>
        <v>1195.08</v>
      </c>
      <c r="K17" s="47" t="n">
        <f aca="false">MIN(J17,Sorted!$G$3)</f>
        <v>55</v>
      </c>
      <c r="L17" s="47" t="n">
        <v>0</v>
      </c>
      <c r="M17" s="47" t="n">
        <f aca="false">ROUND(J17-K17-L17,2)</f>
        <v>1140.08</v>
      </c>
      <c r="N17" s="47" t="n">
        <f aca="false">ROUND(Q16*(1+Sorted!$H$4),2)</f>
        <v>1428.42</v>
      </c>
      <c r="O17" s="47" t="n">
        <f aca="false">MIN(N17,Sorted!$G$4)</f>
        <v>240</v>
      </c>
      <c r="P17" s="47" t="n">
        <v>0</v>
      </c>
      <c r="Q17" s="47" t="n">
        <f aca="false">ROUND(N17-O17-P17,2)</f>
        <v>1188.42</v>
      </c>
      <c r="R17" s="47" t="n">
        <f aca="false">ROUND(U16*(1+Sorted!$H$5),2)</f>
        <v>6505.4</v>
      </c>
      <c r="S17" s="47" t="n">
        <f aca="false">MIN(R17,Sorted!$G$5)</f>
        <v>175</v>
      </c>
      <c r="T17" s="47" t="n">
        <v>0</v>
      </c>
      <c r="U17" s="47" t="n">
        <f aca="false">ROUND(R17-S17-T17,2)</f>
        <v>6330.4</v>
      </c>
      <c r="V17" s="47" t="n">
        <f aca="false">ROUND(Y16*(1+Sorted!$H$6),2)</f>
        <v>0</v>
      </c>
      <c r="W17" s="47" t="n">
        <f aca="false">MIN(V17,Sorted!$G$6)</f>
        <v>0</v>
      </c>
      <c r="X17" s="47" t="n">
        <v>0</v>
      </c>
      <c r="Y17" s="47" t="n">
        <f aca="false">ROUND(V17-W17-X17,2)</f>
        <v>0</v>
      </c>
      <c r="Z17" s="47" t="n">
        <f aca="false">ROUND(AC16*(1+Sorted!$H$7),2)</f>
        <v>0</v>
      </c>
      <c r="AA17" s="47" t="n">
        <f aca="false">MIN(Z17,Sorted!$G$7)</f>
        <v>0</v>
      </c>
      <c r="AB17" s="47" t="n">
        <v>0</v>
      </c>
      <c r="AC17" s="47" t="n">
        <f aca="false">ROUND(Z17-AA17-AB17,2)</f>
        <v>0</v>
      </c>
      <c r="AD17" s="47" t="n">
        <f aca="false">ROUND(AG16*(1+Sorted!$H$8),2)</f>
        <v>0</v>
      </c>
      <c r="AE17" s="47" t="n">
        <f aca="false">MIN(AD17,Sorted!$G$8)</f>
        <v>0</v>
      </c>
      <c r="AF17" s="47" t="n">
        <v>0</v>
      </c>
      <c r="AG17" s="47" t="n">
        <f aca="false">ROUND(AD17-AE17-AF17,2)</f>
        <v>0</v>
      </c>
      <c r="AH17" s="47" t="n">
        <f aca="false">ROUND(AK16*(1+Sorted!$H$9),2)</f>
        <v>0</v>
      </c>
      <c r="AI17" s="47" t="n">
        <f aca="false">MIN(AH17,Sorted!$G$9)</f>
        <v>0</v>
      </c>
      <c r="AJ17" s="47" t="n">
        <v>0</v>
      </c>
      <c r="AK17" s="47" t="n">
        <f aca="false">ROUND(AH17-AI17-AJ17,2)</f>
        <v>0</v>
      </c>
      <c r="AL17" s="47" t="n">
        <f aca="false">ROUND(AO16*(1+Sorted!$H$10),2)</f>
        <v>0</v>
      </c>
      <c r="AM17" s="47" t="n">
        <f aca="false">MIN(AL17,Sorted!$G$10)</f>
        <v>0</v>
      </c>
      <c r="AN17" s="47" t="n">
        <v>0</v>
      </c>
      <c r="AO17" s="47" t="n">
        <f aca="false">ROUND(AL17-AM17-AN17,2)</f>
        <v>0</v>
      </c>
      <c r="AP17" s="47" t="n">
        <f aca="false">ROUND(AS16*(1+Sorted!$H$11),2)</f>
        <v>0</v>
      </c>
      <c r="AQ17" s="47" t="n">
        <f aca="false">MIN(AP17,Sorted!$G$11)</f>
        <v>0</v>
      </c>
      <c r="AR17" s="47" t="n">
        <v>0</v>
      </c>
      <c r="AS17" s="47" t="n">
        <f aca="false">ROUND(AP17-AQ17-AR17,2)</f>
        <v>0</v>
      </c>
    </row>
    <row r="18" customFormat="false" ht="15" hidden="false" customHeight="false" outlineLevel="0" collapsed="false">
      <c r="A18" s="45" t="n">
        <v>15</v>
      </c>
      <c r="B18" s="46" t="n">
        <f aca="false">EDATE('My Debts'!$C$7,A18-1)</f>
        <v>46753</v>
      </c>
      <c r="C18" s="47" t="n">
        <v>0</v>
      </c>
      <c r="D18" s="47" t="n">
        <f aca="false">(F18+J18+N18+R18+V18+Z18+AD18+AH18+AL18+AP18)-(I18+M18+Q18+U18+Y18+AC18+AG18+AK18+AO18+AS18)</f>
        <v>530</v>
      </c>
      <c r="E18" s="48" t="n">
        <f aca="false">I18+M18+Q18+U18+Y18+AC18+AG18+AK18+AO18+AS18</f>
        <v>8432.03</v>
      </c>
      <c r="F18" s="47" t="n">
        <f aca="false">ROUND(I17*(1+Sorted!$H$2),2)</f>
        <v>135.48</v>
      </c>
      <c r="G18" s="47" t="n">
        <f aca="false">MIN(F18,Sorted!$G$2)</f>
        <v>60</v>
      </c>
      <c r="H18" s="47" t="n">
        <v>0</v>
      </c>
      <c r="I18" s="47" t="n">
        <f aca="false">ROUND(F18-G18-H18,2)</f>
        <v>75.48</v>
      </c>
      <c r="J18" s="47" t="n">
        <f aca="false">ROUND(M17*(1+Sorted!$H$3),2)</f>
        <v>1168.57</v>
      </c>
      <c r="K18" s="47" t="n">
        <f aca="false">MIN(J18,Sorted!$G$3)</f>
        <v>55</v>
      </c>
      <c r="L18" s="47" t="n">
        <v>0</v>
      </c>
      <c r="M18" s="47" t="n">
        <f aca="false">ROUND(J18-K18-L18,2)</f>
        <v>1113.57</v>
      </c>
      <c r="N18" s="47" t="n">
        <f aca="false">ROUND(Q17*(1+Sorted!$H$4),2)</f>
        <v>1195.75</v>
      </c>
      <c r="O18" s="47" t="n">
        <f aca="false">MIN(N18,Sorted!$G$4)</f>
        <v>240</v>
      </c>
      <c r="P18" s="47" t="n">
        <v>0</v>
      </c>
      <c r="Q18" s="47" t="n">
        <f aca="false">ROUND(N18-O18-P18,2)</f>
        <v>955.75</v>
      </c>
      <c r="R18" s="47" t="n">
        <f aca="false">ROUND(U17*(1+Sorted!$H$5),2)</f>
        <v>6462.23</v>
      </c>
      <c r="S18" s="47" t="n">
        <f aca="false">MIN(R18,Sorted!$G$5)</f>
        <v>175</v>
      </c>
      <c r="T18" s="47" t="n">
        <v>0</v>
      </c>
      <c r="U18" s="47" t="n">
        <f aca="false">ROUND(R18-S18-T18,2)</f>
        <v>6287.23</v>
      </c>
      <c r="V18" s="47" t="n">
        <f aca="false">ROUND(Y17*(1+Sorted!$H$6),2)</f>
        <v>0</v>
      </c>
      <c r="W18" s="47" t="n">
        <f aca="false">MIN(V18,Sorted!$G$6)</f>
        <v>0</v>
      </c>
      <c r="X18" s="47" t="n">
        <v>0</v>
      </c>
      <c r="Y18" s="47" t="n">
        <f aca="false">ROUND(V18-W18-X18,2)</f>
        <v>0</v>
      </c>
      <c r="Z18" s="47" t="n">
        <f aca="false">ROUND(AC17*(1+Sorted!$H$7),2)</f>
        <v>0</v>
      </c>
      <c r="AA18" s="47" t="n">
        <f aca="false">MIN(Z18,Sorted!$G$7)</f>
        <v>0</v>
      </c>
      <c r="AB18" s="47" t="n">
        <v>0</v>
      </c>
      <c r="AC18" s="47" t="n">
        <f aca="false">ROUND(Z18-AA18-AB18,2)</f>
        <v>0</v>
      </c>
      <c r="AD18" s="47" t="n">
        <f aca="false">ROUND(AG17*(1+Sorted!$H$8),2)</f>
        <v>0</v>
      </c>
      <c r="AE18" s="47" t="n">
        <f aca="false">MIN(AD18,Sorted!$G$8)</f>
        <v>0</v>
      </c>
      <c r="AF18" s="47" t="n">
        <v>0</v>
      </c>
      <c r="AG18" s="47" t="n">
        <f aca="false">ROUND(AD18-AE18-AF18,2)</f>
        <v>0</v>
      </c>
      <c r="AH18" s="47" t="n">
        <f aca="false">ROUND(AK17*(1+Sorted!$H$9),2)</f>
        <v>0</v>
      </c>
      <c r="AI18" s="47" t="n">
        <f aca="false">MIN(AH18,Sorted!$G$9)</f>
        <v>0</v>
      </c>
      <c r="AJ18" s="47" t="n">
        <v>0</v>
      </c>
      <c r="AK18" s="47" t="n">
        <f aca="false">ROUND(AH18-AI18-AJ18,2)</f>
        <v>0</v>
      </c>
      <c r="AL18" s="47" t="n">
        <f aca="false">ROUND(AO17*(1+Sorted!$H$10),2)</f>
        <v>0</v>
      </c>
      <c r="AM18" s="47" t="n">
        <f aca="false">MIN(AL18,Sorted!$G$10)</f>
        <v>0</v>
      </c>
      <c r="AN18" s="47" t="n">
        <v>0</v>
      </c>
      <c r="AO18" s="47" t="n">
        <f aca="false">ROUND(AL18-AM18-AN18,2)</f>
        <v>0</v>
      </c>
      <c r="AP18" s="47" t="n">
        <f aca="false">ROUND(AS17*(1+Sorted!$H$11),2)</f>
        <v>0</v>
      </c>
      <c r="AQ18" s="47" t="n">
        <f aca="false">MIN(AP18,Sorted!$G$11)</f>
        <v>0</v>
      </c>
      <c r="AR18" s="47" t="n">
        <v>0</v>
      </c>
      <c r="AS18" s="47" t="n">
        <f aca="false">ROUND(AP18-AQ18-AR18,2)</f>
        <v>0</v>
      </c>
    </row>
    <row r="19" customFormat="false" ht="15" hidden="false" customHeight="false" outlineLevel="0" collapsed="false">
      <c r="A19" s="45" t="n">
        <v>16</v>
      </c>
      <c r="B19" s="46" t="n">
        <f aca="false">EDATE('My Debts'!$C$7,A19-1)</f>
        <v>46784</v>
      </c>
      <c r="C19" s="47" t="n">
        <v>0</v>
      </c>
      <c r="D19" s="47" t="n">
        <f aca="false">(F19+J19+N19+R19+V19+Z19+AD19+AH19+AL19+AP19)-(I19+M19+Q19+U19+Y19+AC19+AG19+AK19+AO19+AS19)</f>
        <v>530</v>
      </c>
      <c r="E19" s="48" t="n">
        <f aca="false">I19+M19+Q19+U19+Y19+AC19+AG19+AK19+AO19+AS19</f>
        <v>8067.4</v>
      </c>
      <c r="F19" s="47" t="n">
        <f aca="false">ROUND(I18*(1+Sorted!$H$2),2)</f>
        <v>76.2</v>
      </c>
      <c r="G19" s="47" t="n">
        <f aca="false">MIN(F19,Sorted!$G$2)</f>
        <v>60</v>
      </c>
      <c r="H19" s="47" t="n">
        <v>0</v>
      </c>
      <c r="I19" s="47" t="n">
        <f aca="false">ROUND(F19-G19-H19,2)</f>
        <v>16.2</v>
      </c>
      <c r="J19" s="47" t="n">
        <f aca="false">ROUND(M18*(1+Sorted!$H$3),2)</f>
        <v>1141.4</v>
      </c>
      <c r="K19" s="47" t="n">
        <f aca="false">MIN(J19,Sorted!$G$3)</f>
        <v>55</v>
      </c>
      <c r="L19" s="47" t="n">
        <v>0</v>
      </c>
      <c r="M19" s="47" t="n">
        <f aca="false">ROUND(J19-K19-L19,2)</f>
        <v>1086.4</v>
      </c>
      <c r="N19" s="47" t="n">
        <f aca="false">ROUND(Q18*(1+Sorted!$H$4),2)</f>
        <v>961.64</v>
      </c>
      <c r="O19" s="47" t="n">
        <f aca="false">MIN(N19,Sorted!$G$4)</f>
        <v>240</v>
      </c>
      <c r="P19" s="47" t="n">
        <v>0</v>
      </c>
      <c r="Q19" s="47" t="n">
        <f aca="false">ROUND(N19-O19-P19,2)</f>
        <v>721.64</v>
      </c>
      <c r="R19" s="47" t="n">
        <f aca="false">ROUND(U18*(1+Sorted!$H$5),2)</f>
        <v>6418.16</v>
      </c>
      <c r="S19" s="47" t="n">
        <f aca="false">MIN(R19,Sorted!$G$5)</f>
        <v>175</v>
      </c>
      <c r="T19" s="47" t="n">
        <v>0</v>
      </c>
      <c r="U19" s="47" t="n">
        <f aca="false">ROUND(R19-S19-T19,2)</f>
        <v>6243.16</v>
      </c>
      <c r="V19" s="47" t="n">
        <f aca="false">ROUND(Y18*(1+Sorted!$H$6),2)</f>
        <v>0</v>
      </c>
      <c r="W19" s="47" t="n">
        <f aca="false">MIN(V19,Sorted!$G$6)</f>
        <v>0</v>
      </c>
      <c r="X19" s="47" t="n">
        <v>0</v>
      </c>
      <c r="Y19" s="47" t="n">
        <f aca="false">ROUND(V19-W19-X19,2)</f>
        <v>0</v>
      </c>
      <c r="Z19" s="47" t="n">
        <f aca="false">ROUND(AC18*(1+Sorted!$H$7),2)</f>
        <v>0</v>
      </c>
      <c r="AA19" s="47" t="n">
        <f aca="false">MIN(Z19,Sorted!$G$7)</f>
        <v>0</v>
      </c>
      <c r="AB19" s="47" t="n">
        <v>0</v>
      </c>
      <c r="AC19" s="47" t="n">
        <f aca="false">ROUND(Z19-AA19-AB19,2)</f>
        <v>0</v>
      </c>
      <c r="AD19" s="47" t="n">
        <f aca="false">ROUND(AG18*(1+Sorted!$H$8),2)</f>
        <v>0</v>
      </c>
      <c r="AE19" s="47" t="n">
        <f aca="false">MIN(AD19,Sorted!$G$8)</f>
        <v>0</v>
      </c>
      <c r="AF19" s="47" t="n">
        <v>0</v>
      </c>
      <c r="AG19" s="47" t="n">
        <f aca="false">ROUND(AD19-AE19-AF19,2)</f>
        <v>0</v>
      </c>
      <c r="AH19" s="47" t="n">
        <f aca="false">ROUND(AK18*(1+Sorted!$H$9),2)</f>
        <v>0</v>
      </c>
      <c r="AI19" s="47" t="n">
        <f aca="false">MIN(AH19,Sorted!$G$9)</f>
        <v>0</v>
      </c>
      <c r="AJ19" s="47" t="n">
        <v>0</v>
      </c>
      <c r="AK19" s="47" t="n">
        <f aca="false">ROUND(AH19-AI19-AJ19,2)</f>
        <v>0</v>
      </c>
      <c r="AL19" s="47" t="n">
        <f aca="false">ROUND(AO18*(1+Sorted!$H$10),2)</f>
        <v>0</v>
      </c>
      <c r="AM19" s="47" t="n">
        <f aca="false">MIN(AL19,Sorted!$G$10)</f>
        <v>0</v>
      </c>
      <c r="AN19" s="47" t="n">
        <v>0</v>
      </c>
      <c r="AO19" s="47" t="n">
        <f aca="false">ROUND(AL19-AM19-AN19,2)</f>
        <v>0</v>
      </c>
      <c r="AP19" s="47" t="n">
        <f aca="false">ROUND(AS18*(1+Sorted!$H$11),2)</f>
        <v>0</v>
      </c>
      <c r="AQ19" s="47" t="n">
        <f aca="false">MIN(AP19,Sorted!$G$11)</f>
        <v>0</v>
      </c>
      <c r="AR19" s="47" t="n">
        <v>0</v>
      </c>
      <c r="AS19" s="47" t="n">
        <f aca="false">ROUND(AP19-AQ19-AR19,2)</f>
        <v>0</v>
      </c>
    </row>
    <row r="20" customFormat="false" ht="15" hidden="false" customHeight="false" outlineLevel="0" collapsed="false">
      <c r="A20" s="45" t="n">
        <v>17</v>
      </c>
      <c r="B20" s="46" t="n">
        <f aca="false">EDATE('My Debts'!$C$7,A20-1)</f>
        <v>46813</v>
      </c>
      <c r="C20" s="47" t="n">
        <v>0</v>
      </c>
      <c r="D20" s="47" t="n">
        <f aca="false">(F20+J20+N20+R20+V20+Z20+AD20+AH20+AL20+AP20)-(I20+M20+Q20+U20+Y20+AC20+AG20+AK20+AO20+AS20)</f>
        <v>486.360000000001</v>
      </c>
      <c r="E20" s="48" t="n">
        <f aca="false">I20+M20+Q20+U20+Y20+AC20+AG20+AK20+AO20+AS20</f>
        <v>7742.81</v>
      </c>
      <c r="F20" s="47" t="n">
        <f aca="false">ROUND(I19*(1+Sorted!$H$2),2)</f>
        <v>16.36</v>
      </c>
      <c r="G20" s="47" t="n">
        <f aca="false">MIN(F20,Sorted!$G$2)</f>
        <v>16.36</v>
      </c>
      <c r="H20" s="47" t="n">
        <v>0</v>
      </c>
      <c r="I20" s="47" t="n">
        <f aca="false">ROUND(F20-G20-H20,2)</f>
        <v>0</v>
      </c>
      <c r="J20" s="47" t="n">
        <f aca="false">ROUND(M19*(1+Sorted!$H$3),2)</f>
        <v>1113.55</v>
      </c>
      <c r="K20" s="47" t="n">
        <f aca="false">MIN(J20,Sorted!$G$3)</f>
        <v>55</v>
      </c>
      <c r="L20" s="47" t="n">
        <v>0</v>
      </c>
      <c r="M20" s="47" t="n">
        <f aca="false">ROUND(J20-K20-L20,2)</f>
        <v>1058.55</v>
      </c>
      <c r="N20" s="47" t="n">
        <f aca="false">ROUND(Q19*(1+Sorted!$H$4),2)</f>
        <v>726.09</v>
      </c>
      <c r="O20" s="47" t="n">
        <f aca="false">MIN(N20,Sorted!$G$4)</f>
        <v>240</v>
      </c>
      <c r="P20" s="47" t="n">
        <v>0</v>
      </c>
      <c r="Q20" s="47" t="n">
        <f aca="false">ROUND(N20-O20-P20,2)</f>
        <v>486.09</v>
      </c>
      <c r="R20" s="47" t="n">
        <f aca="false">ROUND(U19*(1+Sorted!$H$5),2)</f>
        <v>6373.17</v>
      </c>
      <c r="S20" s="47" t="n">
        <f aca="false">MIN(R20,Sorted!$G$5)</f>
        <v>175</v>
      </c>
      <c r="T20" s="47" t="n">
        <v>0</v>
      </c>
      <c r="U20" s="47" t="n">
        <f aca="false">ROUND(R20-S20-T20,2)</f>
        <v>6198.17</v>
      </c>
      <c r="V20" s="47" t="n">
        <f aca="false">ROUND(Y19*(1+Sorted!$H$6),2)</f>
        <v>0</v>
      </c>
      <c r="W20" s="47" t="n">
        <f aca="false">MIN(V20,Sorted!$G$6)</f>
        <v>0</v>
      </c>
      <c r="X20" s="47" t="n">
        <v>0</v>
      </c>
      <c r="Y20" s="47" t="n">
        <f aca="false">ROUND(V20-W20-X20,2)</f>
        <v>0</v>
      </c>
      <c r="Z20" s="47" t="n">
        <f aca="false">ROUND(AC19*(1+Sorted!$H$7),2)</f>
        <v>0</v>
      </c>
      <c r="AA20" s="47" t="n">
        <f aca="false">MIN(Z20,Sorted!$G$7)</f>
        <v>0</v>
      </c>
      <c r="AB20" s="47" t="n">
        <v>0</v>
      </c>
      <c r="AC20" s="47" t="n">
        <f aca="false">ROUND(Z20-AA20-AB20,2)</f>
        <v>0</v>
      </c>
      <c r="AD20" s="47" t="n">
        <f aca="false">ROUND(AG19*(1+Sorted!$H$8),2)</f>
        <v>0</v>
      </c>
      <c r="AE20" s="47" t="n">
        <f aca="false">MIN(AD20,Sorted!$G$8)</f>
        <v>0</v>
      </c>
      <c r="AF20" s="47" t="n">
        <v>0</v>
      </c>
      <c r="AG20" s="47" t="n">
        <f aca="false">ROUND(AD20-AE20-AF20,2)</f>
        <v>0</v>
      </c>
      <c r="AH20" s="47" t="n">
        <f aca="false">ROUND(AK19*(1+Sorted!$H$9),2)</f>
        <v>0</v>
      </c>
      <c r="AI20" s="47" t="n">
        <f aca="false">MIN(AH20,Sorted!$G$9)</f>
        <v>0</v>
      </c>
      <c r="AJ20" s="47" t="n">
        <v>0</v>
      </c>
      <c r="AK20" s="47" t="n">
        <f aca="false">ROUND(AH20-AI20-AJ20,2)</f>
        <v>0</v>
      </c>
      <c r="AL20" s="47" t="n">
        <f aca="false">ROUND(AO19*(1+Sorted!$H$10),2)</f>
        <v>0</v>
      </c>
      <c r="AM20" s="47" t="n">
        <f aca="false">MIN(AL20,Sorted!$G$10)</f>
        <v>0</v>
      </c>
      <c r="AN20" s="47" t="n">
        <v>0</v>
      </c>
      <c r="AO20" s="47" t="n">
        <f aca="false">ROUND(AL20-AM20-AN20,2)</f>
        <v>0</v>
      </c>
      <c r="AP20" s="47" t="n">
        <f aca="false">ROUND(AS19*(1+Sorted!$H$11),2)</f>
        <v>0</v>
      </c>
      <c r="AQ20" s="47" t="n">
        <f aca="false">MIN(AP20,Sorted!$G$11)</f>
        <v>0</v>
      </c>
      <c r="AR20" s="47" t="n">
        <v>0</v>
      </c>
      <c r="AS20" s="47" t="n">
        <f aca="false">ROUND(AP20-AQ20-AR20,2)</f>
        <v>0</v>
      </c>
    </row>
    <row r="21" customFormat="false" ht="15" hidden="false" customHeight="false" outlineLevel="0" collapsed="false">
      <c r="A21" s="45" t="n">
        <v>18</v>
      </c>
      <c r="B21" s="46" t="n">
        <f aca="false">EDATE('My Debts'!$C$7,A21-1)</f>
        <v>46844</v>
      </c>
      <c r="C21" s="47" t="n">
        <v>0</v>
      </c>
      <c r="D21" s="47" t="n">
        <f aca="false">(F21+J21+N21+R21+V21+Z21+AD21+AH21+AL21+AP21)-(I21+M21+Q21+U21+Y21+AC21+AG21+AK21+AO21+AS21)</f>
        <v>470</v>
      </c>
      <c r="E21" s="48" t="n">
        <f aca="false">I21+M21+Q21+U21+Y21+AC21+AG21+AK21+AO21+AS21</f>
        <v>7431.34</v>
      </c>
      <c r="F21" s="47" t="n">
        <f aca="false">ROUND(I20*(1+Sorted!$H$2),2)</f>
        <v>0</v>
      </c>
      <c r="G21" s="47" t="n">
        <f aca="false">MIN(F21,Sorted!$G$2)</f>
        <v>0</v>
      </c>
      <c r="H21" s="47" t="n">
        <v>0</v>
      </c>
      <c r="I21" s="47" t="n">
        <f aca="false">ROUND(F21-G21-H21,2)</f>
        <v>0</v>
      </c>
      <c r="J21" s="47" t="n">
        <f aca="false">ROUND(M20*(1+Sorted!$H$3),2)</f>
        <v>1085</v>
      </c>
      <c r="K21" s="47" t="n">
        <f aca="false">MIN(J21,Sorted!$G$3)</f>
        <v>55</v>
      </c>
      <c r="L21" s="47" t="n">
        <v>0</v>
      </c>
      <c r="M21" s="47" t="n">
        <f aca="false">ROUND(J21-K21-L21,2)</f>
        <v>1030</v>
      </c>
      <c r="N21" s="47" t="n">
        <f aca="false">ROUND(Q20*(1+Sorted!$H$4),2)</f>
        <v>489.09</v>
      </c>
      <c r="O21" s="47" t="n">
        <f aca="false">MIN(N21,Sorted!$G$4)</f>
        <v>240</v>
      </c>
      <c r="P21" s="47" t="n">
        <v>0</v>
      </c>
      <c r="Q21" s="47" t="n">
        <f aca="false">ROUND(N21-O21-P21,2)</f>
        <v>249.09</v>
      </c>
      <c r="R21" s="47" t="n">
        <f aca="false">ROUND(U20*(1+Sorted!$H$5),2)</f>
        <v>6327.25</v>
      </c>
      <c r="S21" s="47" t="n">
        <f aca="false">MIN(R21,Sorted!$G$5)</f>
        <v>175</v>
      </c>
      <c r="T21" s="47" t="n">
        <v>0</v>
      </c>
      <c r="U21" s="47" t="n">
        <f aca="false">ROUND(R21-S21-T21,2)</f>
        <v>6152.25</v>
      </c>
      <c r="V21" s="47" t="n">
        <f aca="false">ROUND(Y20*(1+Sorted!$H$6),2)</f>
        <v>0</v>
      </c>
      <c r="W21" s="47" t="n">
        <f aca="false">MIN(V21,Sorted!$G$6)</f>
        <v>0</v>
      </c>
      <c r="X21" s="47" t="n">
        <v>0</v>
      </c>
      <c r="Y21" s="47" t="n">
        <f aca="false">ROUND(V21-W21-X21,2)</f>
        <v>0</v>
      </c>
      <c r="Z21" s="47" t="n">
        <f aca="false">ROUND(AC20*(1+Sorted!$H$7),2)</f>
        <v>0</v>
      </c>
      <c r="AA21" s="47" t="n">
        <f aca="false">MIN(Z21,Sorted!$G$7)</f>
        <v>0</v>
      </c>
      <c r="AB21" s="47" t="n">
        <v>0</v>
      </c>
      <c r="AC21" s="47" t="n">
        <f aca="false">ROUND(Z21-AA21-AB21,2)</f>
        <v>0</v>
      </c>
      <c r="AD21" s="47" t="n">
        <f aca="false">ROUND(AG20*(1+Sorted!$H$8),2)</f>
        <v>0</v>
      </c>
      <c r="AE21" s="47" t="n">
        <f aca="false">MIN(AD21,Sorted!$G$8)</f>
        <v>0</v>
      </c>
      <c r="AF21" s="47" t="n">
        <v>0</v>
      </c>
      <c r="AG21" s="47" t="n">
        <f aca="false">ROUND(AD21-AE21-AF21,2)</f>
        <v>0</v>
      </c>
      <c r="AH21" s="47" t="n">
        <f aca="false">ROUND(AK20*(1+Sorted!$H$9),2)</f>
        <v>0</v>
      </c>
      <c r="AI21" s="47" t="n">
        <f aca="false">MIN(AH21,Sorted!$G$9)</f>
        <v>0</v>
      </c>
      <c r="AJ21" s="47" t="n">
        <v>0</v>
      </c>
      <c r="AK21" s="47" t="n">
        <f aca="false">ROUND(AH21-AI21-AJ21,2)</f>
        <v>0</v>
      </c>
      <c r="AL21" s="47" t="n">
        <f aca="false">ROUND(AO20*(1+Sorted!$H$10),2)</f>
        <v>0</v>
      </c>
      <c r="AM21" s="47" t="n">
        <f aca="false">MIN(AL21,Sorted!$G$10)</f>
        <v>0</v>
      </c>
      <c r="AN21" s="47" t="n">
        <v>0</v>
      </c>
      <c r="AO21" s="47" t="n">
        <f aca="false">ROUND(AL21-AM21-AN21,2)</f>
        <v>0</v>
      </c>
      <c r="AP21" s="47" t="n">
        <f aca="false">ROUND(AS20*(1+Sorted!$H$11),2)</f>
        <v>0</v>
      </c>
      <c r="AQ21" s="47" t="n">
        <f aca="false">MIN(AP21,Sorted!$G$11)</f>
        <v>0</v>
      </c>
      <c r="AR21" s="47" t="n">
        <v>0</v>
      </c>
      <c r="AS21" s="47" t="n">
        <f aca="false">ROUND(AP21-AQ21-AR21,2)</f>
        <v>0</v>
      </c>
    </row>
    <row r="22" customFormat="false" ht="15" hidden="false" customHeight="false" outlineLevel="0" collapsed="false">
      <c r="A22" s="45" t="n">
        <v>19</v>
      </c>
      <c r="B22" s="46" t="n">
        <f aca="false">EDATE('My Debts'!$C$7,A22-1)</f>
        <v>46874</v>
      </c>
      <c r="C22" s="47" t="n">
        <v>0</v>
      </c>
      <c r="D22" s="47" t="n">
        <f aca="false">(F22+J22+N22+R22+V22+Z22+AD22+AH22+AL22+AP22)-(I22+M22+Q22+U22+Y22+AC22+AG22+AK22+AO22+AS22)</f>
        <v>470</v>
      </c>
      <c r="E22" s="48" t="n">
        <f aca="false">I22+M22+Q22+U22+Y22+AC22+AG22+AK22+AO22+AS22</f>
        <v>7116.74</v>
      </c>
      <c r="F22" s="47" t="n">
        <f aca="false">ROUND(I21*(1+Sorted!$H$2),2)</f>
        <v>0</v>
      </c>
      <c r="G22" s="47" t="n">
        <f aca="false">MIN(F22,Sorted!$G$2)</f>
        <v>0</v>
      </c>
      <c r="H22" s="47" t="n">
        <v>0</v>
      </c>
      <c r="I22" s="47" t="n">
        <f aca="false">ROUND(F22-G22-H22,2)</f>
        <v>0</v>
      </c>
      <c r="J22" s="47" t="n">
        <f aca="false">ROUND(M21*(1+Sorted!$H$3),2)</f>
        <v>1055.74</v>
      </c>
      <c r="K22" s="47" t="n">
        <f aca="false">MIN(J22,Sorted!$G$3)</f>
        <v>55</v>
      </c>
      <c r="L22" s="47" t="n">
        <v>0</v>
      </c>
      <c r="M22" s="47" t="n">
        <f aca="false">ROUND(J22-K22-L22,2)</f>
        <v>1000.74</v>
      </c>
      <c r="N22" s="47" t="n">
        <f aca="false">ROUND(Q21*(1+Sorted!$H$4),2)</f>
        <v>250.63</v>
      </c>
      <c r="O22" s="47" t="n">
        <f aca="false">MIN(N22,Sorted!$G$4)</f>
        <v>240</v>
      </c>
      <c r="P22" s="47" t="n">
        <v>0</v>
      </c>
      <c r="Q22" s="47" t="n">
        <f aca="false">ROUND(N22-O22-P22,2)</f>
        <v>10.63</v>
      </c>
      <c r="R22" s="47" t="n">
        <f aca="false">ROUND(U21*(1+Sorted!$H$5),2)</f>
        <v>6280.37</v>
      </c>
      <c r="S22" s="47" t="n">
        <f aca="false">MIN(R22,Sorted!$G$5)</f>
        <v>175</v>
      </c>
      <c r="T22" s="47" t="n">
        <v>0</v>
      </c>
      <c r="U22" s="47" t="n">
        <f aca="false">ROUND(R22-S22-T22,2)</f>
        <v>6105.37</v>
      </c>
      <c r="V22" s="47" t="n">
        <f aca="false">ROUND(Y21*(1+Sorted!$H$6),2)</f>
        <v>0</v>
      </c>
      <c r="W22" s="47" t="n">
        <f aca="false">MIN(V22,Sorted!$G$6)</f>
        <v>0</v>
      </c>
      <c r="X22" s="47" t="n">
        <v>0</v>
      </c>
      <c r="Y22" s="47" t="n">
        <f aca="false">ROUND(V22-W22-X22,2)</f>
        <v>0</v>
      </c>
      <c r="Z22" s="47" t="n">
        <f aca="false">ROUND(AC21*(1+Sorted!$H$7),2)</f>
        <v>0</v>
      </c>
      <c r="AA22" s="47" t="n">
        <f aca="false">MIN(Z22,Sorted!$G$7)</f>
        <v>0</v>
      </c>
      <c r="AB22" s="47" t="n">
        <v>0</v>
      </c>
      <c r="AC22" s="47" t="n">
        <f aca="false">ROUND(Z22-AA22-AB22,2)</f>
        <v>0</v>
      </c>
      <c r="AD22" s="47" t="n">
        <f aca="false">ROUND(AG21*(1+Sorted!$H$8),2)</f>
        <v>0</v>
      </c>
      <c r="AE22" s="47" t="n">
        <f aca="false">MIN(AD22,Sorted!$G$8)</f>
        <v>0</v>
      </c>
      <c r="AF22" s="47" t="n">
        <v>0</v>
      </c>
      <c r="AG22" s="47" t="n">
        <f aca="false">ROUND(AD22-AE22-AF22,2)</f>
        <v>0</v>
      </c>
      <c r="AH22" s="47" t="n">
        <f aca="false">ROUND(AK21*(1+Sorted!$H$9),2)</f>
        <v>0</v>
      </c>
      <c r="AI22" s="47" t="n">
        <f aca="false">MIN(AH22,Sorted!$G$9)</f>
        <v>0</v>
      </c>
      <c r="AJ22" s="47" t="n">
        <v>0</v>
      </c>
      <c r="AK22" s="47" t="n">
        <f aca="false">ROUND(AH22-AI22-AJ22,2)</f>
        <v>0</v>
      </c>
      <c r="AL22" s="47" t="n">
        <f aca="false">ROUND(AO21*(1+Sorted!$H$10),2)</f>
        <v>0</v>
      </c>
      <c r="AM22" s="47" t="n">
        <f aca="false">MIN(AL22,Sorted!$G$10)</f>
        <v>0</v>
      </c>
      <c r="AN22" s="47" t="n">
        <v>0</v>
      </c>
      <c r="AO22" s="47" t="n">
        <f aca="false">ROUND(AL22-AM22-AN22,2)</f>
        <v>0</v>
      </c>
      <c r="AP22" s="47" t="n">
        <f aca="false">ROUND(AS21*(1+Sorted!$H$11),2)</f>
        <v>0</v>
      </c>
      <c r="AQ22" s="47" t="n">
        <f aca="false">MIN(AP22,Sorted!$G$11)</f>
        <v>0</v>
      </c>
      <c r="AR22" s="47" t="n">
        <v>0</v>
      </c>
      <c r="AS22" s="47" t="n">
        <f aca="false">ROUND(AP22-AQ22-AR22,2)</f>
        <v>0</v>
      </c>
    </row>
    <row r="23" customFormat="false" ht="15" hidden="false" customHeight="false" outlineLevel="0" collapsed="false">
      <c r="A23" s="45" t="n">
        <v>20</v>
      </c>
      <c r="B23" s="46" t="n">
        <f aca="false">EDATE('My Debts'!$C$7,A23-1)</f>
        <v>46905</v>
      </c>
      <c r="C23" s="47" t="n">
        <v>0</v>
      </c>
      <c r="D23" s="47" t="n">
        <f aca="false">(F23+J23+N23+R23+V23+Z23+AD23+AH23+AL23+AP23)-(I23+M23+Q23+U23+Y23+AC23+AG23+AK23+AO23+AS23)</f>
        <v>240.7</v>
      </c>
      <c r="E23" s="48" t="n">
        <f aca="false">I23+M23+Q23+U23+Y23+AC23+AG23+AK23+AO23+AS23</f>
        <v>7028.26</v>
      </c>
      <c r="F23" s="47" t="n">
        <f aca="false">ROUND(I22*(1+Sorted!$H$2),2)</f>
        <v>0</v>
      </c>
      <c r="G23" s="47" t="n">
        <f aca="false">MIN(F23,Sorted!$G$2)</f>
        <v>0</v>
      </c>
      <c r="H23" s="47" t="n">
        <v>0</v>
      </c>
      <c r="I23" s="47" t="n">
        <f aca="false">ROUND(F23-G23-H23,2)</f>
        <v>0</v>
      </c>
      <c r="J23" s="47" t="n">
        <f aca="false">ROUND(M22*(1+Sorted!$H$3),2)</f>
        <v>1025.75</v>
      </c>
      <c r="K23" s="47" t="n">
        <f aca="false">MIN(J23,Sorted!$G$3)</f>
        <v>55</v>
      </c>
      <c r="L23" s="47" t="n">
        <v>0</v>
      </c>
      <c r="M23" s="47" t="n">
        <f aca="false">ROUND(J23-K23-L23,2)</f>
        <v>970.75</v>
      </c>
      <c r="N23" s="47" t="n">
        <f aca="false">ROUND(Q22*(1+Sorted!$H$4),2)</f>
        <v>10.7</v>
      </c>
      <c r="O23" s="47" t="n">
        <f aca="false">MIN(N23,Sorted!$G$4)</f>
        <v>10.7</v>
      </c>
      <c r="P23" s="47" t="n">
        <v>0</v>
      </c>
      <c r="Q23" s="47" t="n">
        <f aca="false">ROUND(N23-O23-P23,2)</f>
        <v>0</v>
      </c>
      <c r="R23" s="47" t="n">
        <f aca="false">ROUND(U22*(1+Sorted!$H$5),2)</f>
        <v>6232.51</v>
      </c>
      <c r="S23" s="47" t="n">
        <f aca="false">MIN(R23,Sorted!$G$5)</f>
        <v>175</v>
      </c>
      <c r="T23" s="47" t="n">
        <v>0</v>
      </c>
      <c r="U23" s="47" t="n">
        <f aca="false">ROUND(R23-S23-T23,2)</f>
        <v>6057.51</v>
      </c>
      <c r="V23" s="47" t="n">
        <f aca="false">ROUND(Y22*(1+Sorted!$H$6),2)</f>
        <v>0</v>
      </c>
      <c r="W23" s="47" t="n">
        <f aca="false">MIN(V23,Sorted!$G$6)</f>
        <v>0</v>
      </c>
      <c r="X23" s="47" t="n">
        <v>0</v>
      </c>
      <c r="Y23" s="47" t="n">
        <f aca="false">ROUND(V23-W23-X23,2)</f>
        <v>0</v>
      </c>
      <c r="Z23" s="47" t="n">
        <f aca="false">ROUND(AC22*(1+Sorted!$H$7),2)</f>
        <v>0</v>
      </c>
      <c r="AA23" s="47" t="n">
        <f aca="false">MIN(Z23,Sorted!$G$7)</f>
        <v>0</v>
      </c>
      <c r="AB23" s="47" t="n">
        <v>0</v>
      </c>
      <c r="AC23" s="47" t="n">
        <f aca="false">ROUND(Z23-AA23-AB23,2)</f>
        <v>0</v>
      </c>
      <c r="AD23" s="47" t="n">
        <f aca="false">ROUND(AG22*(1+Sorted!$H$8),2)</f>
        <v>0</v>
      </c>
      <c r="AE23" s="47" t="n">
        <f aca="false">MIN(AD23,Sorted!$G$8)</f>
        <v>0</v>
      </c>
      <c r="AF23" s="47" t="n">
        <v>0</v>
      </c>
      <c r="AG23" s="47" t="n">
        <f aca="false">ROUND(AD23-AE23-AF23,2)</f>
        <v>0</v>
      </c>
      <c r="AH23" s="47" t="n">
        <f aca="false">ROUND(AK22*(1+Sorted!$H$9),2)</f>
        <v>0</v>
      </c>
      <c r="AI23" s="47" t="n">
        <f aca="false">MIN(AH23,Sorted!$G$9)</f>
        <v>0</v>
      </c>
      <c r="AJ23" s="47" t="n">
        <v>0</v>
      </c>
      <c r="AK23" s="47" t="n">
        <f aca="false">ROUND(AH23-AI23-AJ23,2)</f>
        <v>0</v>
      </c>
      <c r="AL23" s="47" t="n">
        <f aca="false">ROUND(AO22*(1+Sorted!$H$10),2)</f>
        <v>0</v>
      </c>
      <c r="AM23" s="47" t="n">
        <f aca="false">MIN(AL23,Sorted!$G$10)</f>
        <v>0</v>
      </c>
      <c r="AN23" s="47" t="n">
        <v>0</v>
      </c>
      <c r="AO23" s="47" t="n">
        <f aca="false">ROUND(AL23-AM23-AN23,2)</f>
        <v>0</v>
      </c>
      <c r="AP23" s="47" t="n">
        <f aca="false">ROUND(AS22*(1+Sorted!$H$11),2)</f>
        <v>0</v>
      </c>
      <c r="AQ23" s="47" t="n">
        <f aca="false">MIN(AP23,Sorted!$G$11)</f>
        <v>0</v>
      </c>
      <c r="AR23" s="47" t="n">
        <v>0</v>
      </c>
      <c r="AS23" s="47" t="n">
        <f aca="false">ROUND(AP23-AQ23-AR23,2)</f>
        <v>0</v>
      </c>
    </row>
    <row r="24" customFormat="false" ht="15" hidden="false" customHeight="false" outlineLevel="0" collapsed="false">
      <c r="A24" s="45" t="n">
        <v>21</v>
      </c>
      <c r="B24" s="46" t="n">
        <f aca="false">EDATE('My Debts'!$C$7,A24-1)</f>
        <v>46935</v>
      </c>
      <c r="C24" s="47" t="n">
        <v>0</v>
      </c>
      <c r="D24" s="47" t="n">
        <f aca="false">(F24+J24+N24+R24+V24+Z24+AD24+AH24+AL24+AP24)-(I24+M24+Q24+U24+Y24+AC24+AG24+AK24+AO24+AS24)</f>
        <v>230</v>
      </c>
      <c r="E24" s="48" t="n">
        <f aca="false">I24+M24+Q24+U24+Y24+AC24+AG24+AK24+AO24+AS24</f>
        <v>6948.67</v>
      </c>
      <c r="F24" s="47" t="n">
        <f aca="false">ROUND(I23*(1+Sorted!$H$2),2)</f>
        <v>0</v>
      </c>
      <c r="G24" s="47" t="n">
        <f aca="false">MIN(F24,Sorted!$G$2)</f>
        <v>0</v>
      </c>
      <c r="H24" s="47" t="n">
        <v>0</v>
      </c>
      <c r="I24" s="47" t="n">
        <f aca="false">ROUND(F24-G24-H24,2)</f>
        <v>0</v>
      </c>
      <c r="J24" s="47" t="n">
        <f aca="false">ROUND(M23*(1+Sorted!$H$3),2)</f>
        <v>995.01</v>
      </c>
      <c r="K24" s="47" t="n">
        <f aca="false">MIN(J24,Sorted!$G$3)</f>
        <v>55</v>
      </c>
      <c r="L24" s="47" t="n">
        <v>0</v>
      </c>
      <c r="M24" s="47" t="n">
        <f aca="false">ROUND(J24-K24-L24,2)</f>
        <v>940.01</v>
      </c>
      <c r="N24" s="47" t="n">
        <f aca="false">ROUND(Q23*(1+Sorted!$H$4),2)</f>
        <v>0</v>
      </c>
      <c r="O24" s="47" t="n">
        <f aca="false">MIN(N24,Sorted!$G$4)</f>
        <v>0</v>
      </c>
      <c r="P24" s="47" t="n">
        <v>0</v>
      </c>
      <c r="Q24" s="47" t="n">
        <f aca="false">ROUND(N24-O24-P24,2)</f>
        <v>0</v>
      </c>
      <c r="R24" s="47" t="n">
        <f aca="false">ROUND(U23*(1+Sorted!$H$5),2)</f>
        <v>6183.66</v>
      </c>
      <c r="S24" s="47" t="n">
        <f aca="false">MIN(R24,Sorted!$G$5)</f>
        <v>175</v>
      </c>
      <c r="T24" s="47" t="n">
        <v>0</v>
      </c>
      <c r="U24" s="47" t="n">
        <f aca="false">ROUND(R24-S24-T24,2)</f>
        <v>6008.66</v>
      </c>
      <c r="V24" s="47" t="n">
        <f aca="false">ROUND(Y23*(1+Sorted!$H$6),2)</f>
        <v>0</v>
      </c>
      <c r="W24" s="47" t="n">
        <f aca="false">MIN(V24,Sorted!$G$6)</f>
        <v>0</v>
      </c>
      <c r="X24" s="47" t="n">
        <v>0</v>
      </c>
      <c r="Y24" s="47" t="n">
        <f aca="false">ROUND(V24-W24-X24,2)</f>
        <v>0</v>
      </c>
      <c r="Z24" s="47" t="n">
        <f aca="false">ROUND(AC23*(1+Sorted!$H$7),2)</f>
        <v>0</v>
      </c>
      <c r="AA24" s="47" t="n">
        <f aca="false">MIN(Z24,Sorted!$G$7)</f>
        <v>0</v>
      </c>
      <c r="AB24" s="47" t="n">
        <v>0</v>
      </c>
      <c r="AC24" s="47" t="n">
        <f aca="false">ROUND(Z24-AA24-AB24,2)</f>
        <v>0</v>
      </c>
      <c r="AD24" s="47" t="n">
        <f aca="false">ROUND(AG23*(1+Sorted!$H$8),2)</f>
        <v>0</v>
      </c>
      <c r="AE24" s="47" t="n">
        <f aca="false">MIN(AD24,Sorted!$G$8)</f>
        <v>0</v>
      </c>
      <c r="AF24" s="47" t="n">
        <v>0</v>
      </c>
      <c r="AG24" s="47" t="n">
        <f aca="false">ROUND(AD24-AE24-AF24,2)</f>
        <v>0</v>
      </c>
      <c r="AH24" s="47" t="n">
        <f aca="false">ROUND(AK23*(1+Sorted!$H$9),2)</f>
        <v>0</v>
      </c>
      <c r="AI24" s="47" t="n">
        <f aca="false">MIN(AH24,Sorted!$G$9)</f>
        <v>0</v>
      </c>
      <c r="AJ24" s="47" t="n">
        <v>0</v>
      </c>
      <c r="AK24" s="47" t="n">
        <f aca="false">ROUND(AH24-AI24-AJ24,2)</f>
        <v>0</v>
      </c>
      <c r="AL24" s="47" t="n">
        <f aca="false">ROUND(AO23*(1+Sorted!$H$10),2)</f>
        <v>0</v>
      </c>
      <c r="AM24" s="47" t="n">
        <f aca="false">MIN(AL24,Sorted!$G$10)</f>
        <v>0</v>
      </c>
      <c r="AN24" s="47" t="n">
        <v>0</v>
      </c>
      <c r="AO24" s="47" t="n">
        <f aca="false">ROUND(AL24-AM24-AN24,2)</f>
        <v>0</v>
      </c>
      <c r="AP24" s="47" t="n">
        <f aca="false">ROUND(AS23*(1+Sorted!$H$11),2)</f>
        <v>0</v>
      </c>
      <c r="AQ24" s="47" t="n">
        <f aca="false">MIN(AP24,Sorted!$G$11)</f>
        <v>0</v>
      </c>
      <c r="AR24" s="47" t="n">
        <v>0</v>
      </c>
      <c r="AS24" s="47" t="n">
        <f aca="false">ROUND(AP24-AQ24-AR24,2)</f>
        <v>0</v>
      </c>
    </row>
    <row r="25" customFormat="false" ht="15" hidden="false" customHeight="false" outlineLevel="0" collapsed="false">
      <c r="A25" s="45" t="n">
        <v>22</v>
      </c>
      <c r="B25" s="46" t="n">
        <f aca="false">EDATE('My Debts'!$C$7,A25-1)</f>
        <v>46966</v>
      </c>
      <c r="C25" s="47" t="n">
        <v>0</v>
      </c>
      <c r="D25" s="47" t="n">
        <f aca="false">(F25+J25+N25+R25+V25+Z25+AD25+AH25+AL25+AP25)-(I25+M25+Q25+U25+Y25+AC25+AG25+AK25+AO25+AS25)</f>
        <v>230</v>
      </c>
      <c r="E25" s="48" t="n">
        <f aca="false">I25+M25+Q25+U25+Y25+AC25+AG25+AK25+AO25+AS25</f>
        <v>6867.29</v>
      </c>
      <c r="F25" s="47" t="n">
        <f aca="false">ROUND(I24*(1+Sorted!$H$2),2)</f>
        <v>0</v>
      </c>
      <c r="G25" s="47" t="n">
        <f aca="false">MIN(F25,Sorted!$G$2)</f>
        <v>0</v>
      </c>
      <c r="H25" s="47" t="n">
        <v>0</v>
      </c>
      <c r="I25" s="47" t="n">
        <f aca="false">ROUND(F25-G25-H25,2)</f>
        <v>0</v>
      </c>
      <c r="J25" s="47" t="n">
        <f aca="false">ROUND(M24*(1+Sorted!$H$3),2)</f>
        <v>963.5</v>
      </c>
      <c r="K25" s="47" t="n">
        <f aca="false">MIN(J25,Sorted!$G$3)</f>
        <v>55</v>
      </c>
      <c r="L25" s="47" t="n">
        <v>0</v>
      </c>
      <c r="M25" s="47" t="n">
        <f aca="false">ROUND(J25-K25-L25,2)</f>
        <v>908.5</v>
      </c>
      <c r="N25" s="47" t="n">
        <f aca="false">ROUND(Q24*(1+Sorted!$H$4),2)</f>
        <v>0</v>
      </c>
      <c r="O25" s="47" t="n">
        <f aca="false">MIN(N25,Sorted!$G$4)</f>
        <v>0</v>
      </c>
      <c r="P25" s="47" t="n">
        <v>0</v>
      </c>
      <c r="Q25" s="47" t="n">
        <f aca="false">ROUND(N25-O25-P25,2)</f>
        <v>0</v>
      </c>
      <c r="R25" s="47" t="n">
        <f aca="false">ROUND(U24*(1+Sorted!$H$5),2)</f>
        <v>6133.79</v>
      </c>
      <c r="S25" s="47" t="n">
        <f aca="false">MIN(R25,Sorted!$G$5)</f>
        <v>175</v>
      </c>
      <c r="T25" s="47" t="n">
        <v>0</v>
      </c>
      <c r="U25" s="47" t="n">
        <f aca="false">ROUND(R25-S25-T25,2)</f>
        <v>5958.79</v>
      </c>
      <c r="V25" s="47" t="n">
        <f aca="false">ROUND(Y24*(1+Sorted!$H$6),2)</f>
        <v>0</v>
      </c>
      <c r="W25" s="47" t="n">
        <f aca="false">MIN(V25,Sorted!$G$6)</f>
        <v>0</v>
      </c>
      <c r="X25" s="47" t="n">
        <v>0</v>
      </c>
      <c r="Y25" s="47" t="n">
        <f aca="false">ROUND(V25-W25-X25,2)</f>
        <v>0</v>
      </c>
      <c r="Z25" s="47" t="n">
        <f aca="false">ROUND(AC24*(1+Sorted!$H$7),2)</f>
        <v>0</v>
      </c>
      <c r="AA25" s="47" t="n">
        <f aca="false">MIN(Z25,Sorted!$G$7)</f>
        <v>0</v>
      </c>
      <c r="AB25" s="47" t="n">
        <v>0</v>
      </c>
      <c r="AC25" s="47" t="n">
        <f aca="false">ROUND(Z25-AA25-AB25,2)</f>
        <v>0</v>
      </c>
      <c r="AD25" s="47" t="n">
        <f aca="false">ROUND(AG24*(1+Sorted!$H$8),2)</f>
        <v>0</v>
      </c>
      <c r="AE25" s="47" t="n">
        <f aca="false">MIN(AD25,Sorted!$G$8)</f>
        <v>0</v>
      </c>
      <c r="AF25" s="47" t="n">
        <v>0</v>
      </c>
      <c r="AG25" s="47" t="n">
        <f aca="false">ROUND(AD25-AE25-AF25,2)</f>
        <v>0</v>
      </c>
      <c r="AH25" s="47" t="n">
        <f aca="false">ROUND(AK24*(1+Sorted!$H$9),2)</f>
        <v>0</v>
      </c>
      <c r="AI25" s="47" t="n">
        <f aca="false">MIN(AH25,Sorted!$G$9)</f>
        <v>0</v>
      </c>
      <c r="AJ25" s="47" t="n">
        <v>0</v>
      </c>
      <c r="AK25" s="47" t="n">
        <f aca="false">ROUND(AH25-AI25-AJ25,2)</f>
        <v>0</v>
      </c>
      <c r="AL25" s="47" t="n">
        <f aca="false">ROUND(AO24*(1+Sorted!$H$10),2)</f>
        <v>0</v>
      </c>
      <c r="AM25" s="47" t="n">
        <f aca="false">MIN(AL25,Sorted!$G$10)</f>
        <v>0</v>
      </c>
      <c r="AN25" s="47" t="n">
        <v>0</v>
      </c>
      <c r="AO25" s="47" t="n">
        <f aca="false">ROUND(AL25-AM25-AN25,2)</f>
        <v>0</v>
      </c>
      <c r="AP25" s="47" t="n">
        <f aca="false">ROUND(AS24*(1+Sorted!$H$11),2)</f>
        <v>0</v>
      </c>
      <c r="AQ25" s="47" t="n">
        <f aca="false">MIN(AP25,Sorted!$G$11)</f>
        <v>0</v>
      </c>
      <c r="AR25" s="47" t="n">
        <v>0</v>
      </c>
      <c r="AS25" s="47" t="n">
        <f aca="false">ROUND(AP25-AQ25-AR25,2)</f>
        <v>0</v>
      </c>
    </row>
    <row r="26" customFormat="false" ht="15" hidden="false" customHeight="false" outlineLevel="0" collapsed="false">
      <c r="A26" s="45" t="n">
        <v>23</v>
      </c>
      <c r="B26" s="46" t="n">
        <f aca="false">EDATE('My Debts'!$C$7,A26-1)</f>
        <v>46997</v>
      </c>
      <c r="C26" s="47" t="n">
        <v>0</v>
      </c>
      <c r="D26" s="47" t="n">
        <f aca="false">(F26+J26+N26+R26+V26+Z26+AD26+AH26+AL26+AP26)-(I26+M26+Q26+U26+Y26+AC26+AG26+AK26+AO26+AS26)</f>
        <v>230</v>
      </c>
      <c r="E26" s="48" t="n">
        <f aca="false">I26+M26+Q26+U26+Y26+AC26+AG26+AK26+AO26+AS26</f>
        <v>6784.08</v>
      </c>
      <c r="F26" s="47" t="n">
        <f aca="false">ROUND(I25*(1+Sorted!$H$2),2)</f>
        <v>0</v>
      </c>
      <c r="G26" s="47" t="n">
        <f aca="false">MIN(F26,Sorted!$G$2)</f>
        <v>0</v>
      </c>
      <c r="H26" s="47" t="n">
        <v>0</v>
      </c>
      <c r="I26" s="47" t="n">
        <f aca="false">ROUND(F26-G26-H26,2)</f>
        <v>0</v>
      </c>
      <c r="J26" s="47" t="n">
        <f aca="false">ROUND(M25*(1+Sorted!$H$3),2)</f>
        <v>931.2</v>
      </c>
      <c r="K26" s="47" t="n">
        <f aca="false">MIN(J26,Sorted!$G$3)</f>
        <v>55</v>
      </c>
      <c r="L26" s="47" t="n">
        <v>0</v>
      </c>
      <c r="M26" s="47" t="n">
        <f aca="false">ROUND(J26-K26-L26,2)</f>
        <v>876.2</v>
      </c>
      <c r="N26" s="47" t="n">
        <f aca="false">ROUND(Q25*(1+Sorted!$H$4),2)</f>
        <v>0</v>
      </c>
      <c r="O26" s="47" t="n">
        <f aca="false">MIN(N26,Sorted!$G$4)</f>
        <v>0</v>
      </c>
      <c r="P26" s="47" t="n">
        <v>0</v>
      </c>
      <c r="Q26" s="47" t="n">
        <f aca="false">ROUND(N26-O26-P26,2)</f>
        <v>0</v>
      </c>
      <c r="R26" s="47" t="n">
        <f aca="false">ROUND(U25*(1+Sorted!$H$5),2)</f>
        <v>6082.88</v>
      </c>
      <c r="S26" s="47" t="n">
        <f aca="false">MIN(R26,Sorted!$G$5)</f>
        <v>175</v>
      </c>
      <c r="T26" s="47" t="n">
        <v>0</v>
      </c>
      <c r="U26" s="47" t="n">
        <f aca="false">ROUND(R26-S26-T26,2)</f>
        <v>5907.88</v>
      </c>
      <c r="V26" s="47" t="n">
        <f aca="false">ROUND(Y25*(1+Sorted!$H$6),2)</f>
        <v>0</v>
      </c>
      <c r="W26" s="47" t="n">
        <f aca="false">MIN(V26,Sorted!$G$6)</f>
        <v>0</v>
      </c>
      <c r="X26" s="47" t="n">
        <v>0</v>
      </c>
      <c r="Y26" s="47" t="n">
        <f aca="false">ROUND(V26-W26-X26,2)</f>
        <v>0</v>
      </c>
      <c r="Z26" s="47" t="n">
        <f aca="false">ROUND(AC25*(1+Sorted!$H$7),2)</f>
        <v>0</v>
      </c>
      <c r="AA26" s="47" t="n">
        <f aca="false">MIN(Z26,Sorted!$G$7)</f>
        <v>0</v>
      </c>
      <c r="AB26" s="47" t="n">
        <v>0</v>
      </c>
      <c r="AC26" s="47" t="n">
        <f aca="false">ROUND(Z26-AA26-AB26,2)</f>
        <v>0</v>
      </c>
      <c r="AD26" s="47" t="n">
        <f aca="false">ROUND(AG25*(1+Sorted!$H$8),2)</f>
        <v>0</v>
      </c>
      <c r="AE26" s="47" t="n">
        <f aca="false">MIN(AD26,Sorted!$G$8)</f>
        <v>0</v>
      </c>
      <c r="AF26" s="47" t="n">
        <v>0</v>
      </c>
      <c r="AG26" s="47" t="n">
        <f aca="false">ROUND(AD26-AE26-AF26,2)</f>
        <v>0</v>
      </c>
      <c r="AH26" s="47" t="n">
        <f aca="false">ROUND(AK25*(1+Sorted!$H$9),2)</f>
        <v>0</v>
      </c>
      <c r="AI26" s="47" t="n">
        <f aca="false">MIN(AH26,Sorted!$G$9)</f>
        <v>0</v>
      </c>
      <c r="AJ26" s="47" t="n">
        <v>0</v>
      </c>
      <c r="AK26" s="47" t="n">
        <f aca="false">ROUND(AH26-AI26-AJ26,2)</f>
        <v>0</v>
      </c>
      <c r="AL26" s="47" t="n">
        <f aca="false">ROUND(AO25*(1+Sorted!$H$10),2)</f>
        <v>0</v>
      </c>
      <c r="AM26" s="47" t="n">
        <f aca="false">MIN(AL26,Sorted!$G$10)</f>
        <v>0</v>
      </c>
      <c r="AN26" s="47" t="n">
        <v>0</v>
      </c>
      <c r="AO26" s="47" t="n">
        <f aca="false">ROUND(AL26-AM26-AN26,2)</f>
        <v>0</v>
      </c>
      <c r="AP26" s="47" t="n">
        <f aca="false">ROUND(AS25*(1+Sorted!$H$11),2)</f>
        <v>0</v>
      </c>
      <c r="AQ26" s="47" t="n">
        <f aca="false">MIN(AP26,Sorted!$G$11)</f>
        <v>0</v>
      </c>
      <c r="AR26" s="47" t="n">
        <v>0</v>
      </c>
      <c r="AS26" s="47" t="n">
        <f aca="false">ROUND(AP26-AQ26-AR26,2)</f>
        <v>0</v>
      </c>
    </row>
    <row r="27" customFormat="false" ht="15" hidden="false" customHeight="false" outlineLevel="0" collapsed="false">
      <c r="A27" s="45" t="n">
        <v>24</v>
      </c>
      <c r="B27" s="46" t="n">
        <f aca="false">EDATE('My Debts'!$C$7,A27-1)</f>
        <v>47027</v>
      </c>
      <c r="C27" s="47" t="n">
        <v>0</v>
      </c>
      <c r="D27" s="47" t="n">
        <f aca="false">(F27+J27+N27+R27+V27+Z27+AD27+AH27+AL27+AP27)-(I27+M27+Q27+U27+Y27+AC27+AG27+AK27+AO27+AS27)</f>
        <v>230</v>
      </c>
      <c r="E27" s="48" t="n">
        <f aca="false">I27+M27+Q27+U27+Y27+AC27+AG27+AK27+AO27+AS27</f>
        <v>6699.01</v>
      </c>
      <c r="F27" s="47" t="n">
        <f aca="false">ROUND(I26*(1+Sorted!$H$2),2)</f>
        <v>0</v>
      </c>
      <c r="G27" s="47" t="n">
        <f aca="false">MIN(F27,Sorted!$G$2)</f>
        <v>0</v>
      </c>
      <c r="H27" s="47" t="n">
        <v>0</v>
      </c>
      <c r="I27" s="47" t="n">
        <f aca="false">ROUND(F27-G27-H27,2)</f>
        <v>0</v>
      </c>
      <c r="J27" s="47" t="n">
        <f aca="false">ROUND(M26*(1+Sorted!$H$3),2)</f>
        <v>898.1</v>
      </c>
      <c r="K27" s="47" t="n">
        <f aca="false">MIN(J27,Sorted!$G$3)</f>
        <v>55</v>
      </c>
      <c r="L27" s="47" t="n">
        <v>0</v>
      </c>
      <c r="M27" s="47" t="n">
        <f aca="false">ROUND(J27-K27-L27,2)</f>
        <v>843.1</v>
      </c>
      <c r="N27" s="47" t="n">
        <f aca="false">ROUND(Q26*(1+Sorted!$H$4),2)</f>
        <v>0</v>
      </c>
      <c r="O27" s="47" t="n">
        <f aca="false">MIN(N27,Sorted!$G$4)</f>
        <v>0</v>
      </c>
      <c r="P27" s="47" t="n">
        <v>0</v>
      </c>
      <c r="Q27" s="47" t="n">
        <f aca="false">ROUND(N27-O27-P27,2)</f>
        <v>0</v>
      </c>
      <c r="R27" s="47" t="n">
        <f aca="false">ROUND(U26*(1+Sorted!$H$5),2)</f>
        <v>6030.91</v>
      </c>
      <c r="S27" s="47" t="n">
        <f aca="false">MIN(R27,Sorted!$G$5)</f>
        <v>175</v>
      </c>
      <c r="T27" s="47" t="n">
        <v>0</v>
      </c>
      <c r="U27" s="47" t="n">
        <f aca="false">ROUND(R27-S27-T27,2)</f>
        <v>5855.91</v>
      </c>
      <c r="V27" s="47" t="n">
        <f aca="false">ROUND(Y26*(1+Sorted!$H$6),2)</f>
        <v>0</v>
      </c>
      <c r="W27" s="47" t="n">
        <f aca="false">MIN(V27,Sorted!$G$6)</f>
        <v>0</v>
      </c>
      <c r="X27" s="47" t="n">
        <v>0</v>
      </c>
      <c r="Y27" s="47" t="n">
        <f aca="false">ROUND(V27-W27-X27,2)</f>
        <v>0</v>
      </c>
      <c r="Z27" s="47" t="n">
        <f aca="false">ROUND(AC26*(1+Sorted!$H$7),2)</f>
        <v>0</v>
      </c>
      <c r="AA27" s="47" t="n">
        <f aca="false">MIN(Z27,Sorted!$G$7)</f>
        <v>0</v>
      </c>
      <c r="AB27" s="47" t="n">
        <v>0</v>
      </c>
      <c r="AC27" s="47" t="n">
        <f aca="false">ROUND(Z27-AA27-AB27,2)</f>
        <v>0</v>
      </c>
      <c r="AD27" s="47" t="n">
        <f aca="false">ROUND(AG26*(1+Sorted!$H$8),2)</f>
        <v>0</v>
      </c>
      <c r="AE27" s="47" t="n">
        <f aca="false">MIN(AD27,Sorted!$G$8)</f>
        <v>0</v>
      </c>
      <c r="AF27" s="47" t="n">
        <v>0</v>
      </c>
      <c r="AG27" s="47" t="n">
        <f aca="false">ROUND(AD27-AE27-AF27,2)</f>
        <v>0</v>
      </c>
      <c r="AH27" s="47" t="n">
        <f aca="false">ROUND(AK26*(1+Sorted!$H$9),2)</f>
        <v>0</v>
      </c>
      <c r="AI27" s="47" t="n">
        <f aca="false">MIN(AH27,Sorted!$G$9)</f>
        <v>0</v>
      </c>
      <c r="AJ27" s="47" t="n">
        <v>0</v>
      </c>
      <c r="AK27" s="47" t="n">
        <f aca="false">ROUND(AH27-AI27-AJ27,2)</f>
        <v>0</v>
      </c>
      <c r="AL27" s="47" t="n">
        <f aca="false">ROUND(AO26*(1+Sorted!$H$10),2)</f>
        <v>0</v>
      </c>
      <c r="AM27" s="47" t="n">
        <f aca="false">MIN(AL27,Sorted!$G$10)</f>
        <v>0</v>
      </c>
      <c r="AN27" s="47" t="n">
        <v>0</v>
      </c>
      <c r="AO27" s="47" t="n">
        <f aca="false">ROUND(AL27-AM27-AN27,2)</f>
        <v>0</v>
      </c>
      <c r="AP27" s="47" t="n">
        <f aca="false">ROUND(AS26*(1+Sorted!$H$11),2)</f>
        <v>0</v>
      </c>
      <c r="AQ27" s="47" t="n">
        <f aca="false">MIN(AP27,Sorted!$G$11)</f>
        <v>0</v>
      </c>
      <c r="AR27" s="47" t="n">
        <v>0</v>
      </c>
      <c r="AS27" s="47" t="n">
        <f aca="false">ROUND(AP27-AQ27-AR27,2)</f>
        <v>0</v>
      </c>
    </row>
    <row r="28" customFormat="false" ht="15" hidden="false" customHeight="false" outlineLevel="0" collapsed="false">
      <c r="A28" s="45" t="n">
        <v>25</v>
      </c>
      <c r="B28" s="46" t="n">
        <f aca="false">EDATE('My Debts'!$C$7,A28-1)</f>
        <v>47058</v>
      </c>
      <c r="C28" s="47" t="n">
        <v>0</v>
      </c>
      <c r="D28" s="47" t="n">
        <f aca="false">(F28+J28+N28+R28+V28+Z28+AD28+AH28+AL28+AP28)-(I28+M28+Q28+U28+Y28+AC28+AG28+AK28+AO28+AS28)</f>
        <v>230</v>
      </c>
      <c r="E28" s="48" t="n">
        <f aca="false">I28+M28+Q28+U28+Y28+AC28+AG28+AK28+AO28+AS28</f>
        <v>6612.03</v>
      </c>
      <c r="F28" s="47" t="n">
        <f aca="false">ROUND(I27*(1+Sorted!$H$2),2)</f>
        <v>0</v>
      </c>
      <c r="G28" s="47" t="n">
        <f aca="false">MIN(F28,Sorted!$G$2)</f>
        <v>0</v>
      </c>
      <c r="H28" s="47" t="n">
        <v>0</v>
      </c>
      <c r="I28" s="47" t="n">
        <f aca="false">ROUND(F28-G28-H28,2)</f>
        <v>0</v>
      </c>
      <c r="J28" s="47" t="n">
        <f aca="false">ROUND(M27*(1+Sorted!$H$3),2)</f>
        <v>864.17</v>
      </c>
      <c r="K28" s="47" t="n">
        <f aca="false">MIN(J28,Sorted!$G$3)</f>
        <v>55</v>
      </c>
      <c r="L28" s="47" t="n">
        <v>0</v>
      </c>
      <c r="M28" s="47" t="n">
        <f aca="false">ROUND(J28-K28-L28,2)</f>
        <v>809.17</v>
      </c>
      <c r="N28" s="47" t="n">
        <f aca="false">ROUND(Q27*(1+Sorted!$H$4),2)</f>
        <v>0</v>
      </c>
      <c r="O28" s="47" t="n">
        <f aca="false">MIN(N28,Sorted!$G$4)</f>
        <v>0</v>
      </c>
      <c r="P28" s="47" t="n">
        <v>0</v>
      </c>
      <c r="Q28" s="47" t="n">
        <f aca="false">ROUND(N28-O28-P28,2)</f>
        <v>0</v>
      </c>
      <c r="R28" s="47" t="n">
        <f aca="false">ROUND(U27*(1+Sorted!$H$5),2)</f>
        <v>5977.86</v>
      </c>
      <c r="S28" s="47" t="n">
        <f aca="false">MIN(R28,Sorted!$G$5)</f>
        <v>175</v>
      </c>
      <c r="T28" s="47" t="n">
        <v>0</v>
      </c>
      <c r="U28" s="47" t="n">
        <f aca="false">ROUND(R28-S28-T28,2)</f>
        <v>5802.86</v>
      </c>
      <c r="V28" s="47" t="n">
        <f aca="false">ROUND(Y27*(1+Sorted!$H$6),2)</f>
        <v>0</v>
      </c>
      <c r="W28" s="47" t="n">
        <f aca="false">MIN(V28,Sorted!$G$6)</f>
        <v>0</v>
      </c>
      <c r="X28" s="47" t="n">
        <v>0</v>
      </c>
      <c r="Y28" s="47" t="n">
        <f aca="false">ROUND(V28-W28-X28,2)</f>
        <v>0</v>
      </c>
      <c r="Z28" s="47" t="n">
        <f aca="false">ROUND(AC27*(1+Sorted!$H$7),2)</f>
        <v>0</v>
      </c>
      <c r="AA28" s="47" t="n">
        <f aca="false">MIN(Z28,Sorted!$G$7)</f>
        <v>0</v>
      </c>
      <c r="AB28" s="47" t="n">
        <v>0</v>
      </c>
      <c r="AC28" s="47" t="n">
        <f aca="false">ROUND(Z28-AA28-AB28,2)</f>
        <v>0</v>
      </c>
      <c r="AD28" s="47" t="n">
        <f aca="false">ROUND(AG27*(1+Sorted!$H$8),2)</f>
        <v>0</v>
      </c>
      <c r="AE28" s="47" t="n">
        <f aca="false">MIN(AD28,Sorted!$G$8)</f>
        <v>0</v>
      </c>
      <c r="AF28" s="47" t="n">
        <v>0</v>
      </c>
      <c r="AG28" s="47" t="n">
        <f aca="false">ROUND(AD28-AE28-AF28,2)</f>
        <v>0</v>
      </c>
      <c r="AH28" s="47" t="n">
        <f aca="false">ROUND(AK27*(1+Sorted!$H$9),2)</f>
        <v>0</v>
      </c>
      <c r="AI28" s="47" t="n">
        <f aca="false">MIN(AH28,Sorted!$G$9)</f>
        <v>0</v>
      </c>
      <c r="AJ28" s="47" t="n">
        <v>0</v>
      </c>
      <c r="AK28" s="47" t="n">
        <f aca="false">ROUND(AH28-AI28-AJ28,2)</f>
        <v>0</v>
      </c>
      <c r="AL28" s="47" t="n">
        <f aca="false">ROUND(AO27*(1+Sorted!$H$10),2)</f>
        <v>0</v>
      </c>
      <c r="AM28" s="47" t="n">
        <f aca="false">MIN(AL28,Sorted!$G$10)</f>
        <v>0</v>
      </c>
      <c r="AN28" s="47" t="n">
        <v>0</v>
      </c>
      <c r="AO28" s="47" t="n">
        <f aca="false">ROUND(AL28-AM28-AN28,2)</f>
        <v>0</v>
      </c>
      <c r="AP28" s="47" t="n">
        <f aca="false">ROUND(AS27*(1+Sorted!$H$11),2)</f>
        <v>0</v>
      </c>
      <c r="AQ28" s="47" t="n">
        <f aca="false">MIN(AP28,Sorted!$G$11)</f>
        <v>0</v>
      </c>
      <c r="AR28" s="47" t="n">
        <v>0</v>
      </c>
      <c r="AS28" s="47" t="n">
        <f aca="false">ROUND(AP28-AQ28-AR28,2)</f>
        <v>0</v>
      </c>
    </row>
    <row r="29" customFormat="false" ht="15" hidden="false" customHeight="false" outlineLevel="0" collapsed="false">
      <c r="A29" s="45" t="n">
        <v>26</v>
      </c>
      <c r="B29" s="46" t="n">
        <f aca="false">EDATE('My Debts'!$C$7,A29-1)</f>
        <v>47088</v>
      </c>
      <c r="C29" s="47" t="n">
        <v>0</v>
      </c>
      <c r="D29" s="47" t="n">
        <f aca="false">(F29+J29+N29+R29+V29+Z29+AD29+AH29+AL29+AP29)-(I29+M29+Q29+U29+Y29+AC29+AG29+AK29+AO29+AS29)</f>
        <v>230</v>
      </c>
      <c r="E29" s="48" t="n">
        <f aca="false">I29+M29+Q29+U29+Y29+AC29+AG29+AK29+AO29+AS29</f>
        <v>6523.09</v>
      </c>
      <c r="F29" s="47" t="n">
        <f aca="false">ROUND(I28*(1+Sorted!$H$2),2)</f>
        <v>0</v>
      </c>
      <c r="G29" s="47" t="n">
        <f aca="false">MIN(F29,Sorted!$G$2)</f>
        <v>0</v>
      </c>
      <c r="H29" s="47" t="n">
        <v>0</v>
      </c>
      <c r="I29" s="47" t="n">
        <f aca="false">ROUND(F29-G29-H29,2)</f>
        <v>0</v>
      </c>
      <c r="J29" s="47" t="n">
        <f aca="false">ROUND(M28*(1+Sorted!$H$3),2)</f>
        <v>829.39</v>
      </c>
      <c r="K29" s="47" t="n">
        <f aca="false">MIN(J29,Sorted!$G$3)</f>
        <v>55</v>
      </c>
      <c r="L29" s="47" t="n">
        <v>0</v>
      </c>
      <c r="M29" s="47" t="n">
        <f aca="false">ROUND(J29-K29-L29,2)</f>
        <v>774.39</v>
      </c>
      <c r="N29" s="47" t="n">
        <f aca="false">ROUND(Q28*(1+Sorted!$H$4),2)</f>
        <v>0</v>
      </c>
      <c r="O29" s="47" t="n">
        <f aca="false">MIN(N29,Sorted!$G$4)</f>
        <v>0</v>
      </c>
      <c r="P29" s="47" t="n">
        <v>0</v>
      </c>
      <c r="Q29" s="47" t="n">
        <f aca="false">ROUND(N29-O29-P29,2)</f>
        <v>0</v>
      </c>
      <c r="R29" s="47" t="n">
        <f aca="false">ROUND(U28*(1+Sorted!$H$5),2)</f>
        <v>5923.7</v>
      </c>
      <c r="S29" s="47" t="n">
        <f aca="false">MIN(R29,Sorted!$G$5)</f>
        <v>175</v>
      </c>
      <c r="T29" s="47" t="n">
        <v>0</v>
      </c>
      <c r="U29" s="47" t="n">
        <f aca="false">ROUND(R29-S29-T29,2)</f>
        <v>5748.7</v>
      </c>
      <c r="V29" s="47" t="n">
        <f aca="false">ROUND(Y28*(1+Sorted!$H$6),2)</f>
        <v>0</v>
      </c>
      <c r="W29" s="47" t="n">
        <f aca="false">MIN(V29,Sorted!$G$6)</f>
        <v>0</v>
      </c>
      <c r="X29" s="47" t="n">
        <v>0</v>
      </c>
      <c r="Y29" s="47" t="n">
        <f aca="false">ROUND(V29-W29-X29,2)</f>
        <v>0</v>
      </c>
      <c r="Z29" s="47" t="n">
        <f aca="false">ROUND(AC28*(1+Sorted!$H$7),2)</f>
        <v>0</v>
      </c>
      <c r="AA29" s="47" t="n">
        <f aca="false">MIN(Z29,Sorted!$G$7)</f>
        <v>0</v>
      </c>
      <c r="AB29" s="47" t="n">
        <v>0</v>
      </c>
      <c r="AC29" s="47" t="n">
        <f aca="false">ROUND(Z29-AA29-AB29,2)</f>
        <v>0</v>
      </c>
      <c r="AD29" s="47" t="n">
        <f aca="false">ROUND(AG28*(1+Sorted!$H$8),2)</f>
        <v>0</v>
      </c>
      <c r="AE29" s="47" t="n">
        <f aca="false">MIN(AD29,Sorted!$G$8)</f>
        <v>0</v>
      </c>
      <c r="AF29" s="47" t="n">
        <v>0</v>
      </c>
      <c r="AG29" s="47" t="n">
        <f aca="false">ROUND(AD29-AE29-AF29,2)</f>
        <v>0</v>
      </c>
      <c r="AH29" s="47" t="n">
        <f aca="false">ROUND(AK28*(1+Sorted!$H$9),2)</f>
        <v>0</v>
      </c>
      <c r="AI29" s="47" t="n">
        <f aca="false">MIN(AH29,Sorted!$G$9)</f>
        <v>0</v>
      </c>
      <c r="AJ29" s="47" t="n">
        <v>0</v>
      </c>
      <c r="AK29" s="47" t="n">
        <f aca="false">ROUND(AH29-AI29-AJ29,2)</f>
        <v>0</v>
      </c>
      <c r="AL29" s="47" t="n">
        <f aca="false">ROUND(AO28*(1+Sorted!$H$10),2)</f>
        <v>0</v>
      </c>
      <c r="AM29" s="47" t="n">
        <f aca="false">MIN(AL29,Sorted!$G$10)</f>
        <v>0</v>
      </c>
      <c r="AN29" s="47" t="n">
        <v>0</v>
      </c>
      <c r="AO29" s="47" t="n">
        <f aca="false">ROUND(AL29-AM29-AN29,2)</f>
        <v>0</v>
      </c>
      <c r="AP29" s="47" t="n">
        <f aca="false">ROUND(AS28*(1+Sorted!$H$11),2)</f>
        <v>0</v>
      </c>
      <c r="AQ29" s="47" t="n">
        <f aca="false">MIN(AP29,Sorted!$G$11)</f>
        <v>0</v>
      </c>
      <c r="AR29" s="47" t="n">
        <v>0</v>
      </c>
      <c r="AS29" s="47" t="n">
        <f aca="false">ROUND(AP29-AQ29-AR29,2)</f>
        <v>0</v>
      </c>
    </row>
    <row r="30" customFormat="false" ht="15" hidden="false" customHeight="false" outlineLevel="0" collapsed="false">
      <c r="A30" s="45" t="n">
        <v>27</v>
      </c>
      <c r="B30" s="46" t="n">
        <f aca="false">EDATE('My Debts'!$C$7,A30-1)</f>
        <v>47119</v>
      </c>
      <c r="C30" s="47" t="n">
        <v>0</v>
      </c>
      <c r="D30" s="47" t="n">
        <f aca="false">(F30+J30+N30+R30+V30+Z30+AD30+AH30+AL30+AP30)-(I30+M30+Q30+U30+Y30+AC30+AG30+AK30+AO30+AS30)</f>
        <v>230</v>
      </c>
      <c r="E30" s="48" t="n">
        <f aca="false">I30+M30+Q30+U30+Y30+AC30+AG30+AK30+AO30+AS30</f>
        <v>6432.16</v>
      </c>
      <c r="F30" s="47" t="n">
        <f aca="false">ROUND(I29*(1+Sorted!$H$2),2)</f>
        <v>0</v>
      </c>
      <c r="G30" s="47" t="n">
        <f aca="false">MIN(F30,Sorted!$G$2)</f>
        <v>0</v>
      </c>
      <c r="H30" s="47" t="n">
        <v>0</v>
      </c>
      <c r="I30" s="47" t="n">
        <f aca="false">ROUND(F30-G30-H30,2)</f>
        <v>0</v>
      </c>
      <c r="J30" s="47" t="n">
        <f aca="false">ROUND(M29*(1+Sorted!$H$3),2)</f>
        <v>793.74</v>
      </c>
      <c r="K30" s="47" t="n">
        <f aca="false">MIN(J30,Sorted!$G$3)</f>
        <v>55</v>
      </c>
      <c r="L30" s="47" t="n">
        <v>0</v>
      </c>
      <c r="M30" s="47" t="n">
        <f aca="false">ROUND(J30-K30-L30,2)</f>
        <v>738.74</v>
      </c>
      <c r="N30" s="47" t="n">
        <f aca="false">ROUND(Q29*(1+Sorted!$H$4),2)</f>
        <v>0</v>
      </c>
      <c r="O30" s="47" t="n">
        <f aca="false">MIN(N30,Sorted!$G$4)</f>
        <v>0</v>
      </c>
      <c r="P30" s="47" t="n">
        <v>0</v>
      </c>
      <c r="Q30" s="47" t="n">
        <f aca="false">ROUND(N30-O30-P30,2)</f>
        <v>0</v>
      </c>
      <c r="R30" s="47" t="n">
        <f aca="false">ROUND(U29*(1+Sorted!$H$5),2)</f>
        <v>5868.42</v>
      </c>
      <c r="S30" s="47" t="n">
        <f aca="false">MIN(R30,Sorted!$G$5)</f>
        <v>175</v>
      </c>
      <c r="T30" s="47" t="n">
        <v>0</v>
      </c>
      <c r="U30" s="47" t="n">
        <f aca="false">ROUND(R30-S30-T30,2)</f>
        <v>5693.42</v>
      </c>
      <c r="V30" s="47" t="n">
        <f aca="false">ROUND(Y29*(1+Sorted!$H$6),2)</f>
        <v>0</v>
      </c>
      <c r="W30" s="47" t="n">
        <f aca="false">MIN(V30,Sorted!$G$6)</f>
        <v>0</v>
      </c>
      <c r="X30" s="47" t="n">
        <v>0</v>
      </c>
      <c r="Y30" s="47" t="n">
        <f aca="false">ROUND(V30-W30-X30,2)</f>
        <v>0</v>
      </c>
      <c r="Z30" s="47" t="n">
        <f aca="false">ROUND(AC29*(1+Sorted!$H$7),2)</f>
        <v>0</v>
      </c>
      <c r="AA30" s="47" t="n">
        <f aca="false">MIN(Z30,Sorted!$G$7)</f>
        <v>0</v>
      </c>
      <c r="AB30" s="47" t="n">
        <v>0</v>
      </c>
      <c r="AC30" s="47" t="n">
        <f aca="false">ROUND(Z30-AA30-AB30,2)</f>
        <v>0</v>
      </c>
      <c r="AD30" s="47" t="n">
        <f aca="false">ROUND(AG29*(1+Sorted!$H$8),2)</f>
        <v>0</v>
      </c>
      <c r="AE30" s="47" t="n">
        <f aca="false">MIN(AD30,Sorted!$G$8)</f>
        <v>0</v>
      </c>
      <c r="AF30" s="47" t="n">
        <v>0</v>
      </c>
      <c r="AG30" s="47" t="n">
        <f aca="false">ROUND(AD30-AE30-AF30,2)</f>
        <v>0</v>
      </c>
      <c r="AH30" s="47" t="n">
        <f aca="false">ROUND(AK29*(1+Sorted!$H$9),2)</f>
        <v>0</v>
      </c>
      <c r="AI30" s="47" t="n">
        <f aca="false">MIN(AH30,Sorted!$G$9)</f>
        <v>0</v>
      </c>
      <c r="AJ30" s="47" t="n">
        <v>0</v>
      </c>
      <c r="AK30" s="47" t="n">
        <f aca="false">ROUND(AH30-AI30-AJ30,2)</f>
        <v>0</v>
      </c>
      <c r="AL30" s="47" t="n">
        <f aca="false">ROUND(AO29*(1+Sorted!$H$10),2)</f>
        <v>0</v>
      </c>
      <c r="AM30" s="47" t="n">
        <f aca="false">MIN(AL30,Sorted!$G$10)</f>
        <v>0</v>
      </c>
      <c r="AN30" s="47" t="n">
        <v>0</v>
      </c>
      <c r="AO30" s="47" t="n">
        <f aca="false">ROUND(AL30-AM30-AN30,2)</f>
        <v>0</v>
      </c>
      <c r="AP30" s="47" t="n">
        <f aca="false">ROUND(AS29*(1+Sorted!$H$11),2)</f>
        <v>0</v>
      </c>
      <c r="AQ30" s="47" t="n">
        <f aca="false">MIN(AP30,Sorted!$G$11)</f>
        <v>0</v>
      </c>
      <c r="AR30" s="47" t="n">
        <v>0</v>
      </c>
      <c r="AS30" s="47" t="n">
        <f aca="false">ROUND(AP30-AQ30-AR30,2)</f>
        <v>0</v>
      </c>
    </row>
    <row r="31" customFormat="false" ht="15" hidden="false" customHeight="false" outlineLevel="0" collapsed="false">
      <c r="A31" s="45" t="n">
        <v>28</v>
      </c>
      <c r="B31" s="46" t="n">
        <f aca="false">EDATE('My Debts'!$C$7,A31-1)</f>
        <v>47150</v>
      </c>
      <c r="C31" s="47" t="n">
        <v>0</v>
      </c>
      <c r="D31" s="47" t="n">
        <f aca="false">(F31+J31+N31+R31+V31+Z31+AD31+AH31+AL31+AP31)-(I31+M31+Q31+U31+Y31+AC31+AG31+AK31+AO31+AS31)</f>
        <v>230</v>
      </c>
      <c r="E31" s="48" t="n">
        <f aca="false">I31+M31+Q31+U31+Y31+AC31+AG31+AK31+AO31+AS31</f>
        <v>6339.19</v>
      </c>
      <c r="F31" s="47" t="n">
        <f aca="false">ROUND(I30*(1+Sorted!$H$2),2)</f>
        <v>0</v>
      </c>
      <c r="G31" s="47" t="n">
        <f aca="false">MIN(F31,Sorted!$G$2)</f>
        <v>0</v>
      </c>
      <c r="H31" s="47" t="n">
        <v>0</v>
      </c>
      <c r="I31" s="47" t="n">
        <f aca="false">ROUND(F31-G31-H31,2)</f>
        <v>0</v>
      </c>
      <c r="J31" s="47" t="n">
        <f aca="false">ROUND(M30*(1+Sorted!$H$3),2)</f>
        <v>757.2</v>
      </c>
      <c r="K31" s="47" t="n">
        <f aca="false">MIN(J31,Sorted!$G$3)</f>
        <v>55</v>
      </c>
      <c r="L31" s="47" t="n">
        <v>0</v>
      </c>
      <c r="M31" s="47" t="n">
        <f aca="false">ROUND(J31-K31-L31,2)</f>
        <v>702.2</v>
      </c>
      <c r="N31" s="47" t="n">
        <f aca="false">ROUND(Q30*(1+Sorted!$H$4),2)</f>
        <v>0</v>
      </c>
      <c r="O31" s="47" t="n">
        <f aca="false">MIN(N31,Sorted!$G$4)</f>
        <v>0</v>
      </c>
      <c r="P31" s="47" t="n">
        <v>0</v>
      </c>
      <c r="Q31" s="47" t="n">
        <f aca="false">ROUND(N31-O31-P31,2)</f>
        <v>0</v>
      </c>
      <c r="R31" s="47" t="n">
        <f aca="false">ROUND(U30*(1+Sorted!$H$5),2)</f>
        <v>5811.99</v>
      </c>
      <c r="S31" s="47" t="n">
        <f aca="false">MIN(R31,Sorted!$G$5)</f>
        <v>175</v>
      </c>
      <c r="T31" s="47" t="n">
        <v>0</v>
      </c>
      <c r="U31" s="47" t="n">
        <f aca="false">ROUND(R31-S31-T31,2)</f>
        <v>5636.99</v>
      </c>
      <c r="V31" s="47" t="n">
        <f aca="false">ROUND(Y30*(1+Sorted!$H$6),2)</f>
        <v>0</v>
      </c>
      <c r="W31" s="47" t="n">
        <f aca="false">MIN(V31,Sorted!$G$6)</f>
        <v>0</v>
      </c>
      <c r="X31" s="47" t="n">
        <v>0</v>
      </c>
      <c r="Y31" s="47" t="n">
        <f aca="false">ROUND(V31-W31-X31,2)</f>
        <v>0</v>
      </c>
      <c r="Z31" s="47" t="n">
        <f aca="false">ROUND(AC30*(1+Sorted!$H$7),2)</f>
        <v>0</v>
      </c>
      <c r="AA31" s="47" t="n">
        <f aca="false">MIN(Z31,Sorted!$G$7)</f>
        <v>0</v>
      </c>
      <c r="AB31" s="47" t="n">
        <v>0</v>
      </c>
      <c r="AC31" s="47" t="n">
        <f aca="false">ROUND(Z31-AA31-AB31,2)</f>
        <v>0</v>
      </c>
      <c r="AD31" s="47" t="n">
        <f aca="false">ROUND(AG30*(1+Sorted!$H$8),2)</f>
        <v>0</v>
      </c>
      <c r="AE31" s="47" t="n">
        <f aca="false">MIN(AD31,Sorted!$G$8)</f>
        <v>0</v>
      </c>
      <c r="AF31" s="47" t="n">
        <v>0</v>
      </c>
      <c r="AG31" s="47" t="n">
        <f aca="false">ROUND(AD31-AE31-AF31,2)</f>
        <v>0</v>
      </c>
      <c r="AH31" s="47" t="n">
        <f aca="false">ROUND(AK30*(1+Sorted!$H$9),2)</f>
        <v>0</v>
      </c>
      <c r="AI31" s="47" t="n">
        <f aca="false">MIN(AH31,Sorted!$G$9)</f>
        <v>0</v>
      </c>
      <c r="AJ31" s="47" t="n">
        <v>0</v>
      </c>
      <c r="AK31" s="47" t="n">
        <f aca="false">ROUND(AH31-AI31-AJ31,2)</f>
        <v>0</v>
      </c>
      <c r="AL31" s="47" t="n">
        <f aca="false">ROUND(AO30*(1+Sorted!$H$10),2)</f>
        <v>0</v>
      </c>
      <c r="AM31" s="47" t="n">
        <f aca="false">MIN(AL31,Sorted!$G$10)</f>
        <v>0</v>
      </c>
      <c r="AN31" s="47" t="n">
        <v>0</v>
      </c>
      <c r="AO31" s="47" t="n">
        <f aca="false">ROUND(AL31-AM31-AN31,2)</f>
        <v>0</v>
      </c>
      <c r="AP31" s="47" t="n">
        <f aca="false">ROUND(AS30*(1+Sorted!$H$11),2)</f>
        <v>0</v>
      </c>
      <c r="AQ31" s="47" t="n">
        <f aca="false">MIN(AP31,Sorted!$G$11)</f>
        <v>0</v>
      </c>
      <c r="AR31" s="47" t="n">
        <v>0</v>
      </c>
      <c r="AS31" s="47" t="n">
        <f aca="false">ROUND(AP31-AQ31-AR31,2)</f>
        <v>0</v>
      </c>
    </row>
    <row r="32" customFormat="false" ht="15" hidden="false" customHeight="false" outlineLevel="0" collapsed="false">
      <c r="A32" s="45" t="n">
        <v>29</v>
      </c>
      <c r="B32" s="46" t="n">
        <f aca="false">EDATE('My Debts'!$C$7,A32-1)</f>
        <v>47178</v>
      </c>
      <c r="C32" s="47" t="n">
        <v>0</v>
      </c>
      <c r="D32" s="47" t="n">
        <f aca="false">(F32+J32+N32+R32+V32+Z32+AD32+AH32+AL32+AP32)-(I32+M32+Q32+U32+Y32+AC32+AG32+AK32+AO32+AS32)</f>
        <v>230</v>
      </c>
      <c r="E32" s="48" t="n">
        <f aca="false">I32+M32+Q32+U32+Y32+AC32+AG32+AK32+AO32+AS32</f>
        <v>6244.13</v>
      </c>
      <c r="F32" s="47" t="n">
        <f aca="false">ROUND(I31*(1+Sorted!$H$2),2)</f>
        <v>0</v>
      </c>
      <c r="G32" s="47" t="n">
        <f aca="false">MIN(F32,Sorted!$G$2)</f>
        <v>0</v>
      </c>
      <c r="H32" s="47" t="n">
        <v>0</v>
      </c>
      <c r="I32" s="47" t="n">
        <f aca="false">ROUND(F32-G32-H32,2)</f>
        <v>0</v>
      </c>
      <c r="J32" s="47" t="n">
        <f aca="false">ROUND(M31*(1+Sorted!$H$3),2)</f>
        <v>719.75</v>
      </c>
      <c r="K32" s="47" t="n">
        <f aca="false">MIN(J32,Sorted!$G$3)</f>
        <v>55</v>
      </c>
      <c r="L32" s="47" t="n">
        <v>0</v>
      </c>
      <c r="M32" s="47" t="n">
        <f aca="false">ROUND(J32-K32-L32,2)</f>
        <v>664.75</v>
      </c>
      <c r="N32" s="47" t="n">
        <f aca="false">ROUND(Q31*(1+Sorted!$H$4),2)</f>
        <v>0</v>
      </c>
      <c r="O32" s="47" t="n">
        <f aca="false">MIN(N32,Sorted!$G$4)</f>
        <v>0</v>
      </c>
      <c r="P32" s="47" t="n">
        <v>0</v>
      </c>
      <c r="Q32" s="47" t="n">
        <f aca="false">ROUND(N32-O32-P32,2)</f>
        <v>0</v>
      </c>
      <c r="R32" s="47" t="n">
        <f aca="false">ROUND(U31*(1+Sorted!$H$5),2)</f>
        <v>5754.38</v>
      </c>
      <c r="S32" s="47" t="n">
        <f aca="false">MIN(R32,Sorted!$G$5)</f>
        <v>175</v>
      </c>
      <c r="T32" s="47" t="n">
        <v>0</v>
      </c>
      <c r="U32" s="47" t="n">
        <f aca="false">ROUND(R32-S32-T32,2)</f>
        <v>5579.38</v>
      </c>
      <c r="V32" s="47" t="n">
        <f aca="false">ROUND(Y31*(1+Sorted!$H$6),2)</f>
        <v>0</v>
      </c>
      <c r="W32" s="47" t="n">
        <f aca="false">MIN(V32,Sorted!$G$6)</f>
        <v>0</v>
      </c>
      <c r="X32" s="47" t="n">
        <v>0</v>
      </c>
      <c r="Y32" s="47" t="n">
        <f aca="false">ROUND(V32-W32-X32,2)</f>
        <v>0</v>
      </c>
      <c r="Z32" s="47" t="n">
        <f aca="false">ROUND(AC31*(1+Sorted!$H$7),2)</f>
        <v>0</v>
      </c>
      <c r="AA32" s="47" t="n">
        <f aca="false">MIN(Z32,Sorted!$G$7)</f>
        <v>0</v>
      </c>
      <c r="AB32" s="47" t="n">
        <v>0</v>
      </c>
      <c r="AC32" s="47" t="n">
        <f aca="false">ROUND(Z32-AA32-AB32,2)</f>
        <v>0</v>
      </c>
      <c r="AD32" s="47" t="n">
        <f aca="false">ROUND(AG31*(1+Sorted!$H$8),2)</f>
        <v>0</v>
      </c>
      <c r="AE32" s="47" t="n">
        <f aca="false">MIN(AD32,Sorted!$G$8)</f>
        <v>0</v>
      </c>
      <c r="AF32" s="47" t="n">
        <v>0</v>
      </c>
      <c r="AG32" s="47" t="n">
        <f aca="false">ROUND(AD32-AE32-AF32,2)</f>
        <v>0</v>
      </c>
      <c r="AH32" s="47" t="n">
        <f aca="false">ROUND(AK31*(1+Sorted!$H$9),2)</f>
        <v>0</v>
      </c>
      <c r="AI32" s="47" t="n">
        <f aca="false">MIN(AH32,Sorted!$G$9)</f>
        <v>0</v>
      </c>
      <c r="AJ32" s="47" t="n">
        <v>0</v>
      </c>
      <c r="AK32" s="47" t="n">
        <f aca="false">ROUND(AH32-AI32-AJ32,2)</f>
        <v>0</v>
      </c>
      <c r="AL32" s="47" t="n">
        <f aca="false">ROUND(AO31*(1+Sorted!$H$10),2)</f>
        <v>0</v>
      </c>
      <c r="AM32" s="47" t="n">
        <f aca="false">MIN(AL32,Sorted!$G$10)</f>
        <v>0</v>
      </c>
      <c r="AN32" s="47" t="n">
        <v>0</v>
      </c>
      <c r="AO32" s="47" t="n">
        <f aca="false">ROUND(AL32-AM32-AN32,2)</f>
        <v>0</v>
      </c>
      <c r="AP32" s="47" t="n">
        <f aca="false">ROUND(AS31*(1+Sorted!$H$11),2)</f>
        <v>0</v>
      </c>
      <c r="AQ32" s="47" t="n">
        <f aca="false">MIN(AP32,Sorted!$G$11)</f>
        <v>0</v>
      </c>
      <c r="AR32" s="47" t="n">
        <v>0</v>
      </c>
      <c r="AS32" s="47" t="n">
        <f aca="false">ROUND(AP32-AQ32-AR32,2)</f>
        <v>0</v>
      </c>
    </row>
    <row r="33" customFormat="false" ht="15" hidden="false" customHeight="false" outlineLevel="0" collapsed="false">
      <c r="A33" s="45" t="n">
        <v>30</v>
      </c>
      <c r="B33" s="46" t="n">
        <f aca="false">EDATE('My Debts'!$C$7,A33-1)</f>
        <v>47209</v>
      </c>
      <c r="C33" s="47" t="n">
        <v>0</v>
      </c>
      <c r="D33" s="47" t="n">
        <f aca="false">(F33+J33+N33+R33+V33+Z33+AD33+AH33+AL33+AP33)-(I33+M33+Q33+U33+Y33+AC33+AG33+AK33+AO33+AS33)</f>
        <v>230</v>
      </c>
      <c r="E33" s="48" t="n">
        <f aca="false">I33+M33+Q33+U33+Y33+AC33+AG33+AK33+AO33+AS33</f>
        <v>6146.93</v>
      </c>
      <c r="F33" s="47" t="n">
        <f aca="false">ROUND(I32*(1+Sorted!$H$2),2)</f>
        <v>0</v>
      </c>
      <c r="G33" s="47" t="n">
        <f aca="false">MIN(F33,Sorted!$G$2)</f>
        <v>0</v>
      </c>
      <c r="H33" s="47" t="n">
        <v>0</v>
      </c>
      <c r="I33" s="47" t="n">
        <f aca="false">ROUND(F33-G33-H33,2)</f>
        <v>0</v>
      </c>
      <c r="J33" s="47" t="n">
        <f aca="false">ROUND(M32*(1+Sorted!$H$3),2)</f>
        <v>681.36</v>
      </c>
      <c r="K33" s="47" t="n">
        <f aca="false">MIN(J33,Sorted!$G$3)</f>
        <v>55</v>
      </c>
      <c r="L33" s="47" t="n">
        <v>0</v>
      </c>
      <c r="M33" s="47" t="n">
        <f aca="false">ROUND(J33-K33-L33,2)</f>
        <v>626.36</v>
      </c>
      <c r="N33" s="47" t="n">
        <f aca="false">ROUND(Q32*(1+Sorted!$H$4),2)</f>
        <v>0</v>
      </c>
      <c r="O33" s="47" t="n">
        <f aca="false">MIN(N33,Sorted!$G$4)</f>
        <v>0</v>
      </c>
      <c r="P33" s="47" t="n">
        <v>0</v>
      </c>
      <c r="Q33" s="47" t="n">
        <f aca="false">ROUND(N33-O33-P33,2)</f>
        <v>0</v>
      </c>
      <c r="R33" s="47" t="n">
        <f aca="false">ROUND(U32*(1+Sorted!$H$5),2)</f>
        <v>5695.57</v>
      </c>
      <c r="S33" s="47" t="n">
        <f aca="false">MIN(R33,Sorted!$G$5)</f>
        <v>175</v>
      </c>
      <c r="T33" s="47" t="n">
        <v>0</v>
      </c>
      <c r="U33" s="47" t="n">
        <f aca="false">ROUND(R33-S33-T33,2)</f>
        <v>5520.57</v>
      </c>
      <c r="V33" s="47" t="n">
        <f aca="false">ROUND(Y32*(1+Sorted!$H$6),2)</f>
        <v>0</v>
      </c>
      <c r="W33" s="47" t="n">
        <f aca="false">MIN(V33,Sorted!$G$6)</f>
        <v>0</v>
      </c>
      <c r="X33" s="47" t="n">
        <v>0</v>
      </c>
      <c r="Y33" s="47" t="n">
        <f aca="false">ROUND(V33-W33-X33,2)</f>
        <v>0</v>
      </c>
      <c r="Z33" s="47" t="n">
        <f aca="false">ROUND(AC32*(1+Sorted!$H$7),2)</f>
        <v>0</v>
      </c>
      <c r="AA33" s="47" t="n">
        <f aca="false">MIN(Z33,Sorted!$G$7)</f>
        <v>0</v>
      </c>
      <c r="AB33" s="47" t="n">
        <v>0</v>
      </c>
      <c r="AC33" s="47" t="n">
        <f aca="false">ROUND(Z33-AA33-AB33,2)</f>
        <v>0</v>
      </c>
      <c r="AD33" s="47" t="n">
        <f aca="false">ROUND(AG32*(1+Sorted!$H$8),2)</f>
        <v>0</v>
      </c>
      <c r="AE33" s="47" t="n">
        <f aca="false">MIN(AD33,Sorted!$G$8)</f>
        <v>0</v>
      </c>
      <c r="AF33" s="47" t="n">
        <v>0</v>
      </c>
      <c r="AG33" s="47" t="n">
        <f aca="false">ROUND(AD33-AE33-AF33,2)</f>
        <v>0</v>
      </c>
      <c r="AH33" s="47" t="n">
        <f aca="false">ROUND(AK32*(1+Sorted!$H$9),2)</f>
        <v>0</v>
      </c>
      <c r="AI33" s="47" t="n">
        <f aca="false">MIN(AH33,Sorted!$G$9)</f>
        <v>0</v>
      </c>
      <c r="AJ33" s="47" t="n">
        <v>0</v>
      </c>
      <c r="AK33" s="47" t="n">
        <f aca="false">ROUND(AH33-AI33-AJ33,2)</f>
        <v>0</v>
      </c>
      <c r="AL33" s="47" t="n">
        <f aca="false">ROUND(AO32*(1+Sorted!$H$10),2)</f>
        <v>0</v>
      </c>
      <c r="AM33" s="47" t="n">
        <f aca="false">MIN(AL33,Sorted!$G$10)</f>
        <v>0</v>
      </c>
      <c r="AN33" s="47" t="n">
        <v>0</v>
      </c>
      <c r="AO33" s="47" t="n">
        <f aca="false">ROUND(AL33-AM33-AN33,2)</f>
        <v>0</v>
      </c>
      <c r="AP33" s="47" t="n">
        <f aca="false">ROUND(AS32*(1+Sorted!$H$11),2)</f>
        <v>0</v>
      </c>
      <c r="AQ33" s="47" t="n">
        <f aca="false">MIN(AP33,Sorted!$G$11)</f>
        <v>0</v>
      </c>
      <c r="AR33" s="47" t="n">
        <v>0</v>
      </c>
      <c r="AS33" s="47" t="n">
        <f aca="false">ROUND(AP33-AQ33-AR33,2)</f>
        <v>0</v>
      </c>
    </row>
    <row r="34" customFormat="false" ht="15" hidden="false" customHeight="false" outlineLevel="0" collapsed="false">
      <c r="A34" s="45" t="n">
        <v>31</v>
      </c>
      <c r="B34" s="46" t="n">
        <f aca="false">EDATE('My Debts'!$C$7,A34-1)</f>
        <v>47239</v>
      </c>
      <c r="C34" s="47" t="n">
        <v>0</v>
      </c>
      <c r="D34" s="47" t="n">
        <f aca="false">(F34+J34+N34+R34+V34+Z34+AD34+AH34+AL34+AP34)-(I34+M34+Q34+U34+Y34+AC34+AG34+AK34+AO34+AS34)</f>
        <v>230</v>
      </c>
      <c r="E34" s="48" t="n">
        <f aca="false">I34+M34+Q34+U34+Y34+AC34+AG34+AK34+AO34+AS34</f>
        <v>6047.55</v>
      </c>
      <c r="F34" s="47" t="n">
        <f aca="false">ROUND(I33*(1+Sorted!$H$2),2)</f>
        <v>0</v>
      </c>
      <c r="G34" s="47" t="n">
        <f aca="false">MIN(F34,Sorted!$G$2)</f>
        <v>0</v>
      </c>
      <c r="H34" s="47" t="n">
        <v>0</v>
      </c>
      <c r="I34" s="47" t="n">
        <f aca="false">ROUND(F34-G34-H34,2)</f>
        <v>0</v>
      </c>
      <c r="J34" s="47" t="n">
        <f aca="false">ROUND(M33*(1+Sorted!$H$3),2)</f>
        <v>642.01</v>
      </c>
      <c r="K34" s="47" t="n">
        <f aca="false">MIN(J34,Sorted!$G$3)</f>
        <v>55</v>
      </c>
      <c r="L34" s="47" t="n">
        <v>0</v>
      </c>
      <c r="M34" s="47" t="n">
        <f aca="false">ROUND(J34-K34-L34,2)</f>
        <v>587.01</v>
      </c>
      <c r="N34" s="47" t="n">
        <f aca="false">ROUND(Q33*(1+Sorted!$H$4),2)</f>
        <v>0</v>
      </c>
      <c r="O34" s="47" t="n">
        <f aca="false">MIN(N34,Sorted!$G$4)</f>
        <v>0</v>
      </c>
      <c r="P34" s="47" t="n">
        <v>0</v>
      </c>
      <c r="Q34" s="47" t="n">
        <f aca="false">ROUND(N34-O34-P34,2)</f>
        <v>0</v>
      </c>
      <c r="R34" s="47" t="n">
        <f aca="false">ROUND(U33*(1+Sorted!$H$5),2)</f>
        <v>5635.54</v>
      </c>
      <c r="S34" s="47" t="n">
        <f aca="false">MIN(R34,Sorted!$G$5)</f>
        <v>175</v>
      </c>
      <c r="T34" s="47" t="n">
        <v>0</v>
      </c>
      <c r="U34" s="47" t="n">
        <f aca="false">ROUND(R34-S34-T34,2)</f>
        <v>5460.54</v>
      </c>
      <c r="V34" s="47" t="n">
        <f aca="false">ROUND(Y33*(1+Sorted!$H$6),2)</f>
        <v>0</v>
      </c>
      <c r="W34" s="47" t="n">
        <f aca="false">MIN(V34,Sorted!$G$6)</f>
        <v>0</v>
      </c>
      <c r="X34" s="47" t="n">
        <v>0</v>
      </c>
      <c r="Y34" s="47" t="n">
        <f aca="false">ROUND(V34-W34-X34,2)</f>
        <v>0</v>
      </c>
      <c r="Z34" s="47" t="n">
        <f aca="false">ROUND(AC33*(1+Sorted!$H$7),2)</f>
        <v>0</v>
      </c>
      <c r="AA34" s="47" t="n">
        <f aca="false">MIN(Z34,Sorted!$G$7)</f>
        <v>0</v>
      </c>
      <c r="AB34" s="47" t="n">
        <v>0</v>
      </c>
      <c r="AC34" s="47" t="n">
        <f aca="false">ROUND(Z34-AA34-AB34,2)</f>
        <v>0</v>
      </c>
      <c r="AD34" s="47" t="n">
        <f aca="false">ROUND(AG33*(1+Sorted!$H$8),2)</f>
        <v>0</v>
      </c>
      <c r="AE34" s="47" t="n">
        <f aca="false">MIN(AD34,Sorted!$G$8)</f>
        <v>0</v>
      </c>
      <c r="AF34" s="47" t="n">
        <v>0</v>
      </c>
      <c r="AG34" s="47" t="n">
        <f aca="false">ROUND(AD34-AE34-AF34,2)</f>
        <v>0</v>
      </c>
      <c r="AH34" s="47" t="n">
        <f aca="false">ROUND(AK33*(1+Sorted!$H$9),2)</f>
        <v>0</v>
      </c>
      <c r="AI34" s="47" t="n">
        <f aca="false">MIN(AH34,Sorted!$G$9)</f>
        <v>0</v>
      </c>
      <c r="AJ34" s="47" t="n">
        <v>0</v>
      </c>
      <c r="AK34" s="47" t="n">
        <f aca="false">ROUND(AH34-AI34-AJ34,2)</f>
        <v>0</v>
      </c>
      <c r="AL34" s="47" t="n">
        <f aca="false">ROUND(AO33*(1+Sorted!$H$10),2)</f>
        <v>0</v>
      </c>
      <c r="AM34" s="47" t="n">
        <f aca="false">MIN(AL34,Sorted!$G$10)</f>
        <v>0</v>
      </c>
      <c r="AN34" s="47" t="n">
        <v>0</v>
      </c>
      <c r="AO34" s="47" t="n">
        <f aca="false">ROUND(AL34-AM34-AN34,2)</f>
        <v>0</v>
      </c>
      <c r="AP34" s="47" t="n">
        <f aca="false">ROUND(AS33*(1+Sorted!$H$11),2)</f>
        <v>0</v>
      </c>
      <c r="AQ34" s="47" t="n">
        <f aca="false">MIN(AP34,Sorted!$G$11)</f>
        <v>0</v>
      </c>
      <c r="AR34" s="47" t="n">
        <v>0</v>
      </c>
      <c r="AS34" s="47" t="n">
        <f aca="false">ROUND(AP34-AQ34-AR34,2)</f>
        <v>0</v>
      </c>
    </row>
    <row r="35" customFormat="false" ht="15" hidden="false" customHeight="false" outlineLevel="0" collapsed="false">
      <c r="A35" s="45" t="n">
        <v>32</v>
      </c>
      <c r="B35" s="46" t="n">
        <f aca="false">EDATE('My Debts'!$C$7,A35-1)</f>
        <v>47270</v>
      </c>
      <c r="C35" s="47" t="n">
        <v>0</v>
      </c>
      <c r="D35" s="47" t="n">
        <f aca="false">(F35+J35+N35+R35+V35+Z35+AD35+AH35+AL35+AP35)-(I35+M35+Q35+U35+Y35+AC35+AG35+AK35+AO35+AS35)</f>
        <v>230</v>
      </c>
      <c r="E35" s="48" t="n">
        <f aca="false">I35+M35+Q35+U35+Y35+AC35+AG35+AK35+AO35+AS35</f>
        <v>5945.94</v>
      </c>
      <c r="F35" s="47" t="n">
        <f aca="false">ROUND(I34*(1+Sorted!$H$2),2)</f>
        <v>0</v>
      </c>
      <c r="G35" s="47" t="n">
        <f aca="false">MIN(F35,Sorted!$G$2)</f>
        <v>0</v>
      </c>
      <c r="H35" s="47" t="n">
        <v>0</v>
      </c>
      <c r="I35" s="47" t="n">
        <f aca="false">ROUND(F35-G35-H35,2)</f>
        <v>0</v>
      </c>
      <c r="J35" s="47" t="n">
        <f aca="false">ROUND(M34*(1+Sorted!$H$3),2)</f>
        <v>601.68</v>
      </c>
      <c r="K35" s="47" t="n">
        <f aca="false">MIN(J35,Sorted!$G$3)</f>
        <v>55</v>
      </c>
      <c r="L35" s="47" t="n">
        <v>0</v>
      </c>
      <c r="M35" s="47" t="n">
        <f aca="false">ROUND(J35-K35-L35,2)</f>
        <v>546.68</v>
      </c>
      <c r="N35" s="47" t="n">
        <f aca="false">ROUND(Q34*(1+Sorted!$H$4),2)</f>
        <v>0</v>
      </c>
      <c r="O35" s="47" t="n">
        <f aca="false">MIN(N35,Sorted!$G$4)</f>
        <v>0</v>
      </c>
      <c r="P35" s="47" t="n">
        <v>0</v>
      </c>
      <c r="Q35" s="47" t="n">
        <f aca="false">ROUND(N35-O35-P35,2)</f>
        <v>0</v>
      </c>
      <c r="R35" s="47" t="n">
        <f aca="false">ROUND(U34*(1+Sorted!$H$5),2)</f>
        <v>5574.26</v>
      </c>
      <c r="S35" s="47" t="n">
        <f aca="false">MIN(R35,Sorted!$G$5)</f>
        <v>175</v>
      </c>
      <c r="T35" s="47" t="n">
        <v>0</v>
      </c>
      <c r="U35" s="47" t="n">
        <f aca="false">ROUND(R35-S35-T35,2)</f>
        <v>5399.26</v>
      </c>
      <c r="V35" s="47" t="n">
        <f aca="false">ROUND(Y34*(1+Sorted!$H$6),2)</f>
        <v>0</v>
      </c>
      <c r="W35" s="47" t="n">
        <f aca="false">MIN(V35,Sorted!$G$6)</f>
        <v>0</v>
      </c>
      <c r="X35" s="47" t="n">
        <v>0</v>
      </c>
      <c r="Y35" s="47" t="n">
        <f aca="false">ROUND(V35-W35-X35,2)</f>
        <v>0</v>
      </c>
      <c r="Z35" s="47" t="n">
        <f aca="false">ROUND(AC34*(1+Sorted!$H$7),2)</f>
        <v>0</v>
      </c>
      <c r="AA35" s="47" t="n">
        <f aca="false">MIN(Z35,Sorted!$G$7)</f>
        <v>0</v>
      </c>
      <c r="AB35" s="47" t="n">
        <v>0</v>
      </c>
      <c r="AC35" s="47" t="n">
        <f aca="false">ROUND(Z35-AA35-AB35,2)</f>
        <v>0</v>
      </c>
      <c r="AD35" s="47" t="n">
        <f aca="false">ROUND(AG34*(1+Sorted!$H$8),2)</f>
        <v>0</v>
      </c>
      <c r="AE35" s="47" t="n">
        <f aca="false">MIN(AD35,Sorted!$G$8)</f>
        <v>0</v>
      </c>
      <c r="AF35" s="47" t="n">
        <v>0</v>
      </c>
      <c r="AG35" s="47" t="n">
        <f aca="false">ROUND(AD35-AE35-AF35,2)</f>
        <v>0</v>
      </c>
      <c r="AH35" s="47" t="n">
        <f aca="false">ROUND(AK34*(1+Sorted!$H$9),2)</f>
        <v>0</v>
      </c>
      <c r="AI35" s="47" t="n">
        <f aca="false">MIN(AH35,Sorted!$G$9)</f>
        <v>0</v>
      </c>
      <c r="AJ35" s="47" t="n">
        <v>0</v>
      </c>
      <c r="AK35" s="47" t="n">
        <f aca="false">ROUND(AH35-AI35-AJ35,2)</f>
        <v>0</v>
      </c>
      <c r="AL35" s="47" t="n">
        <f aca="false">ROUND(AO34*(1+Sorted!$H$10),2)</f>
        <v>0</v>
      </c>
      <c r="AM35" s="47" t="n">
        <f aca="false">MIN(AL35,Sorted!$G$10)</f>
        <v>0</v>
      </c>
      <c r="AN35" s="47" t="n">
        <v>0</v>
      </c>
      <c r="AO35" s="47" t="n">
        <f aca="false">ROUND(AL35-AM35-AN35,2)</f>
        <v>0</v>
      </c>
      <c r="AP35" s="47" t="n">
        <f aca="false">ROUND(AS34*(1+Sorted!$H$11),2)</f>
        <v>0</v>
      </c>
      <c r="AQ35" s="47" t="n">
        <f aca="false">MIN(AP35,Sorted!$G$11)</f>
        <v>0</v>
      </c>
      <c r="AR35" s="47" t="n">
        <v>0</v>
      </c>
      <c r="AS35" s="47" t="n">
        <f aca="false">ROUND(AP35-AQ35-AR35,2)</f>
        <v>0</v>
      </c>
    </row>
    <row r="36" customFormat="false" ht="15" hidden="false" customHeight="false" outlineLevel="0" collapsed="false">
      <c r="A36" s="45" t="n">
        <v>33</v>
      </c>
      <c r="B36" s="46" t="n">
        <f aca="false">EDATE('My Debts'!$C$7,A36-1)</f>
        <v>47300</v>
      </c>
      <c r="C36" s="47" t="n">
        <v>0</v>
      </c>
      <c r="D36" s="47" t="n">
        <f aca="false">(F36+J36+N36+R36+V36+Z36+AD36+AH36+AL36+AP36)-(I36+M36+Q36+U36+Y36+AC36+AG36+AK36+AO36+AS36)</f>
        <v>230</v>
      </c>
      <c r="E36" s="48" t="n">
        <f aca="false">I36+M36+Q36+U36+Y36+AC36+AG36+AK36+AO36+AS36</f>
        <v>5842.04</v>
      </c>
      <c r="F36" s="47" t="n">
        <f aca="false">ROUND(I35*(1+Sorted!$H$2),2)</f>
        <v>0</v>
      </c>
      <c r="G36" s="47" t="n">
        <f aca="false">MIN(F36,Sorted!$G$2)</f>
        <v>0</v>
      </c>
      <c r="H36" s="47" t="n">
        <v>0</v>
      </c>
      <c r="I36" s="47" t="n">
        <f aca="false">ROUND(F36-G36-H36,2)</f>
        <v>0</v>
      </c>
      <c r="J36" s="47" t="n">
        <f aca="false">ROUND(M35*(1+Sorted!$H$3),2)</f>
        <v>560.34</v>
      </c>
      <c r="K36" s="47" t="n">
        <f aca="false">MIN(J36,Sorted!$G$3)</f>
        <v>55</v>
      </c>
      <c r="L36" s="47" t="n">
        <v>0</v>
      </c>
      <c r="M36" s="47" t="n">
        <f aca="false">ROUND(J36-K36-L36,2)</f>
        <v>505.34</v>
      </c>
      <c r="N36" s="47" t="n">
        <f aca="false">ROUND(Q35*(1+Sorted!$H$4),2)</f>
        <v>0</v>
      </c>
      <c r="O36" s="47" t="n">
        <f aca="false">MIN(N36,Sorted!$G$4)</f>
        <v>0</v>
      </c>
      <c r="P36" s="47" t="n">
        <v>0</v>
      </c>
      <c r="Q36" s="47" t="n">
        <f aca="false">ROUND(N36-O36-P36,2)</f>
        <v>0</v>
      </c>
      <c r="R36" s="47" t="n">
        <f aca="false">ROUND(U35*(1+Sorted!$H$5),2)</f>
        <v>5511.7</v>
      </c>
      <c r="S36" s="47" t="n">
        <f aca="false">MIN(R36,Sorted!$G$5)</f>
        <v>175</v>
      </c>
      <c r="T36" s="47" t="n">
        <v>0</v>
      </c>
      <c r="U36" s="47" t="n">
        <f aca="false">ROUND(R36-S36-T36,2)</f>
        <v>5336.7</v>
      </c>
      <c r="V36" s="47" t="n">
        <f aca="false">ROUND(Y35*(1+Sorted!$H$6),2)</f>
        <v>0</v>
      </c>
      <c r="W36" s="47" t="n">
        <f aca="false">MIN(V36,Sorted!$G$6)</f>
        <v>0</v>
      </c>
      <c r="X36" s="47" t="n">
        <v>0</v>
      </c>
      <c r="Y36" s="47" t="n">
        <f aca="false">ROUND(V36-W36-X36,2)</f>
        <v>0</v>
      </c>
      <c r="Z36" s="47" t="n">
        <f aca="false">ROUND(AC35*(1+Sorted!$H$7),2)</f>
        <v>0</v>
      </c>
      <c r="AA36" s="47" t="n">
        <f aca="false">MIN(Z36,Sorted!$G$7)</f>
        <v>0</v>
      </c>
      <c r="AB36" s="47" t="n">
        <v>0</v>
      </c>
      <c r="AC36" s="47" t="n">
        <f aca="false">ROUND(Z36-AA36-AB36,2)</f>
        <v>0</v>
      </c>
      <c r="AD36" s="47" t="n">
        <f aca="false">ROUND(AG35*(1+Sorted!$H$8),2)</f>
        <v>0</v>
      </c>
      <c r="AE36" s="47" t="n">
        <f aca="false">MIN(AD36,Sorted!$G$8)</f>
        <v>0</v>
      </c>
      <c r="AF36" s="47" t="n">
        <v>0</v>
      </c>
      <c r="AG36" s="47" t="n">
        <f aca="false">ROUND(AD36-AE36-AF36,2)</f>
        <v>0</v>
      </c>
      <c r="AH36" s="47" t="n">
        <f aca="false">ROUND(AK35*(1+Sorted!$H$9),2)</f>
        <v>0</v>
      </c>
      <c r="AI36" s="47" t="n">
        <f aca="false">MIN(AH36,Sorted!$G$9)</f>
        <v>0</v>
      </c>
      <c r="AJ36" s="47" t="n">
        <v>0</v>
      </c>
      <c r="AK36" s="47" t="n">
        <f aca="false">ROUND(AH36-AI36-AJ36,2)</f>
        <v>0</v>
      </c>
      <c r="AL36" s="47" t="n">
        <f aca="false">ROUND(AO35*(1+Sorted!$H$10),2)</f>
        <v>0</v>
      </c>
      <c r="AM36" s="47" t="n">
        <f aca="false">MIN(AL36,Sorted!$G$10)</f>
        <v>0</v>
      </c>
      <c r="AN36" s="47" t="n">
        <v>0</v>
      </c>
      <c r="AO36" s="47" t="n">
        <f aca="false">ROUND(AL36-AM36-AN36,2)</f>
        <v>0</v>
      </c>
      <c r="AP36" s="47" t="n">
        <f aca="false">ROUND(AS35*(1+Sorted!$H$11),2)</f>
        <v>0</v>
      </c>
      <c r="AQ36" s="47" t="n">
        <f aca="false">MIN(AP36,Sorted!$G$11)</f>
        <v>0</v>
      </c>
      <c r="AR36" s="47" t="n">
        <v>0</v>
      </c>
      <c r="AS36" s="47" t="n">
        <f aca="false">ROUND(AP36-AQ36-AR36,2)</f>
        <v>0</v>
      </c>
    </row>
    <row r="37" customFormat="false" ht="15" hidden="false" customHeight="false" outlineLevel="0" collapsed="false">
      <c r="A37" s="45" t="n">
        <v>34</v>
      </c>
      <c r="B37" s="46" t="n">
        <f aca="false">EDATE('My Debts'!$C$7,A37-1)</f>
        <v>47331</v>
      </c>
      <c r="C37" s="47" t="n">
        <v>0</v>
      </c>
      <c r="D37" s="47" t="n">
        <f aca="false">(F37+J37+N37+R37+V37+Z37+AD37+AH37+AL37+AP37)-(I37+M37+Q37+U37+Y37+AC37+AG37+AK37+AO37+AS37)</f>
        <v>230</v>
      </c>
      <c r="E37" s="48" t="n">
        <f aca="false">I37+M37+Q37+U37+Y37+AC37+AG37+AK37+AO37+AS37</f>
        <v>5735.81</v>
      </c>
      <c r="F37" s="47" t="n">
        <f aca="false">ROUND(I36*(1+Sorted!$H$2),2)</f>
        <v>0</v>
      </c>
      <c r="G37" s="47" t="n">
        <f aca="false">MIN(F37,Sorted!$G$2)</f>
        <v>0</v>
      </c>
      <c r="H37" s="47" t="n">
        <v>0</v>
      </c>
      <c r="I37" s="47" t="n">
        <f aca="false">ROUND(F37-G37-H37,2)</f>
        <v>0</v>
      </c>
      <c r="J37" s="47" t="n">
        <f aca="false">ROUND(M36*(1+Sorted!$H$3),2)</f>
        <v>517.97</v>
      </c>
      <c r="K37" s="47" t="n">
        <f aca="false">MIN(J37,Sorted!$G$3)</f>
        <v>55</v>
      </c>
      <c r="L37" s="47" t="n">
        <v>0</v>
      </c>
      <c r="M37" s="47" t="n">
        <f aca="false">ROUND(J37-K37-L37,2)</f>
        <v>462.97</v>
      </c>
      <c r="N37" s="47" t="n">
        <f aca="false">ROUND(Q36*(1+Sorted!$H$4),2)</f>
        <v>0</v>
      </c>
      <c r="O37" s="47" t="n">
        <f aca="false">MIN(N37,Sorted!$G$4)</f>
        <v>0</v>
      </c>
      <c r="P37" s="47" t="n">
        <v>0</v>
      </c>
      <c r="Q37" s="47" t="n">
        <f aca="false">ROUND(N37-O37-P37,2)</f>
        <v>0</v>
      </c>
      <c r="R37" s="47" t="n">
        <f aca="false">ROUND(U36*(1+Sorted!$H$5),2)</f>
        <v>5447.84</v>
      </c>
      <c r="S37" s="47" t="n">
        <f aca="false">MIN(R37,Sorted!$G$5)</f>
        <v>175</v>
      </c>
      <c r="T37" s="47" t="n">
        <v>0</v>
      </c>
      <c r="U37" s="47" t="n">
        <f aca="false">ROUND(R37-S37-T37,2)</f>
        <v>5272.84</v>
      </c>
      <c r="V37" s="47" t="n">
        <f aca="false">ROUND(Y36*(1+Sorted!$H$6),2)</f>
        <v>0</v>
      </c>
      <c r="W37" s="47" t="n">
        <f aca="false">MIN(V37,Sorted!$G$6)</f>
        <v>0</v>
      </c>
      <c r="X37" s="47" t="n">
        <v>0</v>
      </c>
      <c r="Y37" s="47" t="n">
        <f aca="false">ROUND(V37-W37-X37,2)</f>
        <v>0</v>
      </c>
      <c r="Z37" s="47" t="n">
        <f aca="false">ROUND(AC36*(1+Sorted!$H$7),2)</f>
        <v>0</v>
      </c>
      <c r="AA37" s="47" t="n">
        <f aca="false">MIN(Z37,Sorted!$G$7)</f>
        <v>0</v>
      </c>
      <c r="AB37" s="47" t="n">
        <v>0</v>
      </c>
      <c r="AC37" s="47" t="n">
        <f aca="false">ROUND(Z37-AA37-AB37,2)</f>
        <v>0</v>
      </c>
      <c r="AD37" s="47" t="n">
        <f aca="false">ROUND(AG36*(1+Sorted!$H$8),2)</f>
        <v>0</v>
      </c>
      <c r="AE37" s="47" t="n">
        <f aca="false">MIN(AD37,Sorted!$G$8)</f>
        <v>0</v>
      </c>
      <c r="AF37" s="47" t="n">
        <v>0</v>
      </c>
      <c r="AG37" s="47" t="n">
        <f aca="false">ROUND(AD37-AE37-AF37,2)</f>
        <v>0</v>
      </c>
      <c r="AH37" s="47" t="n">
        <f aca="false">ROUND(AK36*(1+Sorted!$H$9),2)</f>
        <v>0</v>
      </c>
      <c r="AI37" s="47" t="n">
        <f aca="false">MIN(AH37,Sorted!$G$9)</f>
        <v>0</v>
      </c>
      <c r="AJ37" s="47" t="n">
        <v>0</v>
      </c>
      <c r="AK37" s="47" t="n">
        <f aca="false">ROUND(AH37-AI37-AJ37,2)</f>
        <v>0</v>
      </c>
      <c r="AL37" s="47" t="n">
        <f aca="false">ROUND(AO36*(1+Sorted!$H$10),2)</f>
        <v>0</v>
      </c>
      <c r="AM37" s="47" t="n">
        <f aca="false">MIN(AL37,Sorted!$G$10)</f>
        <v>0</v>
      </c>
      <c r="AN37" s="47" t="n">
        <v>0</v>
      </c>
      <c r="AO37" s="47" t="n">
        <f aca="false">ROUND(AL37-AM37-AN37,2)</f>
        <v>0</v>
      </c>
      <c r="AP37" s="47" t="n">
        <f aca="false">ROUND(AS36*(1+Sorted!$H$11),2)</f>
        <v>0</v>
      </c>
      <c r="AQ37" s="47" t="n">
        <f aca="false">MIN(AP37,Sorted!$G$11)</f>
        <v>0</v>
      </c>
      <c r="AR37" s="47" t="n">
        <v>0</v>
      </c>
      <c r="AS37" s="47" t="n">
        <f aca="false">ROUND(AP37-AQ37-AR37,2)</f>
        <v>0</v>
      </c>
    </row>
    <row r="38" customFormat="false" ht="15" hidden="false" customHeight="false" outlineLevel="0" collapsed="false">
      <c r="A38" s="45" t="n">
        <v>35</v>
      </c>
      <c r="B38" s="46" t="n">
        <f aca="false">EDATE('My Debts'!$C$7,A38-1)</f>
        <v>47362</v>
      </c>
      <c r="C38" s="47" t="n">
        <v>0</v>
      </c>
      <c r="D38" s="47" t="n">
        <f aca="false">(F38+J38+N38+R38+V38+Z38+AD38+AH38+AL38+AP38)-(I38+M38+Q38+U38+Y38+AC38+AG38+AK38+AO38+AS38)</f>
        <v>230</v>
      </c>
      <c r="E38" s="48" t="n">
        <f aca="false">I38+M38+Q38+U38+Y38+AC38+AG38+AK38+AO38+AS38</f>
        <v>5627.19</v>
      </c>
      <c r="F38" s="47" t="n">
        <f aca="false">ROUND(I37*(1+Sorted!$H$2),2)</f>
        <v>0</v>
      </c>
      <c r="G38" s="47" t="n">
        <f aca="false">MIN(F38,Sorted!$G$2)</f>
        <v>0</v>
      </c>
      <c r="H38" s="47" t="n">
        <v>0</v>
      </c>
      <c r="I38" s="47" t="n">
        <f aca="false">ROUND(F38-G38-H38,2)</f>
        <v>0</v>
      </c>
      <c r="J38" s="47" t="n">
        <f aca="false">ROUND(M37*(1+Sorted!$H$3),2)</f>
        <v>474.54</v>
      </c>
      <c r="K38" s="47" t="n">
        <f aca="false">MIN(J38,Sorted!$G$3)</f>
        <v>55</v>
      </c>
      <c r="L38" s="47" t="n">
        <v>0</v>
      </c>
      <c r="M38" s="47" t="n">
        <f aca="false">ROUND(J38-K38-L38,2)</f>
        <v>419.54</v>
      </c>
      <c r="N38" s="47" t="n">
        <f aca="false">ROUND(Q37*(1+Sorted!$H$4),2)</f>
        <v>0</v>
      </c>
      <c r="O38" s="47" t="n">
        <f aca="false">MIN(N38,Sorted!$G$4)</f>
        <v>0</v>
      </c>
      <c r="P38" s="47" t="n">
        <v>0</v>
      </c>
      <c r="Q38" s="47" t="n">
        <f aca="false">ROUND(N38-O38-P38,2)</f>
        <v>0</v>
      </c>
      <c r="R38" s="47" t="n">
        <f aca="false">ROUND(U37*(1+Sorted!$H$5),2)</f>
        <v>5382.65</v>
      </c>
      <c r="S38" s="47" t="n">
        <f aca="false">MIN(R38,Sorted!$G$5)</f>
        <v>175</v>
      </c>
      <c r="T38" s="47" t="n">
        <v>0</v>
      </c>
      <c r="U38" s="47" t="n">
        <f aca="false">ROUND(R38-S38-T38,2)</f>
        <v>5207.65</v>
      </c>
      <c r="V38" s="47" t="n">
        <f aca="false">ROUND(Y37*(1+Sorted!$H$6),2)</f>
        <v>0</v>
      </c>
      <c r="W38" s="47" t="n">
        <f aca="false">MIN(V38,Sorted!$G$6)</f>
        <v>0</v>
      </c>
      <c r="X38" s="47" t="n">
        <v>0</v>
      </c>
      <c r="Y38" s="47" t="n">
        <f aca="false">ROUND(V38-W38-X38,2)</f>
        <v>0</v>
      </c>
      <c r="Z38" s="47" t="n">
        <f aca="false">ROUND(AC37*(1+Sorted!$H$7),2)</f>
        <v>0</v>
      </c>
      <c r="AA38" s="47" t="n">
        <f aca="false">MIN(Z38,Sorted!$G$7)</f>
        <v>0</v>
      </c>
      <c r="AB38" s="47" t="n">
        <v>0</v>
      </c>
      <c r="AC38" s="47" t="n">
        <f aca="false">ROUND(Z38-AA38-AB38,2)</f>
        <v>0</v>
      </c>
      <c r="AD38" s="47" t="n">
        <f aca="false">ROUND(AG37*(1+Sorted!$H$8),2)</f>
        <v>0</v>
      </c>
      <c r="AE38" s="47" t="n">
        <f aca="false">MIN(AD38,Sorted!$G$8)</f>
        <v>0</v>
      </c>
      <c r="AF38" s="47" t="n">
        <v>0</v>
      </c>
      <c r="AG38" s="47" t="n">
        <f aca="false">ROUND(AD38-AE38-AF38,2)</f>
        <v>0</v>
      </c>
      <c r="AH38" s="47" t="n">
        <f aca="false">ROUND(AK37*(1+Sorted!$H$9),2)</f>
        <v>0</v>
      </c>
      <c r="AI38" s="47" t="n">
        <f aca="false">MIN(AH38,Sorted!$G$9)</f>
        <v>0</v>
      </c>
      <c r="AJ38" s="47" t="n">
        <v>0</v>
      </c>
      <c r="AK38" s="47" t="n">
        <f aca="false">ROUND(AH38-AI38-AJ38,2)</f>
        <v>0</v>
      </c>
      <c r="AL38" s="47" t="n">
        <f aca="false">ROUND(AO37*(1+Sorted!$H$10),2)</f>
        <v>0</v>
      </c>
      <c r="AM38" s="47" t="n">
        <f aca="false">MIN(AL38,Sorted!$G$10)</f>
        <v>0</v>
      </c>
      <c r="AN38" s="47" t="n">
        <v>0</v>
      </c>
      <c r="AO38" s="47" t="n">
        <f aca="false">ROUND(AL38-AM38-AN38,2)</f>
        <v>0</v>
      </c>
      <c r="AP38" s="47" t="n">
        <f aca="false">ROUND(AS37*(1+Sorted!$H$11),2)</f>
        <v>0</v>
      </c>
      <c r="AQ38" s="47" t="n">
        <f aca="false">MIN(AP38,Sorted!$G$11)</f>
        <v>0</v>
      </c>
      <c r="AR38" s="47" t="n">
        <v>0</v>
      </c>
      <c r="AS38" s="47" t="n">
        <f aca="false">ROUND(AP38-AQ38-AR38,2)</f>
        <v>0</v>
      </c>
    </row>
    <row r="39" customFormat="false" ht="15" hidden="false" customHeight="false" outlineLevel="0" collapsed="false">
      <c r="A39" s="45" t="n">
        <v>36</v>
      </c>
      <c r="B39" s="46" t="n">
        <f aca="false">EDATE('My Debts'!$C$7,A39-1)</f>
        <v>47392</v>
      </c>
      <c r="C39" s="47" t="n">
        <v>0</v>
      </c>
      <c r="D39" s="47" t="n">
        <f aca="false">(F39+J39+N39+R39+V39+Z39+AD39+AH39+AL39+AP39)-(I39+M39+Q39+U39+Y39+AC39+AG39+AK39+AO39+AS39)</f>
        <v>230</v>
      </c>
      <c r="E39" s="48" t="n">
        <f aca="false">I39+M39+Q39+U39+Y39+AC39+AG39+AK39+AO39+AS39</f>
        <v>5516.13</v>
      </c>
      <c r="F39" s="47" t="n">
        <f aca="false">ROUND(I38*(1+Sorted!$H$2),2)</f>
        <v>0</v>
      </c>
      <c r="G39" s="47" t="n">
        <f aca="false">MIN(F39,Sorted!$G$2)</f>
        <v>0</v>
      </c>
      <c r="H39" s="47" t="n">
        <v>0</v>
      </c>
      <c r="I39" s="47" t="n">
        <f aca="false">ROUND(F39-G39-H39,2)</f>
        <v>0</v>
      </c>
      <c r="J39" s="47" t="n">
        <f aca="false">ROUND(M38*(1+Sorted!$H$3),2)</f>
        <v>430.03</v>
      </c>
      <c r="K39" s="47" t="n">
        <f aca="false">MIN(J39,Sorted!$G$3)</f>
        <v>55</v>
      </c>
      <c r="L39" s="47" t="n">
        <v>0</v>
      </c>
      <c r="M39" s="47" t="n">
        <f aca="false">ROUND(J39-K39-L39,2)</f>
        <v>375.03</v>
      </c>
      <c r="N39" s="47" t="n">
        <f aca="false">ROUND(Q38*(1+Sorted!$H$4),2)</f>
        <v>0</v>
      </c>
      <c r="O39" s="47" t="n">
        <f aca="false">MIN(N39,Sorted!$G$4)</f>
        <v>0</v>
      </c>
      <c r="P39" s="47" t="n">
        <v>0</v>
      </c>
      <c r="Q39" s="47" t="n">
        <f aca="false">ROUND(N39-O39-P39,2)</f>
        <v>0</v>
      </c>
      <c r="R39" s="47" t="n">
        <f aca="false">ROUND(U38*(1+Sorted!$H$5),2)</f>
        <v>5316.1</v>
      </c>
      <c r="S39" s="47" t="n">
        <f aca="false">MIN(R39,Sorted!$G$5)</f>
        <v>175</v>
      </c>
      <c r="T39" s="47" t="n">
        <v>0</v>
      </c>
      <c r="U39" s="47" t="n">
        <f aca="false">ROUND(R39-S39-T39,2)</f>
        <v>5141.1</v>
      </c>
      <c r="V39" s="47" t="n">
        <f aca="false">ROUND(Y38*(1+Sorted!$H$6),2)</f>
        <v>0</v>
      </c>
      <c r="W39" s="47" t="n">
        <f aca="false">MIN(V39,Sorted!$G$6)</f>
        <v>0</v>
      </c>
      <c r="X39" s="47" t="n">
        <v>0</v>
      </c>
      <c r="Y39" s="47" t="n">
        <f aca="false">ROUND(V39-W39-X39,2)</f>
        <v>0</v>
      </c>
      <c r="Z39" s="47" t="n">
        <f aca="false">ROUND(AC38*(1+Sorted!$H$7),2)</f>
        <v>0</v>
      </c>
      <c r="AA39" s="47" t="n">
        <f aca="false">MIN(Z39,Sorted!$G$7)</f>
        <v>0</v>
      </c>
      <c r="AB39" s="47" t="n">
        <v>0</v>
      </c>
      <c r="AC39" s="47" t="n">
        <f aca="false">ROUND(Z39-AA39-AB39,2)</f>
        <v>0</v>
      </c>
      <c r="AD39" s="47" t="n">
        <f aca="false">ROUND(AG38*(1+Sorted!$H$8),2)</f>
        <v>0</v>
      </c>
      <c r="AE39" s="47" t="n">
        <f aca="false">MIN(AD39,Sorted!$G$8)</f>
        <v>0</v>
      </c>
      <c r="AF39" s="47" t="n">
        <v>0</v>
      </c>
      <c r="AG39" s="47" t="n">
        <f aca="false">ROUND(AD39-AE39-AF39,2)</f>
        <v>0</v>
      </c>
      <c r="AH39" s="47" t="n">
        <f aca="false">ROUND(AK38*(1+Sorted!$H$9),2)</f>
        <v>0</v>
      </c>
      <c r="AI39" s="47" t="n">
        <f aca="false">MIN(AH39,Sorted!$G$9)</f>
        <v>0</v>
      </c>
      <c r="AJ39" s="47" t="n">
        <v>0</v>
      </c>
      <c r="AK39" s="47" t="n">
        <f aca="false">ROUND(AH39-AI39-AJ39,2)</f>
        <v>0</v>
      </c>
      <c r="AL39" s="47" t="n">
        <f aca="false">ROUND(AO38*(1+Sorted!$H$10),2)</f>
        <v>0</v>
      </c>
      <c r="AM39" s="47" t="n">
        <f aca="false">MIN(AL39,Sorted!$G$10)</f>
        <v>0</v>
      </c>
      <c r="AN39" s="47" t="n">
        <v>0</v>
      </c>
      <c r="AO39" s="47" t="n">
        <f aca="false">ROUND(AL39-AM39-AN39,2)</f>
        <v>0</v>
      </c>
      <c r="AP39" s="47" t="n">
        <f aca="false">ROUND(AS38*(1+Sorted!$H$11),2)</f>
        <v>0</v>
      </c>
      <c r="AQ39" s="47" t="n">
        <f aca="false">MIN(AP39,Sorted!$G$11)</f>
        <v>0</v>
      </c>
      <c r="AR39" s="47" t="n">
        <v>0</v>
      </c>
      <c r="AS39" s="47" t="n">
        <f aca="false">ROUND(AP39-AQ39-AR39,2)</f>
        <v>0</v>
      </c>
    </row>
    <row r="40" customFormat="false" ht="15" hidden="false" customHeight="false" outlineLevel="0" collapsed="false">
      <c r="A40" s="45" t="n">
        <v>37</v>
      </c>
      <c r="B40" s="46" t="n">
        <f aca="false">EDATE('My Debts'!$C$7,A40-1)</f>
        <v>47423</v>
      </c>
      <c r="C40" s="47" t="n">
        <v>0</v>
      </c>
      <c r="D40" s="47" t="n">
        <f aca="false">(F40+J40+N40+R40+V40+Z40+AD40+AH40+AL40+AP40)-(I40+M40+Q40+U40+Y40+AC40+AG40+AK40+AO40+AS40)</f>
        <v>230</v>
      </c>
      <c r="E40" s="48" t="n">
        <f aca="false">I40+M40+Q40+U40+Y40+AC40+AG40+AK40+AO40+AS40</f>
        <v>5402.56</v>
      </c>
      <c r="F40" s="47" t="n">
        <f aca="false">ROUND(I39*(1+Sorted!$H$2),2)</f>
        <v>0</v>
      </c>
      <c r="G40" s="47" t="n">
        <f aca="false">MIN(F40,Sorted!$G$2)</f>
        <v>0</v>
      </c>
      <c r="H40" s="47" t="n">
        <v>0</v>
      </c>
      <c r="I40" s="47" t="n">
        <f aca="false">ROUND(F40-G40-H40,2)</f>
        <v>0</v>
      </c>
      <c r="J40" s="47" t="n">
        <f aca="false">ROUND(M39*(1+Sorted!$H$3),2)</f>
        <v>384.4</v>
      </c>
      <c r="K40" s="47" t="n">
        <f aca="false">MIN(J40,Sorted!$G$3)</f>
        <v>55</v>
      </c>
      <c r="L40" s="47" t="n">
        <v>0</v>
      </c>
      <c r="M40" s="47" t="n">
        <f aca="false">ROUND(J40-K40-L40,2)</f>
        <v>329.4</v>
      </c>
      <c r="N40" s="47" t="n">
        <f aca="false">ROUND(Q39*(1+Sorted!$H$4),2)</f>
        <v>0</v>
      </c>
      <c r="O40" s="47" t="n">
        <f aca="false">MIN(N40,Sorted!$G$4)</f>
        <v>0</v>
      </c>
      <c r="P40" s="47" t="n">
        <v>0</v>
      </c>
      <c r="Q40" s="47" t="n">
        <f aca="false">ROUND(N40-O40-P40,2)</f>
        <v>0</v>
      </c>
      <c r="R40" s="47" t="n">
        <f aca="false">ROUND(U39*(1+Sorted!$H$5),2)</f>
        <v>5248.16</v>
      </c>
      <c r="S40" s="47" t="n">
        <f aca="false">MIN(R40,Sorted!$G$5)</f>
        <v>175</v>
      </c>
      <c r="T40" s="47" t="n">
        <v>0</v>
      </c>
      <c r="U40" s="47" t="n">
        <f aca="false">ROUND(R40-S40-T40,2)</f>
        <v>5073.16</v>
      </c>
      <c r="V40" s="47" t="n">
        <f aca="false">ROUND(Y39*(1+Sorted!$H$6),2)</f>
        <v>0</v>
      </c>
      <c r="W40" s="47" t="n">
        <f aca="false">MIN(V40,Sorted!$G$6)</f>
        <v>0</v>
      </c>
      <c r="X40" s="47" t="n">
        <v>0</v>
      </c>
      <c r="Y40" s="47" t="n">
        <f aca="false">ROUND(V40-W40-X40,2)</f>
        <v>0</v>
      </c>
      <c r="Z40" s="47" t="n">
        <f aca="false">ROUND(AC39*(1+Sorted!$H$7),2)</f>
        <v>0</v>
      </c>
      <c r="AA40" s="47" t="n">
        <f aca="false">MIN(Z40,Sorted!$G$7)</f>
        <v>0</v>
      </c>
      <c r="AB40" s="47" t="n">
        <v>0</v>
      </c>
      <c r="AC40" s="47" t="n">
        <f aca="false">ROUND(Z40-AA40-AB40,2)</f>
        <v>0</v>
      </c>
      <c r="AD40" s="47" t="n">
        <f aca="false">ROUND(AG39*(1+Sorted!$H$8),2)</f>
        <v>0</v>
      </c>
      <c r="AE40" s="47" t="n">
        <f aca="false">MIN(AD40,Sorted!$G$8)</f>
        <v>0</v>
      </c>
      <c r="AF40" s="47" t="n">
        <v>0</v>
      </c>
      <c r="AG40" s="47" t="n">
        <f aca="false">ROUND(AD40-AE40-AF40,2)</f>
        <v>0</v>
      </c>
      <c r="AH40" s="47" t="n">
        <f aca="false">ROUND(AK39*(1+Sorted!$H$9),2)</f>
        <v>0</v>
      </c>
      <c r="AI40" s="47" t="n">
        <f aca="false">MIN(AH40,Sorted!$G$9)</f>
        <v>0</v>
      </c>
      <c r="AJ40" s="47" t="n">
        <v>0</v>
      </c>
      <c r="AK40" s="47" t="n">
        <f aca="false">ROUND(AH40-AI40-AJ40,2)</f>
        <v>0</v>
      </c>
      <c r="AL40" s="47" t="n">
        <f aca="false">ROUND(AO39*(1+Sorted!$H$10),2)</f>
        <v>0</v>
      </c>
      <c r="AM40" s="47" t="n">
        <f aca="false">MIN(AL40,Sorted!$G$10)</f>
        <v>0</v>
      </c>
      <c r="AN40" s="47" t="n">
        <v>0</v>
      </c>
      <c r="AO40" s="47" t="n">
        <f aca="false">ROUND(AL40-AM40-AN40,2)</f>
        <v>0</v>
      </c>
      <c r="AP40" s="47" t="n">
        <f aca="false">ROUND(AS39*(1+Sorted!$H$11),2)</f>
        <v>0</v>
      </c>
      <c r="AQ40" s="47" t="n">
        <f aca="false">MIN(AP40,Sorted!$G$11)</f>
        <v>0</v>
      </c>
      <c r="AR40" s="47" t="n">
        <v>0</v>
      </c>
      <c r="AS40" s="47" t="n">
        <f aca="false">ROUND(AP40-AQ40-AR40,2)</f>
        <v>0</v>
      </c>
    </row>
    <row r="41" customFormat="false" ht="15" hidden="false" customHeight="false" outlineLevel="0" collapsed="false">
      <c r="A41" s="45" t="n">
        <v>38</v>
      </c>
      <c r="B41" s="46" t="n">
        <f aca="false">EDATE('My Debts'!$C$7,A41-1)</f>
        <v>47453</v>
      </c>
      <c r="C41" s="47" t="n">
        <v>0</v>
      </c>
      <c r="D41" s="47" t="n">
        <f aca="false">(F41+J41+N41+R41+V41+Z41+AD41+AH41+AL41+AP41)-(I41+M41+Q41+U41+Y41+AC41+AG41+AK41+AO41+AS41)</f>
        <v>230</v>
      </c>
      <c r="E41" s="48" t="n">
        <f aca="false">I41+M41+Q41+U41+Y41+AC41+AG41+AK41+AO41+AS41</f>
        <v>5286.44</v>
      </c>
      <c r="F41" s="47" t="n">
        <f aca="false">ROUND(I40*(1+Sorted!$H$2),2)</f>
        <v>0</v>
      </c>
      <c r="G41" s="47" t="n">
        <f aca="false">MIN(F41,Sorted!$G$2)</f>
        <v>0</v>
      </c>
      <c r="H41" s="47" t="n">
        <v>0</v>
      </c>
      <c r="I41" s="47" t="n">
        <f aca="false">ROUND(F41-G41-H41,2)</f>
        <v>0</v>
      </c>
      <c r="J41" s="47" t="n">
        <f aca="false">ROUND(M40*(1+Sorted!$H$3),2)</f>
        <v>337.63</v>
      </c>
      <c r="K41" s="47" t="n">
        <f aca="false">MIN(J41,Sorted!$G$3)</f>
        <v>55</v>
      </c>
      <c r="L41" s="47" t="n">
        <v>0</v>
      </c>
      <c r="M41" s="47" t="n">
        <f aca="false">ROUND(J41-K41-L41,2)</f>
        <v>282.63</v>
      </c>
      <c r="N41" s="47" t="n">
        <f aca="false">ROUND(Q40*(1+Sorted!$H$4),2)</f>
        <v>0</v>
      </c>
      <c r="O41" s="47" t="n">
        <f aca="false">MIN(N41,Sorted!$G$4)</f>
        <v>0</v>
      </c>
      <c r="P41" s="47" t="n">
        <v>0</v>
      </c>
      <c r="Q41" s="47" t="n">
        <f aca="false">ROUND(N41-O41-P41,2)</f>
        <v>0</v>
      </c>
      <c r="R41" s="47" t="n">
        <f aca="false">ROUND(U40*(1+Sorted!$H$5),2)</f>
        <v>5178.81</v>
      </c>
      <c r="S41" s="47" t="n">
        <f aca="false">MIN(R41,Sorted!$G$5)</f>
        <v>175</v>
      </c>
      <c r="T41" s="47" t="n">
        <v>0</v>
      </c>
      <c r="U41" s="47" t="n">
        <f aca="false">ROUND(R41-S41-T41,2)</f>
        <v>5003.81</v>
      </c>
      <c r="V41" s="47" t="n">
        <f aca="false">ROUND(Y40*(1+Sorted!$H$6),2)</f>
        <v>0</v>
      </c>
      <c r="W41" s="47" t="n">
        <f aca="false">MIN(V41,Sorted!$G$6)</f>
        <v>0</v>
      </c>
      <c r="X41" s="47" t="n">
        <v>0</v>
      </c>
      <c r="Y41" s="47" t="n">
        <f aca="false">ROUND(V41-W41-X41,2)</f>
        <v>0</v>
      </c>
      <c r="Z41" s="47" t="n">
        <f aca="false">ROUND(AC40*(1+Sorted!$H$7),2)</f>
        <v>0</v>
      </c>
      <c r="AA41" s="47" t="n">
        <f aca="false">MIN(Z41,Sorted!$G$7)</f>
        <v>0</v>
      </c>
      <c r="AB41" s="47" t="n">
        <v>0</v>
      </c>
      <c r="AC41" s="47" t="n">
        <f aca="false">ROUND(Z41-AA41-AB41,2)</f>
        <v>0</v>
      </c>
      <c r="AD41" s="47" t="n">
        <f aca="false">ROUND(AG40*(1+Sorted!$H$8),2)</f>
        <v>0</v>
      </c>
      <c r="AE41" s="47" t="n">
        <f aca="false">MIN(AD41,Sorted!$G$8)</f>
        <v>0</v>
      </c>
      <c r="AF41" s="47" t="n">
        <v>0</v>
      </c>
      <c r="AG41" s="47" t="n">
        <f aca="false">ROUND(AD41-AE41-AF41,2)</f>
        <v>0</v>
      </c>
      <c r="AH41" s="47" t="n">
        <f aca="false">ROUND(AK40*(1+Sorted!$H$9),2)</f>
        <v>0</v>
      </c>
      <c r="AI41" s="47" t="n">
        <f aca="false">MIN(AH41,Sorted!$G$9)</f>
        <v>0</v>
      </c>
      <c r="AJ41" s="47" t="n">
        <v>0</v>
      </c>
      <c r="AK41" s="47" t="n">
        <f aca="false">ROUND(AH41-AI41-AJ41,2)</f>
        <v>0</v>
      </c>
      <c r="AL41" s="47" t="n">
        <f aca="false">ROUND(AO40*(1+Sorted!$H$10),2)</f>
        <v>0</v>
      </c>
      <c r="AM41" s="47" t="n">
        <f aca="false">MIN(AL41,Sorted!$G$10)</f>
        <v>0</v>
      </c>
      <c r="AN41" s="47" t="n">
        <v>0</v>
      </c>
      <c r="AO41" s="47" t="n">
        <f aca="false">ROUND(AL41-AM41-AN41,2)</f>
        <v>0</v>
      </c>
      <c r="AP41" s="47" t="n">
        <f aca="false">ROUND(AS40*(1+Sorted!$H$11),2)</f>
        <v>0</v>
      </c>
      <c r="AQ41" s="47" t="n">
        <f aca="false">MIN(AP41,Sorted!$G$11)</f>
        <v>0</v>
      </c>
      <c r="AR41" s="47" t="n">
        <v>0</v>
      </c>
      <c r="AS41" s="47" t="n">
        <f aca="false">ROUND(AP41-AQ41-AR41,2)</f>
        <v>0</v>
      </c>
    </row>
    <row r="42" customFormat="false" ht="15" hidden="false" customHeight="false" outlineLevel="0" collapsed="false">
      <c r="A42" s="45" t="n">
        <v>39</v>
      </c>
      <c r="B42" s="46" t="n">
        <f aca="false">EDATE('My Debts'!$C$7,A42-1)</f>
        <v>47484</v>
      </c>
      <c r="C42" s="47" t="n">
        <v>0</v>
      </c>
      <c r="D42" s="47" t="n">
        <f aca="false">(F42+J42+N42+R42+V42+Z42+AD42+AH42+AL42+AP42)-(I42+M42+Q42+U42+Y42+AC42+AG42+AK42+AO42+AS42)</f>
        <v>230</v>
      </c>
      <c r="E42" s="48" t="n">
        <f aca="false">I42+M42+Q42+U42+Y42+AC42+AG42+AK42+AO42+AS42</f>
        <v>5167.7</v>
      </c>
      <c r="F42" s="47" t="n">
        <f aca="false">ROUND(I41*(1+Sorted!$H$2),2)</f>
        <v>0</v>
      </c>
      <c r="G42" s="47" t="n">
        <f aca="false">MIN(F42,Sorted!$G$2)</f>
        <v>0</v>
      </c>
      <c r="H42" s="47" t="n">
        <v>0</v>
      </c>
      <c r="I42" s="47" t="n">
        <f aca="false">ROUND(F42-G42-H42,2)</f>
        <v>0</v>
      </c>
      <c r="J42" s="47" t="n">
        <f aca="false">ROUND(M41*(1+Sorted!$H$3),2)</f>
        <v>289.69</v>
      </c>
      <c r="K42" s="47" t="n">
        <f aca="false">MIN(J42,Sorted!$G$3)</f>
        <v>55</v>
      </c>
      <c r="L42" s="47" t="n">
        <v>0</v>
      </c>
      <c r="M42" s="47" t="n">
        <f aca="false">ROUND(J42-K42-L42,2)</f>
        <v>234.69</v>
      </c>
      <c r="N42" s="47" t="n">
        <f aca="false">ROUND(Q41*(1+Sorted!$H$4),2)</f>
        <v>0</v>
      </c>
      <c r="O42" s="47" t="n">
        <f aca="false">MIN(N42,Sorted!$G$4)</f>
        <v>0</v>
      </c>
      <c r="P42" s="47" t="n">
        <v>0</v>
      </c>
      <c r="Q42" s="47" t="n">
        <f aca="false">ROUND(N42-O42-P42,2)</f>
        <v>0</v>
      </c>
      <c r="R42" s="47" t="n">
        <f aca="false">ROUND(U41*(1+Sorted!$H$5),2)</f>
        <v>5108.01</v>
      </c>
      <c r="S42" s="47" t="n">
        <f aca="false">MIN(R42,Sorted!$G$5)</f>
        <v>175</v>
      </c>
      <c r="T42" s="47" t="n">
        <v>0</v>
      </c>
      <c r="U42" s="47" t="n">
        <f aca="false">ROUND(R42-S42-T42,2)</f>
        <v>4933.01</v>
      </c>
      <c r="V42" s="47" t="n">
        <f aca="false">ROUND(Y41*(1+Sorted!$H$6),2)</f>
        <v>0</v>
      </c>
      <c r="W42" s="47" t="n">
        <f aca="false">MIN(V42,Sorted!$G$6)</f>
        <v>0</v>
      </c>
      <c r="X42" s="47" t="n">
        <v>0</v>
      </c>
      <c r="Y42" s="47" t="n">
        <f aca="false">ROUND(V42-W42-X42,2)</f>
        <v>0</v>
      </c>
      <c r="Z42" s="47" t="n">
        <f aca="false">ROUND(AC41*(1+Sorted!$H$7),2)</f>
        <v>0</v>
      </c>
      <c r="AA42" s="47" t="n">
        <f aca="false">MIN(Z42,Sorted!$G$7)</f>
        <v>0</v>
      </c>
      <c r="AB42" s="47" t="n">
        <v>0</v>
      </c>
      <c r="AC42" s="47" t="n">
        <f aca="false">ROUND(Z42-AA42-AB42,2)</f>
        <v>0</v>
      </c>
      <c r="AD42" s="47" t="n">
        <f aca="false">ROUND(AG41*(1+Sorted!$H$8),2)</f>
        <v>0</v>
      </c>
      <c r="AE42" s="47" t="n">
        <f aca="false">MIN(AD42,Sorted!$G$8)</f>
        <v>0</v>
      </c>
      <c r="AF42" s="47" t="n">
        <v>0</v>
      </c>
      <c r="AG42" s="47" t="n">
        <f aca="false">ROUND(AD42-AE42-AF42,2)</f>
        <v>0</v>
      </c>
      <c r="AH42" s="47" t="n">
        <f aca="false">ROUND(AK41*(1+Sorted!$H$9),2)</f>
        <v>0</v>
      </c>
      <c r="AI42" s="47" t="n">
        <f aca="false">MIN(AH42,Sorted!$G$9)</f>
        <v>0</v>
      </c>
      <c r="AJ42" s="47" t="n">
        <v>0</v>
      </c>
      <c r="AK42" s="47" t="n">
        <f aca="false">ROUND(AH42-AI42-AJ42,2)</f>
        <v>0</v>
      </c>
      <c r="AL42" s="47" t="n">
        <f aca="false">ROUND(AO41*(1+Sorted!$H$10),2)</f>
        <v>0</v>
      </c>
      <c r="AM42" s="47" t="n">
        <f aca="false">MIN(AL42,Sorted!$G$10)</f>
        <v>0</v>
      </c>
      <c r="AN42" s="47" t="n">
        <v>0</v>
      </c>
      <c r="AO42" s="47" t="n">
        <f aca="false">ROUND(AL42-AM42-AN42,2)</f>
        <v>0</v>
      </c>
      <c r="AP42" s="47" t="n">
        <f aca="false">ROUND(AS41*(1+Sorted!$H$11),2)</f>
        <v>0</v>
      </c>
      <c r="AQ42" s="47" t="n">
        <f aca="false">MIN(AP42,Sorted!$G$11)</f>
        <v>0</v>
      </c>
      <c r="AR42" s="47" t="n">
        <v>0</v>
      </c>
      <c r="AS42" s="47" t="n">
        <f aca="false">ROUND(AP42-AQ42-AR42,2)</f>
        <v>0</v>
      </c>
    </row>
    <row r="43" customFormat="false" ht="15" hidden="false" customHeight="false" outlineLevel="0" collapsed="false">
      <c r="A43" s="45" t="n">
        <v>40</v>
      </c>
      <c r="B43" s="46" t="n">
        <f aca="false">EDATE('My Debts'!$C$7,A43-1)</f>
        <v>47515</v>
      </c>
      <c r="C43" s="47" t="n">
        <v>0</v>
      </c>
      <c r="D43" s="47" t="n">
        <f aca="false">(F43+J43+N43+R43+V43+Z43+AD43+AH43+AL43+AP43)-(I43+M43+Q43+U43+Y43+AC43+AG43+AK43+AO43+AS43)</f>
        <v>230</v>
      </c>
      <c r="E43" s="48" t="n">
        <f aca="false">I43+M43+Q43+U43+Y43+AC43+AG43+AK43+AO43+AS43</f>
        <v>5046.3</v>
      </c>
      <c r="F43" s="47" t="n">
        <f aca="false">ROUND(I42*(1+Sorted!$H$2),2)</f>
        <v>0</v>
      </c>
      <c r="G43" s="47" t="n">
        <f aca="false">MIN(F43,Sorted!$G$2)</f>
        <v>0</v>
      </c>
      <c r="H43" s="47" t="n">
        <v>0</v>
      </c>
      <c r="I43" s="47" t="n">
        <f aca="false">ROUND(F43-G43-H43,2)</f>
        <v>0</v>
      </c>
      <c r="J43" s="47" t="n">
        <f aca="false">ROUND(M42*(1+Sorted!$H$3),2)</f>
        <v>240.56</v>
      </c>
      <c r="K43" s="47" t="n">
        <f aca="false">MIN(J43,Sorted!$G$3)</f>
        <v>55</v>
      </c>
      <c r="L43" s="47" t="n">
        <v>0</v>
      </c>
      <c r="M43" s="47" t="n">
        <f aca="false">ROUND(J43-K43-L43,2)</f>
        <v>185.56</v>
      </c>
      <c r="N43" s="47" t="n">
        <f aca="false">ROUND(Q42*(1+Sorted!$H$4),2)</f>
        <v>0</v>
      </c>
      <c r="O43" s="47" t="n">
        <f aca="false">MIN(N43,Sorted!$G$4)</f>
        <v>0</v>
      </c>
      <c r="P43" s="47" t="n">
        <v>0</v>
      </c>
      <c r="Q43" s="47" t="n">
        <f aca="false">ROUND(N43-O43-P43,2)</f>
        <v>0</v>
      </c>
      <c r="R43" s="47" t="n">
        <f aca="false">ROUND(U42*(1+Sorted!$H$5),2)</f>
        <v>5035.74</v>
      </c>
      <c r="S43" s="47" t="n">
        <f aca="false">MIN(R43,Sorted!$G$5)</f>
        <v>175</v>
      </c>
      <c r="T43" s="47" t="n">
        <v>0</v>
      </c>
      <c r="U43" s="47" t="n">
        <f aca="false">ROUND(R43-S43-T43,2)</f>
        <v>4860.74</v>
      </c>
      <c r="V43" s="47" t="n">
        <f aca="false">ROUND(Y42*(1+Sorted!$H$6),2)</f>
        <v>0</v>
      </c>
      <c r="W43" s="47" t="n">
        <f aca="false">MIN(V43,Sorted!$G$6)</f>
        <v>0</v>
      </c>
      <c r="X43" s="47" t="n">
        <v>0</v>
      </c>
      <c r="Y43" s="47" t="n">
        <f aca="false">ROUND(V43-W43-X43,2)</f>
        <v>0</v>
      </c>
      <c r="Z43" s="47" t="n">
        <f aca="false">ROUND(AC42*(1+Sorted!$H$7),2)</f>
        <v>0</v>
      </c>
      <c r="AA43" s="47" t="n">
        <f aca="false">MIN(Z43,Sorted!$G$7)</f>
        <v>0</v>
      </c>
      <c r="AB43" s="47" t="n">
        <v>0</v>
      </c>
      <c r="AC43" s="47" t="n">
        <f aca="false">ROUND(Z43-AA43-AB43,2)</f>
        <v>0</v>
      </c>
      <c r="AD43" s="47" t="n">
        <f aca="false">ROUND(AG42*(1+Sorted!$H$8),2)</f>
        <v>0</v>
      </c>
      <c r="AE43" s="47" t="n">
        <f aca="false">MIN(AD43,Sorted!$G$8)</f>
        <v>0</v>
      </c>
      <c r="AF43" s="47" t="n">
        <v>0</v>
      </c>
      <c r="AG43" s="47" t="n">
        <f aca="false">ROUND(AD43-AE43-AF43,2)</f>
        <v>0</v>
      </c>
      <c r="AH43" s="47" t="n">
        <f aca="false">ROUND(AK42*(1+Sorted!$H$9),2)</f>
        <v>0</v>
      </c>
      <c r="AI43" s="47" t="n">
        <f aca="false">MIN(AH43,Sorted!$G$9)</f>
        <v>0</v>
      </c>
      <c r="AJ43" s="47" t="n">
        <v>0</v>
      </c>
      <c r="AK43" s="47" t="n">
        <f aca="false">ROUND(AH43-AI43-AJ43,2)</f>
        <v>0</v>
      </c>
      <c r="AL43" s="47" t="n">
        <f aca="false">ROUND(AO42*(1+Sorted!$H$10),2)</f>
        <v>0</v>
      </c>
      <c r="AM43" s="47" t="n">
        <f aca="false">MIN(AL43,Sorted!$G$10)</f>
        <v>0</v>
      </c>
      <c r="AN43" s="47" t="n">
        <v>0</v>
      </c>
      <c r="AO43" s="47" t="n">
        <f aca="false">ROUND(AL43-AM43-AN43,2)</f>
        <v>0</v>
      </c>
      <c r="AP43" s="47" t="n">
        <f aca="false">ROUND(AS42*(1+Sorted!$H$11),2)</f>
        <v>0</v>
      </c>
      <c r="AQ43" s="47" t="n">
        <f aca="false">MIN(AP43,Sorted!$G$11)</f>
        <v>0</v>
      </c>
      <c r="AR43" s="47" t="n">
        <v>0</v>
      </c>
      <c r="AS43" s="47" t="n">
        <f aca="false">ROUND(AP43-AQ43-AR43,2)</f>
        <v>0</v>
      </c>
    </row>
    <row r="44" customFormat="false" ht="15" hidden="false" customHeight="false" outlineLevel="0" collapsed="false">
      <c r="A44" s="45" t="n">
        <v>41</v>
      </c>
      <c r="B44" s="46" t="n">
        <f aca="false">EDATE('My Debts'!$C$7,A44-1)</f>
        <v>47543</v>
      </c>
      <c r="C44" s="47" t="n">
        <v>0</v>
      </c>
      <c r="D44" s="47" t="n">
        <f aca="false">(F44+J44+N44+R44+V44+Z44+AD44+AH44+AL44+AP44)-(I44+M44+Q44+U44+Y44+AC44+AG44+AK44+AO44+AS44)</f>
        <v>230</v>
      </c>
      <c r="E44" s="48" t="n">
        <f aca="false">I44+M44+Q44+U44+Y44+AC44+AG44+AK44+AO44+AS44</f>
        <v>4922.16</v>
      </c>
      <c r="F44" s="47" t="n">
        <f aca="false">ROUND(I43*(1+Sorted!$H$2),2)</f>
        <v>0</v>
      </c>
      <c r="G44" s="47" t="n">
        <f aca="false">MIN(F44,Sorted!$G$2)</f>
        <v>0</v>
      </c>
      <c r="H44" s="47" t="n">
        <v>0</v>
      </c>
      <c r="I44" s="47" t="n">
        <f aca="false">ROUND(F44-G44-H44,2)</f>
        <v>0</v>
      </c>
      <c r="J44" s="47" t="n">
        <f aca="false">ROUND(M43*(1+Sorted!$H$3),2)</f>
        <v>190.2</v>
      </c>
      <c r="K44" s="47" t="n">
        <f aca="false">MIN(J44,Sorted!$G$3)</f>
        <v>55</v>
      </c>
      <c r="L44" s="47" t="n">
        <v>0</v>
      </c>
      <c r="M44" s="47" t="n">
        <f aca="false">ROUND(J44-K44-L44,2)</f>
        <v>135.2</v>
      </c>
      <c r="N44" s="47" t="n">
        <f aca="false">ROUND(Q43*(1+Sorted!$H$4),2)</f>
        <v>0</v>
      </c>
      <c r="O44" s="47" t="n">
        <f aca="false">MIN(N44,Sorted!$G$4)</f>
        <v>0</v>
      </c>
      <c r="P44" s="47" t="n">
        <v>0</v>
      </c>
      <c r="Q44" s="47" t="n">
        <f aca="false">ROUND(N44-O44-P44,2)</f>
        <v>0</v>
      </c>
      <c r="R44" s="47" t="n">
        <f aca="false">ROUND(U43*(1+Sorted!$H$5),2)</f>
        <v>4961.96</v>
      </c>
      <c r="S44" s="47" t="n">
        <f aca="false">MIN(R44,Sorted!$G$5)</f>
        <v>175</v>
      </c>
      <c r="T44" s="47" t="n">
        <v>0</v>
      </c>
      <c r="U44" s="47" t="n">
        <f aca="false">ROUND(R44-S44-T44,2)</f>
        <v>4786.96</v>
      </c>
      <c r="V44" s="47" t="n">
        <f aca="false">ROUND(Y43*(1+Sorted!$H$6),2)</f>
        <v>0</v>
      </c>
      <c r="W44" s="47" t="n">
        <f aca="false">MIN(V44,Sorted!$G$6)</f>
        <v>0</v>
      </c>
      <c r="X44" s="47" t="n">
        <v>0</v>
      </c>
      <c r="Y44" s="47" t="n">
        <f aca="false">ROUND(V44-W44-X44,2)</f>
        <v>0</v>
      </c>
      <c r="Z44" s="47" t="n">
        <f aca="false">ROUND(AC43*(1+Sorted!$H$7),2)</f>
        <v>0</v>
      </c>
      <c r="AA44" s="47" t="n">
        <f aca="false">MIN(Z44,Sorted!$G$7)</f>
        <v>0</v>
      </c>
      <c r="AB44" s="47" t="n">
        <v>0</v>
      </c>
      <c r="AC44" s="47" t="n">
        <f aca="false">ROUND(Z44-AA44-AB44,2)</f>
        <v>0</v>
      </c>
      <c r="AD44" s="47" t="n">
        <f aca="false">ROUND(AG43*(1+Sorted!$H$8),2)</f>
        <v>0</v>
      </c>
      <c r="AE44" s="47" t="n">
        <f aca="false">MIN(AD44,Sorted!$G$8)</f>
        <v>0</v>
      </c>
      <c r="AF44" s="47" t="n">
        <v>0</v>
      </c>
      <c r="AG44" s="47" t="n">
        <f aca="false">ROUND(AD44-AE44-AF44,2)</f>
        <v>0</v>
      </c>
      <c r="AH44" s="47" t="n">
        <f aca="false">ROUND(AK43*(1+Sorted!$H$9),2)</f>
        <v>0</v>
      </c>
      <c r="AI44" s="47" t="n">
        <f aca="false">MIN(AH44,Sorted!$G$9)</f>
        <v>0</v>
      </c>
      <c r="AJ44" s="47" t="n">
        <v>0</v>
      </c>
      <c r="AK44" s="47" t="n">
        <f aca="false">ROUND(AH44-AI44-AJ44,2)</f>
        <v>0</v>
      </c>
      <c r="AL44" s="47" t="n">
        <f aca="false">ROUND(AO43*(1+Sorted!$H$10),2)</f>
        <v>0</v>
      </c>
      <c r="AM44" s="47" t="n">
        <f aca="false">MIN(AL44,Sorted!$G$10)</f>
        <v>0</v>
      </c>
      <c r="AN44" s="47" t="n">
        <v>0</v>
      </c>
      <c r="AO44" s="47" t="n">
        <f aca="false">ROUND(AL44-AM44-AN44,2)</f>
        <v>0</v>
      </c>
      <c r="AP44" s="47" t="n">
        <f aca="false">ROUND(AS43*(1+Sorted!$H$11),2)</f>
        <v>0</v>
      </c>
      <c r="AQ44" s="47" t="n">
        <f aca="false">MIN(AP44,Sorted!$G$11)</f>
        <v>0</v>
      </c>
      <c r="AR44" s="47" t="n">
        <v>0</v>
      </c>
      <c r="AS44" s="47" t="n">
        <f aca="false">ROUND(AP44-AQ44-AR44,2)</f>
        <v>0</v>
      </c>
    </row>
    <row r="45" customFormat="false" ht="15" hidden="false" customHeight="false" outlineLevel="0" collapsed="false">
      <c r="A45" s="45" t="n">
        <v>42</v>
      </c>
      <c r="B45" s="46" t="n">
        <f aca="false">EDATE('My Debts'!$C$7,A45-1)</f>
        <v>47574</v>
      </c>
      <c r="C45" s="47" t="n">
        <v>0</v>
      </c>
      <c r="D45" s="47" t="n">
        <f aca="false">(F45+J45+N45+R45+V45+Z45+AD45+AH45+AL45+AP45)-(I45+M45+Q45+U45+Y45+AC45+AG45+AK45+AO45+AS45)</f>
        <v>230</v>
      </c>
      <c r="E45" s="48" t="n">
        <f aca="false">I45+M45+Q45+U45+Y45+AC45+AG45+AK45+AO45+AS45</f>
        <v>4795.23</v>
      </c>
      <c r="F45" s="47" t="n">
        <f aca="false">ROUND(I44*(1+Sorted!$H$2),2)</f>
        <v>0</v>
      </c>
      <c r="G45" s="47" t="n">
        <f aca="false">MIN(F45,Sorted!$G$2)</f>
        <v>0</v>
      </c>
      <c r="H45" s="47" t="n">
        <v>0</v>
      </c>
      <c r="I45" s="47" t="n">
        <f aca="false">ROUND(F45-G45-H45,2)</f>
        <v>0</v>
      </c>
      <c r="J45" s="47" t="n">
        <f aca="false">ROUND(M44*(1+Sorted!$H$3),2)</f>
        <v>138.58</v>
      </c>
      <c r="K45" s="47" t="n">
        <f aca="false">MIN(J45,Sorted!$G$3)</f>
        <v>55</v>
      </c>
      <c r="L45" s="47" t="n">
        <v>0</v>
      </c>
      <c r="M45" s="47" t="n">
        <f aca="false">ROUND(J45-K45-L45,2)</f>
        <v>83.58</v>
      </c>
      <c r="N45" s="47" t="n">
        <f aca="false">ROUND(Q44*(1+Sorted!$H$4),2)</f>
        <v>0</v>
      </c>
      <c r="O45" s="47" t="n">
        <f aca="false">MIN(N45,Sorted!$G$4)</f>
        <v>0</v>
      </c>
      <c r="P45" s="47" t="n">
        <v>0</v>
      </c>
      <c r="Q45" s="47" t="n">
        <f aca="false">ROUND(N45-O45-P45,2)</f>
        <v>0</v>
      </c>
      <c r="R45" s="47" t="n">
        <f aca="false">ROUND(U44*(1+Sorted!$H$5),2)</f>
        <v>4886.65</v>
      </c>
      <c r="S45" s="47" t="n">
        <f aca="false">MIN(R45,Sorted!$G$5)</f>
        <v>175</v>
      </c>
      <c r="T45" s="47" t="n">
        <v>0</v>
      </c>
      <c r="U45" s="47" t="n">
        <f aca="false">ROUND(R45-S45-T45,2)</f>
        <v>4711.65</v>
      </c>
      <c r="V45" s="47" t="n">
        <f aca="false">ROUND(Y44*(1+Sorted!$H$6),2)</f>
        <v>0</v>
      </c>
      <c r="W45" s="47" t="n">
        <f aca="false">MIN(V45,Sorted!$G$6)</f>
        <v>0</v>
      </c>
      <c r="X45" s="47" t="n">
        <v>0</v>
      </c>
      <c r="Y45" s="47" t="n">
        <f aca="false">ROUND(V45-W45-X45,2)</f>
        <v>0</v>
      </c>
      <c r="Z45" s="47" t="n">
        <f aca="false">ROUND(AC44*(1+Sorted!$H$7),2)</f>
        <v>0</v>
      </c>
      <c r="AA45" s="47" t="n">
        <f aca="false">MIN(Z45,Sorted!$G$7)</f>
        <v>0</v>
      </c>
      <c r="AB45" s="47" t="n">
        <v>0</v>
      </c>
      <c r="AC45" s="47" t="n">
        <f aca="false">ROUND(Z45-AA45-AB45,2)</f>
        <v>0</v>
      </c>
      <c r="AD45" s="47" t="n">
        <f aca="false">ROUND(AG44*(1+Sorted!$H$8),2)</f>
        <v>0</v>
      </c>
      <c r="AE45" s="47" t="n">
        <f aca="false">MIN(AD45,Sorted!$G$8)</f>
        <v>0</v>
      </c>
      <c r="AF45" s="47" t="n">
        <v>0</v>
      </c>
      <c r="AG45" s="47" t="n">
        <f aca="false">ROUND(AD45-AE45-AF45,2)</f>
        <v>0</v>
      </c>
      <c r="AH45" s="47" t="n">
        <f aca="false">ROUND(AK44*(1+Sorted!$H$9),2)</f>
        <v>0</v>
      </c>
      <c r="AI45" s="47" t="n">
        <f aca="false">MIN(AH45,Sorted!$G$9)</f>
        <v>0</v>
      </c>
      <c r="AJ45" s="47" t="n">
        <v>0</v>
      </c>
      <c r="AK45" s="47" t="n">
        <f aca="false">ROUND(AH45-AI45-AJ45,2)</f>
        <v>0</v>
      </c>
      <c r="AL45" s="47" t="n">
        <f aca="false">ROUND(AO44*(1+Sorted!$H$10),2)</f>
        <v>0</v>
      </c>
      <c r="AM45" s="47" t="n">
        <f aca="false">MIN(AL45,Sorted!$G$10)</f>
        <v>0</v>
      </c>
      <c r="AN45" s="47" t="n">
        <v>0</v>
      </c>
      <c r="AO45" s="47" t="n">
        <f aca="false">ROUND(AL45-AM45-AN45,2)</f>
        <v>0</v>
      </c>
      <c r="AP45" s="47" t="n">
        <f aca="false">ROUND(AS44*(1+Sorted!$H$11),2)</f>
        <v>0</v>
      </c>
      <c r="AQ45" s="47" t="n">
        <f aca="false">MIN(AP45,Sorted!$G$11)</f>
        <v>0</v>
      </c>
      <c r="AR45" s="47" t="n">
        <v>0</v>
      </c>
      <c r="AS45" s="47" t="n">
        <f aca="false">ROUND(AP45-AQ45-AR45,2)</f>
        <v>0</v>
      </c>
    </row>
    <row r="46" customFormat="false" ht="15" hidden="false" customHeight="false" outlineLevel="0" collapsed="false">
      <c r="A46" s="45" t="n">
        <v>43</v>
      </c>
      <c r="B46" s="46" t="n">
        <f aca="false">EDATE('My Debts'!$C$7,A46-1)</f>
        <v>47604</v>
      </c>
      <c r="C46" s="47" t="n">
        <v>0</v>
      </c>
      <c r="D46" s="47" t="n">
        <f aca="false">(F46+J46+N46+R46+V46+Z46+AD46+AH46+AL46+AP46)-(I46+M46+Q46+U46+Y46+AC46+AG46+AK46+AO46+AS46)</f>
        <v>230</v>
      </c>
      <c r="E46" s="48" t="n">
        <f aca="false">I46+M46+Q46+U46+Y46+AC46+AG46+AK46+AO46+AS46</f>
        <v>4665.44</v>
      </c>
      <c r="F46" s="47" t="n">
        <f aca="false">ROUND(I45*(1+Sorted!$H$2),2)</f>
        <v>0</v>
      </c>
      <c r="G46" s="47" t="n">
        <f aca="false">MIN(F46,Sorted!$G$2)</f>
        <v>0</v>
      </c>
      <c r="H46" s="47" t="n">
        <v>0</v>
      </c>
      <c r="I46" s="47" t="n">
        <f aca="false">ROUND(F46-G46-H46,2)</f>
        <v>0</v>
      </c>
      <c r="J46" s="47" t="n">
        <f aca="false">ROUND(M45*(1+Sorted!$H$3),2)</f>
        <v>85.67</v>
      </c>
      <c r="K46" s="47" t="n">
        <f aca="false">MIN(J46,Sorted!$G$3)</f>
        <v>55</v>
      </c>
      <c r="L46" s="47" t="n">
        <v>0</v>
      </c>
      <c r="M46" s="47" t="n">
        <f aca="false">ROUND(J46-K46-L46,2)</f>
        <v>30.67</v>
      </c>
      <c r="N46" s="47" t="n">
        <f aca="false">ROUND(Q45*(1+Sorted!$H$4),2)</f>
        <v>0</v>
      </c>
      <c r="O46" s="47" t="n">
        <f aca="false">MIN(N46,Sorted!$G$4)</f>
        <v>0</v>
      </c>
      <c r="P46" s="47" t="n">
        <v>0</v>
      </c>
      <c r="Q46" s="47" t="n">
        <f aca="false">ROUND(N46-O46-P46,2)</f>
        <v>0</v>
      </c>
      <c r="R46" s="47" t="n">
        <f aca="false">ROUND(U45*(1+Sorted!$H$5),2)</f>
        <v>4809.77</v>
      </c>
      <c r="S46" s="47" t="n">
        <f aca="false">MIN(R46,Sorted!$G$5)</f>
        <v>175</v>
      </c>
      <c r="T46" s="47" t="n">
        <v>0</v>
      </c>
      <c r="U46" s="47" t="n">
        <f aca="false">ROUND(R46-S46-T46,2)</f>
        <v>4634.77</v>
      </c>
      <c r="V46" s="47" t="n">
        <f aca="false">ROUND(Y45*(1+Sorted!$H$6),2)</f>
        <v>0</v>
      </c>
      <c r="W46" s="47" t="n">
        <f aca="false">MIN(V46,Sorted!$G$6)</f>
        <v>0</v>
      </c>
      <c r="X46" s="47" t="n">
        <v>0</v>
      </c>
      <c r="Y46" s="47" t="n">
        <f aca="false">ROUND(V46-W46-X46,2)</f>
        <v>0</v>
      </c>
      <c r="Z46" s="47" t="n">
        <f aca="false">ROUND(AC45*(1+Sorted!$H$7),2)</f>
        <v>0</v>
      </c>
      <c r="AA46" s="47" t="n">
        <f aca="false">MIN(Z46,Sorted!$G$7)</f>
        <v>0</v>
      </c>
      <c r="AB46" s="47" t="n">
        <v>0</v>
      </c>
      <c r="AC46" s="47" t="n">
        <f aca="false">ROUND(Z46-AA46-AB46,2)</f>
        <v>0</v>
      </c>
      <c r="AD46" s="47" t="n">
        <f aca="false">ROUND(AG45*(1+Sorted!$H$8),2)</f>
        <v>0</v>
      </c>
      <c r="AE46" s="47" t="n">
        <f aca="false">MIN(AD46,Sorted!$G$8)</f>
        <v>0</v>
      </c>
      <c r="AF46" s="47" t="n">
        <v>0</v>
      </c>
      <c r="AG46" s="47" t="n">
        <f aca="false">ROUND(AD46-AE46-AF46,2)</f>
        <v>0</v>
      </c>
      <c r="AH46" s="47" t="n">
        <f aca="false">ROUND(AK45*(1+Sorted!$H$9),2)</f>
        <v>0</v>
      </c>
      <c r="AI46" s="47" t="n">
        <f aca="false">MIN(AH46,Sorted!$G$9)</f>
        <v>0</v>
      </c>
      <c r="AJ46" s="47" t="n">
        <v>0</v>
      </c>
      <c r="AK46" s="47" t="n">
        <f aca="false">ROUND(AH46-AI46-AJ46,2)</f>
        <v>0</v>
      </c>
      <c r="AL46" s="47" t="n">
        <f aca="false">ROUND(AO45*(1+Sorted!$H$10),2)</f>
        <v>0</v>
      </c>
      <c r="AM46" s="47" t="n">
        <f aca="false">MIN(AL46,Sorted!$G$10)</f>
        <v>0</v>
      </c>
      <c r="AN46" s="47" t="n">
        <v>0</v>
      </c>
      <c r="AO46" s="47" t="n">
        <f aca="false">ROUND(AL46-AM46-AN46,2)</f>
        <v>0</v>
      </c>
      <c r="AP46" s="47" t="n">
        <f aca="false">ROUND(AS45*(1+Sorted!$H$11),2)</f>
        <v>0</v>
      </c>
      <c r="AQ46" s="47" t="n">
        <f aca="false">MIN(AP46,Sorted!$G$11)</f>
        <v>0</v>
      </c>
      <c r="AR46" s="47" t="n">
        <v>0</v>
      </c>
      <c r="AS46" s="47" t="n">
        <f aca="false">ROUND(AP46-AQ46-AR46,2)</f>
        <v>0</v>
      </c>
    </row>
    <row r="47" customFormat="false" ht="15" hidden="false" customHeight="false" outlineLevel="0" collapsed="false">
      <c r="A47" s="45" t="n">
        <v>44</v>
      </c>
      <c r="B47" s="46" t="n">
        <f aca="false">EDATE('My Debts'!$C$7,A47-1)</f>
        <v>47635</v>
      </c>
      <c r="C47" s="47" t="n">
        <v>0</v>
      </c>
      <c r="D47" s="47" t="n">
        <f aca="false">(F47+J47+N47+R47+V47+Z47+AD47+AH47+AL47+AP47)-(I47+M47+Q47+U47+Y47+AC47+AG47+AK47+AO47+AS47)</f>
        <v>206.44</v>
      </c>
      <c r="E47" s="48" t="n">
        <f aca="false">I47+M47+Q47+U47+Y47+AC47+AG47+AK47+AO47+AS47</f>
        <v>4556.29</v>
      </c>
      <c r="F47" s="47" t="n">
        <f aca="false">ROUND(I46*(1+Sorted!$H$2),2)</f>
        <v>0</v>
      </c>
      <c r="G47" s="47" t="n">
        <f aca="false">MIN(F47,Sorted!$G$2)</f>
        <v>0</v>
      </c>
      <c r="H47" s="47" t="n">
        <v>0</v>
      </c>
      <c r="I47" s="47" t="n">
        <f aca="false">ROUND(F47-G47-H47,2)</f>
        <v>0</v>
      </c>
      <c r="J47" s="47" t="n">
        <f aca="false">ROUND(M46*(1+Sorted!$H$3),2)</f>
        <v>31.44</v>
      </c>
      <c r="K47" s="47" t="n">
        <f aca="false">MIN(J47,Sorted!$G$3)</f>
        <v>31.44</v>
      </c>
      <c r="L47" s="47" t="n">
        <v>0</v>
      </c>
      <c r="M47" s="47" t="n">
        <f aca="false">ROUND(J47-K47-L47,2)</f>
        <v>0</v>
      </c>
      <c r="N47" s="47" t="n">
        <f aca="false">ROUND(Q46*(1+Sorted!$H$4),2)</f>
        <v>0</v>
      </c>
      <c r="O47" s="47" t="n">
        <f aca="false">MIN(N47,Sorted!$G$4)</f>
        <v>0</v>
      </c>
      <c r="P47" s="47" t="n">
        <v>0</v>
      </c>
      <c r="Q47" s="47" t="n">
        <f aca="false">ROUND(N47-O47-P47,2)</f>
        <v>0</v>
      </c>
      <c r="R47" s="47" t="n">
        <f aca="false">ROUND(U46*(1+Sorted!$H$5),2)</f>
        <v>4731.29</v>
      </c>
      <c r="S47" s="47" t="n">
        <f aca="false">MIN(R47,Sorted!$G$5)</f>
        <v>175</v>
      </c>
      <c r="T47" s="47" t="n">
        <v>0</v>
      </c>
      <c r="U47" s="47" t="n">
        <f aca="false">ROUND(R47-S47-T47,2)</f>
        <v>4556.29</v>
      </c>
      <c r="V47" s="47" t="n">
        <f aca="false">ROUND(Y46*(1+Sorted!$H$6),2)</f>
        <v>0</v>
      </c>
      <c r="W47" s="47" t="n">
        <f aca="false">MIN(V47,Sorted!$G$6)</f>
        <v>0</v>
      </c>
      <c r="X47" s="47" t="n">
        <v>0</v>
      </c>
      <c r="Y47" s="47" t="n">
        <f aca="false">ROUND(V47-W47-X47,2)</f>
        <v>0</v>
      </c>
      <c r="Z47" s="47" t="n">
        <f aca="false">ROUND(AC46*(1+Sorted!$H$7),2)</f>
        <v>0</v>
      </c>
      <c r="AA47" s="47" t="n">
        <f aca="false">MIN(Z47,Sorted!$G$7)</f>
        <v>0</v>
      </c>
      <c r="AB47" s="47" t="n">
        <v>0</v>
      </c>
      <c r="AC47" s="47" t="n">
        <f aca="false">ROUND(Z47-AA47-AB47,2)</f>
        <v>0</v>
      </c>
      <c r="AD47" s="47" t="n">
        <f aca="false">ROUND(AG46*(1+Sorted!$H$8),2)</f>
        <v>0</v>
      </c>
      <c r="AE47" s="47" t="n">
        <f aca="false">MIN(AD47,Sorted!$G$8)</f>
        <v>0</v>
      </c>
      <c r="AF47" s="47" t="n">
        <v>0</v>
      </c>
      <c r="AG47" s="47" t="n">
        <f aca="false">ROUND(AD47-AE47-AF47,2)</f>
        <v>0</v>
      </c>
      <c r="AH47" s="47" t="n">
        <f aca="false">ROUND(AK46*(1+Sorted!$H$9),2)</f>
        <v>0</v>
      </c>
      <c r="AI47" s="47" t="n">
        <f aca="false">MIN(AH47,Sorted!$G$9)</f>
        <v>0</v>
      </c>
      <c r="AJ47" s="47" t="n">
        <v>0</v>
      </c>
      <c r="AK47" s="47" t="n">
        <f aca="false">ROUND(AH47-AI47-AJ47,2)</f>
        <v>0</v>
      </c>
      <c r="AL47" s="47" t="n">
        <f aca="false">ROUND(AO46*(1+Sorted!$H$10),2)</f>
        <v>0</v>
      </c>
      <c r="AM47" s="47" t="n">
        <f aca="false">MIN(AL47,Sorted!$G$10)</f>
        <v>0</v>
      </c>
      <c r="AN47" s="47" t="n">
        <v>0</v>
      </c>
      <c r="AO47" s="47" t="n">
        <f aca="false">ROUND(AL47-AM47-AN47,2)</f>
        <v>0</v>
      </c>
      <c r="AP47" s="47" t="n">
        <f aca="false">ROUND(AS46*(1+Sorted!$H$11),2)</f>
        <v>0</v>
      </c>
      <c r="AQ47" s="47" t="n">
        <f aca="false">MIN(AP47,Sorted!$G$11)</f>
        <v>0</v>
      </c>
      <c r="AR47" s="47" t="n">
        <v>0</v>
      </c>
      <c r="AS47" s="47" t="n">
        <f aca="false">ROUND(AP47-AQ47-AR47,2)</f>
        <v>0</v>
      </c>
    </row>
    <row r="48" customFormat="false" ht="15" hidden="false" customHeight="false" outlineLevel="0" collapsed="false">
      <c r="A48" s="45" t="n">
        <v>45</v>
      </c>
      <c r="B48" s="46" t="n">
        <f aca="false">EDATE('My Debts'!$C$7,A48-1)</f>
        <v>47665</v>
      </c>
      <c r="C48" s="47" t="n">
        <v>0</v>
      </c>
      <c r="D48" s="47" t="n">
        <f aca="false">(F48+J48+N48+R48+V48+Z48+AD48+AH48+AL48+AP48)-(I48+M48+Q48+U48+Y48+AC48+AG48+AK48+AO48+AS48)</f>
        <v>175</v>
      </c>
      <c r="E48" s="48" t="n">
        <f aca="false">I48+M48+Q48+U48+Y48+AC48+AG48+AK48+AO48+AS48</f>
        <v>4476.17</v>
      </c>
      <c r="F48" s="47" t="n">
        <f aca="false">ROUND(I47*(1+Sorted!$H$2),2)</f>
        <v>0</v>
      </c>
      <c r="G48" s="47" t="n">
        <f aca="false">MIN(F48,Sorted!$G$2)</f>
        <v>0</v>
      </c>
      <c r="H48" s="47" t="n">
        <v>0</v>
      </c>
      <c r="I48" s="47" t="n">
        <f aca="false">ROUND(F48-G48-H48,2)</f>
        <v>0</v>
      </c>
      <c r="J48" s="47" t="n">
        <f aca="false">ROUND(M47*(1+Sorted!$H$3),2)</f>
        <v>0</v>
      </c>
      <c r="K48" s="47" t="n">
        <f aca="false">MIN(J48,Sorted!$G$3)</f>
        <v>0</v>
      </c>
      <c r="L48" s="47" t="n">
        <v>0</v>
      </c>
      <c r="M48" s="47" t="n">
        <f aca="false">ROUND(J48-K48-L48,2)</f>
        <v>0</v>
      </c>
      <c r="N48" s="47" t="n">
        <f aca="false">ROUND(Q47*(1+Sorted!$H$4),2)</f>
        <v>0</v>
      </c>
      <c r="O48" s="47" t="n">
        <f aca="false">MIN(N48,Sorted!$G$4)</f>
        <v>0</v>
      </c>
      <c r="P48" s="47" t="n">
        <v>0</v>
      </c>
      <c r="Q48" s="47" t="n">
        <f aca="false">ROUND(N48-O48-P48,2)</f>
        <v>0</v>
      </c>
      <c r="R48" s="47" t="n">
        <f aca="false">ROUND(U47*(1+Sorted!$H$5),2)</f>
        <v>4651.17</v>
      </c>
      <c r="S48" s="47" t="n">
        <f aca="false">MIN(R48,Sorted!$G$5)</f>
        <v>175</v>
      </c>
      <c r="T48" s="47" t="n">
        <v>0</v>
      </c>
      <c r="U48" s="47" t="n">
        <f aca="false">ROUND(R48-S48-T48,2)</f>
        <v>4476.17</v>
      </c>
      <c r="V48" s="47" t="n">
        <f aca="false">ROUND(Y47*(1+Sorted!$H$6),2)</f>
        <v>0</v>
      </c>
      <c r="W48" s="47" t="n">
        <f aca="false">MIN(V48,Sorted!$G$6)</f>
        <v>0</v>
      </c>
      <c r="X48" s="47" t="n">
        <v>0</v>
      </c>
      <c r="Y48" s="47" t="n">
        <f aca="false">ROUND(V48-W48-X48,2)</f>
        <v>0</v>
      </c>
      <c r="Z48" s="47" t="n">
        <f aca="false">ROUND(AC47*(1+Sorted!$H$7),2)</f>
        <v>0</v>
      </c>
      <c r="AA48" s="47" t="n">
        <f aca="false">MIN(Z48,Sorted!$G$7)</f>
        <v>0</v>
      </c>
      <c r="AB48" s="47" t="n">
        <v>0</v>
      </c>
      <c r="AC48" s="47" t="n">
        <f aca="false">ROUND(Z48-AA48-AB48,2)</f>
        <v>0</v>
      </c>
      <c r="AD48" s="47" t="n">
        <f aca="false">ROUND(AG47*(1+Sorted!$H$8),2)</f>
        <v>0</v>
      </c>
      <c r="AE48" s="47" t="n">
        <f aca="false">MIN(AD48,Sorted!$G$8)</f>
        <v>0</v>
      </c>
      <c r="AF48" s="47" t="n">
        <v>0</v>
      </c>
      <c r="AG48" s="47" t="n">
        <f aca="false">ROUND(AD48-AE48-AF48,2)</f>
        <v>0</v>
      </c>
      <c r="AH48" s="47" t="n">
        <f aca="false">ROUND(AK47*(1+Sorted!$H$9),2)</f>
        <v>0</v>
      </c>
      <c r="AI48" s="47" t="n">
        <f aca="false">MIN(AH48,Sorted!$G$9)</f>
        <v>0</v>
      </c>
      <c r="AJ48" s="47" t="n">
        <v>0</v>
      </c>
      <c r="AK48" s="47" t="n">
        <f aca="false">ROUND(AH48-AI48-AJ48,2)</f>
        <v>0</v>
      </c>
      <c r="AL48" s="47" t="n">
        <f aca="false">ROUND(AO47*(1+Sorted!$H$10),2)</f>
        <v>0</v>
      </c>
      <c r="AM48" s="47" t="n">
        <f aca="false">MIN(AL48,Sorted!$G$10)</f>
        <v>0</v>
      </c>
      <c r="AN48" s="47" t="n">
        <v>0</v>
      </c>
      <c r="AO48" s="47" t="n">
        <f aca="false">ROUND(AL48-AM48-AN48,2)</f>
        <v>0</v>
      </c>
      <c r="AP48" s="47" t="n">
        <f aca="false">ROUND(AS47*(1+Sorted!$H$11),2)</f>
        <v>0</v>
      </c>
      <c r="AQ48" s="47" t="n">
        <f aca="false">MIN(AP48,Sorted!$G$11)</f>
        <v>0</v>
      </c>
      <c r="AR48" s="47" t="n">
        <v>0</v>
      </c>
      <c r="AS48" s="47" t="n">
        <f aca="false">ROUND(AP48-AQ48-AR48,2)</f>
        <v>0</v>
      </c>
    </row>
    <row r="49" customFormat="false" ht="15" hidden="false" customHeight="false" outlineLevel="0" collapsed="false">
      <c r="A49" s="45" t="n">
        <v>46</v>
      </c>
      <c r="B49" s="46" t="n">
        <f aca="false">EDATE('My Debts'!$C$7,A49-1)</f>
        <v>47696</v>
      </c>
      <c r="C49" s="47" t="n">
        <v>0</v>
      </c>
      <c r="D49" s="47" t="n">
        <f aca="false">(F49+J49+N49+R49+V49+Z49+AD49+AH49+AL49+AP49)-(I49+M49+Q49+U49+Y49+AC49+AG49+AK49+AO49+AS49)</f>
        <v>175</v>
      </c>
      <c r="E49" s="48" t="n">
        <f aca="false">I49+M49+Q49+U49+Y49+AC49+AG49+AK49+AO49+AS49</f>
        <v>4394.39</v>
      </c>
      <c r="F49" s="47" t="n">
        <f aca="false">ROUND(I48*(1+Sorted!$H$2),2)</f>
        <v>0</v>
      </c>
      <c r="G49" s="47" t="n">
        <f aca="false">MIN(F49,Sorted!$G$2)</f>
        <v>0</v>
      </c>
      <c r="H49" s="47" t="n">
        <v>0</v>
      </c>
      <c r="I49" s="47" t="n">
        <f aca="false">ROUND(F49-G49-H49,2)</f>
        <v>0</v>
      </c>
      <c r="J49" s="47" t="n">
        <f aca="false">ROUND(M48*(1+Sorted!$H$3),2)</f>
        <v>0</v>
      </c>
      <c r="K49" s="47" t="n">
        <f aca="false">MIN(J49,Sorted!$G$3)</f>
        <v>0</v>
      </c>
      <c r="L49" s="47" t="n">
        <v>0</v>
      </c>
      <c r="M49" s="47" t="n">
        <f aca="false">ROUND(J49-K49-L49,2)</f>
        <v>0</v>
      </c>
      <c r="N49" s="47" t="n">
        <f aca="false">ROUND(Q48*(1+Sorted!$H$4),2)</f>
        <v>0</v>
      </c>
      <c r="O49" s="47" t="n">
        <f aca="false">MIN(N49,Sorted!$G$4)</f>
        <v>0</v>
      </c>
      <c r="P49" s="47" t="n">
        <v>0</v>
      </c>
      <c r="Q49" s="47" t="n">
        <f aca="false">ROUND(N49-O49-P49,2)</f>
        <v>0</v>
      </c>
      <c r="R49" s="47" t="n">
        <f aca="false">ROUND(U48*(1+Sorted!$H$5),2)</f>
        <v>4569.39</v>
      </c>
      <c r="S49" s="47" t="n">
        <f aca="false">MIN(R49,Sorted!$G$5)</f>
        <v>175</v>
      </c>
      <c r="T49" s="47" t="n">
        <v>0</v>
      </c>
      <c r="U49" s="47" t="n">
        <f aca="false">ROUND(R49-S49-T49,2)</f>
        <v>4394.39</v>
      </c>
      <c r="V49" s="47" t="n">
        <f aca="false">ROUND(Y48*(1+Sorted!$H$6),2)</f>
        <v>0</v>
      </c>
      <c r="W49" s="47" t="n">
        <f aca="false">MIN(V49,Sorted!$G$6)</f>
        <v>0</v>
      </c>
      <c r="X49" s="47" t="n">
        <v>0</v>
      </c>
      <c r="Y49" s="47" t="n">
        <f aca="false">ROUND(V49-W49-X49,2)</f>
        <v>0</v>
      </c>
      <c r="Z49" s="47" t="n">
        <f aca="false">ROUND(AC48*(1+Sorted!$H$7),2)</f>
        <v>0</v>
      </c>
      <c r="AA49" s="47" t="n">
        <f aca="false">MIN(Z49,Sorted!$G$7)</f>
        <v>0</v>
      </c>
      <c r="AB49" s="47" t="n">
        <v>0</v>
      </c>
      <c r="AC49" s="47" t="n">
        <f aca="false">ROUND(Z49-AA49-AB49,2)</f>
        <v>0</v>
      </c>
      <c r="AD49" s="47" t="n">
        <f aca="false">ROUND(AG48*(1+Sorted!$H$8),2)</f>
        <v>0</v>
      </c>
      <c r="AE49" s="47" t="n">
        <f aca="false">MIN(AD49,Sorted!$G$8)</f>
        <v>0</v>
      </c>
      <c r="AF49" s="47" t="n">
        <v>0</v>
      </c>
      <c r="AG49" s="47" t="n">
        <f aca="false">ROUND(AD49-AE49-AF49,2)</f>
        <v>0</v>
      </c>
      <c r="AH49" s="47" t="n">
        <f aca="false">ROUND(AK48*(1+Sorted!$H$9),2)</f>
        <v>0</v>
      </c>
      <c r="AI49" s="47" t="n">
        <f aca="false">MIN(AH49,Sorted!$G$9)</f>
        <v>0</v>
      </c>
      <c r="AJ49" s="47" t="n">
        <v>0</v>
      </c>
      <c r="AK49" s="47" t="n">
        <f aca="false">ROUND(AH49-AI49-AJ49,2)</f>
        <v>0</v>
      </c>
      <c r="AL49" s="47" t="n">
        <f aca="false">ROUND(AO48*(1+Sorted!$H$10),2)</f>
        <v>0</v>
      </c>
      <c r="AM49" s="47" t="n">
        <f aca="false">MIN(AL49,Sorted!$G$10)</f>
        <v>0</v>
      </c>
      <c r="AN49" s="47" t="n">
        <v>0</v>
      </c>
      <c r="AO49" s="47" t="n">
        <f aca="false">ROUND(AL49-AM49-AN49,2)</f>
        <v>0</v>
      </c>
      <c r="AP49" s="47" t="n">
        <f aca="false">ROUND(AS48*(1+Sorted!$H$11),2)</f>
        <v>0</v>
      </c>
      <c r="AQ49" s="47" t="n">
        <f aca="false">MIN(AP49,Sorted!$G$11)</f>
        <v>0</v>
      </c>
      <c r="AR49" s="47" t="n">
        <v>0</v>
      </c>
      <c r="AS49" s="47" t="n">
        <f aca="false">ROUND(AP49-AQ49-AR49,2)</f>
        <v>0</v>
      </c>
    </row>
    <row r="50" customFormat="false" ht="15" hidden="false" customHeight="false" outlineLevel="0" collapsed="false">
      <c r="A50" s="45" t="n">
        <v>47</v>
      </c>
      <c r="B50" s="46" t="n">
        <f aca="false">EDATE('My Debts'!$C$7,A50-1)</f>
        <v>47727</v>
      </c>
      <c r="C50" s="47" t="n">
        <v>0</v>
      </c>
      <c r="D50" s="47" t="n">
        <f aca="false">(F50+J50+N50+R50+V50+Z50+AD50+AH50+AL50+AP50)-(I50+M50+Q50+U50+Y50+AC50+AG50+AK50+AO50+AS50)</f>
        <v>175</v>
      </c>
      <c r="E50" s="48" t="n">
        <f aca="false">I50+M50+Q50+U50+Y50+AC50+AG50+AK50+AO50+AS50</f>
        <v>4310.9</v>
      </c>
      <c r="F50" s="47" t="n">
        <f aca="false">ROUND(I49*(1+Sorted!$H$2),2)</f>
        <v>0</v>
      </c>
      <c r="G50" s="47" t="n">
        <f aca="false">MIN(F50,Sorted!$G$2)</f>
        <v>0</v>
      </c>
      <c r="H50" s="47" t="n">
        <v>0</v>
      </c>
      <c r="I50" s="47" t="n">
        <f aca="false">ROUND(F50-G50-H50,2)</f>
        <v>0</v>
      </c>
      <c r="J50" s="47" t="n">
        <f aca="false">ROUND(M49*(1+Sorted!$H$3),2)</f>
        <v>0</v>
      </c>
      <c r="K50" s="47" t="n">
        <f aca="false">MIN(J50,Sorted!$G$3)</f>
        <v>0</v>
      </c>
      <c r="L50" s="47" t="n">
        <v>0</v>
      </c>
      <c r="M50" s="47" t="n">
        <f aca="false">ROUND(J50-K50-L50,2)</f>
        <v>0</v>
      </c>
      <c r="N50" s="47" t="n">
        <f aca="false">ROUND(Q49*(1+Sorted!$H$4),2)</f>
        <v>0</v>
      </c>
      <c r="O50" s="47" t="n">
        <f aca="false">MIN(N50,Sorted!$G$4)</f>
        <v>0</v>
      </c>
      <c r="P50" s="47" t="n">
        <v>0</v>
      </c>
      <c r="Q50" s="47" t="n">
        <f aca="false">ROUND(N50-O50-P50,2)</f>
        <v>0</v>
      </c>
      <c r="R50" s="47" t="n">
        <f aca="false">ROUND(U49*(1+Sorted!$H$5),2)</f>
        <v>4485.9</v>
      </c>
      <c r="S50" s="47" t="n">
        <f aca="false">MIN(R50,Sorted!$G$5)</f>
        <v>175</v>
      </c>
      <c r="T50" s="47" t="n">
        <v>0</v>
      </c>
      <c r="U50" s="47" t="n">
        <f aca="false">ROUND(R50-S50-T50,2)</f>
        <v>4310.9</v>
      </c>
      <c r="V50" s="47" t="n">
        <f aca="false">ROUND(Y49*(1+Sorted!$H$6),2)</f>
        <v>0</v>
      </c>
      <c r="W50" s="47" t="n">
        <f aca="false">MIN(V50,Sorted!$G$6)</f>
        <v>0</v>
      </c>
      <c r="X50" s="47" t="n">
        <v>0</v>
      </c>
      <c r="Y50" s="47" t="n">
        <f aca="false">ROUND(V50-W50-X50,2)</f>
        <v>0</v>
      </c>
      <c r="Z50" s="47" t="n">
        <f aca="false">ROUND(AC49*(1+Sorted!$H$7),2)</f>
        <v>0</v>
      </c>
      <c r="AA50" s="47" t="n">
        <f aca="false">MIN(Z50,Sorted!$G$7)</f>
        <v>0</v>
      </c>
      <c r="AB50" s="47" t="n">
        <v>0</v>
      </c>
      <c r="AC50" s="47" t="n">
        <f aca="false">ROUND(Z50-AA50-AB50,2)</f>
        <v>0</v>
      </c>
      <c r="AD50" s="47" t="n">
        <f aca="false">ROUND(AG49*(1+Sorted!$H$8),2)</f>
        <v>0</v>
      </c>
      <c r="AE50" s="47" t="n">
        <f aca="false">MIN(AD50,Sorted!$G$8)</f>
        <v>0</v>
      </c>
      <c r="AF50" s="47" t="n">
        <v>0</v>
      </c>
      <c r="AG50" s="47" t="n">
        <f aca="false">ROUND(AD50-AE50-AF50,2)</f>
        <v>0</v>
      </c>
      <c r="AH50" s="47" t="n">
        <f aca="false">ROUND(AK49*(1+Sorted!$H$9),2)</f>
        <v>0</v>
      </c>
      <c r="AI50" s="47" t="n">
        <f aca="false">MIN(AH50,Sorted!$G$9)</f>
        <v>0</v>
      </c>
      <c r="AJ50" s="47" t="n">
        <v>0</v>
      </c>
      <c r="AK50" s="47" t="n">
        <f aca="false">ROUND(AH50-AI50-AJ50,2)</f>
        <v>0</v>
      </c>
      <c r="AL50" s="47" t="n">
        <f aca="false">ROUND(AO49*(1+Sorted!$H$10),2)</f>
        <v>0</v>
      </c>
      <c r="AM50" s="47" t="n">
        <f aca="false">MIN(AL50,Sorted!$G$10)</f>
        <v>0</v>
      </c>
      <c r="AN50" s="47" t="n">
        <v>0</v>
      </c>
      <c r="AO50" s="47" t="n">
        <f aca="false">ROUND(AL50-AM50-AN50,2)</f>
        <v>0</v>
      </c>
      <c r="AP50" s="47" t="n">
        <f aca="false">ROUND(AS49*(1+Sorted!$H$11),2)</f>
        <v>0</v>
      </c>
      <c r="AQ50" s="47" t="n">
        <f aca="false">MIN(AP50,Sorted!$G$11)</f>
        <v>0</v>
      </c>
      <c r="AR50" s="47" t="n">
        <v>0</v>
      </c>
      <c r="AS50" s="47" t="n">
        <f aca="false">ROUND(AP50-AQ50-AR50,2)</f>
        <v>0</v>
      </c>
    </row>
    <row r="51" customFormat="false" ht="15" hidden="false" customHeight="false" outlineLevel="0" collapsed="false">
      <c r="A51" s="45" t="n">
        <v>48</v>
      </c>
      <c r="B51" s="46" t="n">
        <f aca="false">EDATE('My Debts'!$C$7,A51-1)</f>
        <v>47757</v>
      </c>
      <c r="C51" s="47" t="n">
        <v>0</v>
      </c>
      <c r="D51" s="47" t="n">
        <f aca="false">(F51+J51+N51+R51+V51+Z51+AD51+AH51+AL51+AP51)-(I51+M51+Q51+U51+Y51+AC51+AG51+AK51+AO51+AS51)</f>
        <v>175</v>
      </c>
      <c r="E51" s="48" t="n">
        <f aca="false">I51+M51+Q51+U51+Y51+AC51+AG51+AK51+AO51+AS51</f>
        <v>4225.67</v>
      </c>
      <c r="F51" s="47" t="n">
        <f aca="false">ROUND(I50*(1+Sorted!$H$2),2)</f>
        <v>0</v>
      </c>
      <c r="G51" s="47" t="n">
        <f aca="false">MIN(F51,Sorted!$G$2)</f>
        <v>0</v>
      </c>
      <c r="H51" s="47" t="n">
        <v>0</v>
      </c>
      <c r="I51" s="47" t="n">
        <f aca="false">ROUND(F51-G51-H51,2)</f>
        <v>0</v>
      </c>
      <c r="J51" s="47" t="n">
        <f aca="false">ROUND(M50*(1+Sorted!$H$3),2)</f>
        <v>0</v>
      </c>
      <c r="K51" s="47" t="n">
        <f aca="false">MIN(J51,Sorted!$G$3)</f>
        <v>0</v>
      </c>
      <c r="L51" s="47" t="n">
        <v>0</v>
      </c>
      <c r="M51" s="47" t="n">
        <f aca="false">ROUND(J51-K51-L51,2)</f>
        <v>0</v>
      </c>
      <c r="N51" s="47" t="n">
        <f aca="false">ROUND(Q50*(1+Sorted!$H$4),2)</f>
        <v>0</v>
      </c>
      <c r="O51" s="47" t="n">
        <f aca="false">MIN(N51,Sorted!$G$4)</f>
        <v>0</v>
      </c>
      <c r="P51" s="47" t="n">
        <v>0</v>
      </c>
      <c r="Q51" s="47" t="n">
        <f aca="false">ROUND(N51-O51-P51,2)</f>
        <v>0</v>
      </c>
      <c r="R51" s="47" t="n">
        <f aca="false">ROUND(U50*(1+Sorted!$H$5),2)</f>
        <v>4400.67</v>
      </c>
      <c r="S51" s="47" t="n">
        <f aca="false">MIN(R51,Sorted!$G$5)</f>
        <v>175</v>
      </c>
      <c r="T51" s="47" t="n">
        <v>0</v>
      </c>
      <c r="U51" s="47" t="n">
        <f aca="false">ROUND(R51-S51-T51,2)</f>
        <v>4225.67</v>
      </c>
      <c r="V51" s="47" t="n">
        <f aca="false">ROUND(Y50*(1+Sorted!$H$6),2)</f>
        <v>0</v>
      </c>
      <c r="W51" s="47" t="n">
        <f aca="false">MIN(V51,Sorted!$G$6)</f>
        <v>0</v>
      </c>
      <c r="X51" s="47" t="n">
        <v>0</v>
      </c>
      <c r="Y51" s="47" t="n">
        <f aca="false">ROUND(V51-W51-X51,2)</f>
        <v>0</v>
      </c>
      <c r="Z51" s="47" t="n">
        <f aca="false">ROUND(AC50*(1+Sorted!$H$7),2)</f>
        <v>0</v>
      </c>
      <c r="AA51" s="47" t="n">
        <f aca="false">MIN(Z51,Sorted!$G$7)</f>
        <v>0</v>
      </c>
      <c r="AB51" s="47" t="n">
        <v>0</v>
      </c>
      <c r="AC51" s="47" t="n">
        <f aca="false">ROUND(Z51-AA51-AB51,2)</f>
        <v>0</v>
      </c>
      <c r="AD51" s="47" t="n">
        <f aca="false">ROUND(AG50*(1+Sorted!$H$8),2)</f>
        <v>0</v>
      </c>
      <c r="AE51" s="47" t="n">
        <f aca="false">MIN(AD51,Sorted!$G$8)</f>
        <v>0</v>
      </c>
      <c r="AF51" s="47" t="n">
        <v>0</v>
      </c>
      <c r="AG51" s="47" t="n">
        <f aca="false">ROUND(AD51-AE51-AF51,2)</f>
        <v>0</v>
      </c>
      <c r="AH51" s="47" t="n">
        <f aca="false">ROUND(AK50*(1+Sorted!$H$9),2)</f>
        <v>0</v>
      </c>
      <c r="AI51" s="47" t="n">
        <f aca="false">MIN(AH51,Sorted!$G$9)</f>
        <v>0</v>
      </c>
      <c r="AJ51" s="47" t="n">
        <v>0</v>
      </c>
      <c r="AK51" s="47" t="n">
        <f aca="false">ROUND(AH51-AI51-AJ51,2)</f>
        <v>0</v>
      </c>
      <c r="AL51" s="47" t="n">
        <f aca="false">ROUND(AO50*(1+Sorted!$H$10),2)</f>
        <v>0</v>
      </c>
      <c r="AM51" s="47" t="n">
        <f aca="false">MIN(AL51,Sorted!$G$10)</f>
        <v>0</v>
      </c>
      <c r="AN51" s="47" t="n">
        <v>0</v>
      </c>
      <c r="AO51" s="47" t="n">
        <f aca="false">ROUND(AL51-AM51-AN51,2)</f>
        <v>0</v>
      </c>
      <c r="AP51" s="47" t="n">
        <f aca="false">ROUND(AS50*(1+Sorted!$H$11),2)</f>
        <v>0</v>
      </c>
      <c r="AQ51" s="47" t="n">
        <f aca="false">MIN(AP51,Sorted!$G$11)</f>
        <v>0</v>
      </c>
      <c r="AR51" s="47" t="n">
        <v>0</v>
      </c>
      <c r="AS51" s="47" t="n">
        <f aca="false">ROUND(AP51-AQ51-AR51,2)</f>
        <v>0</v>
      </c>
    </row>
    <row r="52" customFormat="false" ht="15" hidden="false" customHeight="false" outlineLevel="0" collapsed="false">
      <c r="A52" s="45" t="n">
        <v>49</v>
      </c>
      <c r="B52" s="46" t="n">
        <f aca="false">EDATE('My Debts'!$C$7,A52-1)</f>
        <v>47788</v>
      </c>
      <c r="C52" s="47" t="n">
        <v>0</v>
      </c>
      <c r="D52" s="47" t="n">
        <f aca="false">(F52+J52+N52+R52+V52+Z52+AD52+AH52+AL52+AP52)-(I52+M52+Q52+U52+Y52+AC52+AG52+AK52+AO52+AS52)</f>
        <v>175</v>
      </c>
      <c r="E52" s="48" t="n">
        <f aca="false">I52+M52+Q52+U52+Y52+AC52+AG52+AK52+AO52+AS52</f>
        <v>4138.67</v>
      </c>
      <c r="F52" s="47" t="n">
        <f aca="false">ROUND(I51*(1+Sorted!$H$2),2)</f>
        <v>0</v>
      </c>
      <c r="G52" s="47" t="n">
        <f aca="false">MIN(F52,Sorted!$G$2)</f>
        <v>0</v>
      </c>
      <c r="H52" s="47" t="n">
        <v>0</v>
      </c>
      <c r="I52" s="47" t="n">
        <f aca="false">ROUND(F52-G52-H52,2)</f>
        <v>0</v>
      </c>
      <c r="J52" s="47" t="n">
        <f aca="false">ROUND(M51*(1+Sorted!$H$3),2)</f>
        <v>0</v>
      </c>
      <c r="K52" s="47" t="n">
        <f aca="false">MIN(J52,Sorted!$G$3)</f>
        <v>0</v>
      </c>
      <c r="L52" s="47" t="n">
        <v>0</v>
      </c>
      <c r="M52" s="47" t="n">
        <f aca="false">ROUND(J52-K52-L52,2)</f>
        <v>0</v>
      </c>
      <c r="N52" s="47" t="n">
        <f aca="false">ROUND(Q51*(1+Sorted!$H$4),2)</f>
        <v>0</v>
      </c>
      <c r="O52" s="47" t="n">
        <f aca="false">MIN(N52,Sorted!$G$4)</f>
        <v>0</v>
      </c>
      <c r="P52" s="47" t="n">
        <v>0</v>
      </c>
      <c r="Q52" s="47" t="n">
        <f aca="false">ROUND(N52-O52-P52,2)</f>
        <v>0</v>
      </c>
      <c r="R52" s="47" t="n">
        <f aca="false">ROUND(U51*(1+Sorted!$H$5),2)</f>
        <v>4313.67</v>
      </c>
      <c r="S52" s="47" t="n">
        <f aca="false">MIN(R52,Sorted!$G$5)</f>
        <v>175</v>
      </c>
      <c r="T52" s="47" t="n">
        <v>0</v>
      </c>
      <c r="U52" s="47" t="n">
        <f aca="false">ROUND(R52-S52-T52,2)</f>
        <v>4138.67</v>
      </c>
      <c r="V52" s="47" t="n">
        <f aca="false">ROUND(Y51*(1+Sorted!$H$6),2)</f>
        <v>0</v>
      </c>
      <c r="W52" s="47" t="n">
        <f aca="false">MIN(V52,Sorted!$G$6)</f>
        <v>0</v>
      </c>
      <c r="X52" s="47" t="n">
        <v>0</v>
      </c>
      <c r="Y52" s="47" t="n">
        <f aca="false">ROUND(V52-W52-X52,2)</f>
        <v>0</v>
      </c>
      <c r="Z52" s="47" t="n">
        <f aca="false">ROUND(AC51*(1+Sorted!$H$7),2)</f>
        <v>0</v>
      </c>
      <c r="AA52" s="47" t="n">
        <f aca="false">MIN(Z52,Sorted!$G$7)</f>
        <v>0</v>
      </c>
      <c r="AB52" s="47" t="n">
        <v>0</v>
      </c>
      <c r="AC52" s="47" t="n">
        <f aca="false">ROUND(Z52-AA52-AB52,2)</f>
        <v>0</v>
      </c>
      <c r="AD52" s="47" t="n">
        <f aca="false">ROUND(AG51*(1+Sorted!$H$8),2)</f>
        <v>0</v>
      </c>
      <c r="AE52" s="47" t="n">
        <f aca="false">MIN(AD52,Sorted!$G$8)</f>
        <v>0</v>
      </c>
      <c r="AF52" s="47" t="n">
        <v>0</v>
      </c>
      <c r="AG52" s="47" t="n">
        <f aca="false">ROUND(AD52-AE52-AF52,2)</f>
        <v>0</v>
      </c>
      <c r="AH52" s="47" t="n">
        <f aca="false">ROUND(AK51*(1+Sorted!$H$9),2)</f>
        <v>0</v>
      </c>
      <c r="AI52" s="47" t="n">
        <f aca="false">MIN(AH52,Sorted!$G$9)</f>
        <v>0</v>
      </c>
      <c r="AJ52" s="47" t="n">
        <v>0</v>
      </c>
      <c r="AK52" s="47" t="n">
        <f aca="false">ROUND(AH52-AI52-AJ52,2)</f>
        <v>0</v>
      </c>
      <c r="AL52" s="47" t="n">
        <f aca="false">ROUND(AO51*(1+Sorted!$H$10),2)</f>
        <v>0</v>
      </c>
      <c r="AM52" s="47" t="n">
        <f aca="false">MIN(AL52,Sorted!$G$10)</f>
        <v>0</v>
      </c>
      <c r="AN52" s="47" t="n">
        <v>0</v>
      </c>
      <c r="AO52" s="47" t="n">
        <f aca="false">ROUND(AL52-AM52-AN52,2)</f>
        <v>0</v>
      </c>
      <c r="AP52" s="47" t="n">
        <f aca="false">ROUND(AS51*(1+Sorted!$H$11),2)</f>
        <v>0</v>
      </c>
      <c r="AQ52" s="47" t="n">
        <f aca="false">MIN(AP52,Sorted!$G$11)</f>
        <v>0</v>
      </c>
      <c r="AR52" s="47" t="n">
        <v>0</v>
      </c>
      <c r="AS52" s="47" t="n">
        <f aca="false">ROUND(AP52-AQ52-AR52,2)</f>
        <v>0</v>
      </c>
    </row>
    <row r="53" customFormat="false" ht="15" hidden="false" customHeight="false" outlineLevel="0" collapsed="false">
      <c r="A53" s="45" t="n">
        <v>50</v>
      </c>
      <c r="B53" s="46" t="n">
        <f aca="false">EDATE('My Debts'!$C$7,A53-1)</f>
        <v>47818</v>
      </c>
      <c r="C53" s="47" t="n">
        <v>0</v>
      </c>
      <c r="D53" s="47" t="n">
        <f aca="false">(F53+J53+N53+R53+V53+Z53+AD53+AH53+AL53+AP53)-(I53+M53+Q53+U53+Y53+AC53+AG53+AK53+AO53+AS53)</f>
        <v>175</v>
      </c>
      <c r="E53" s="48" t="n">
        <f aca="false">I53+M53+Q53+U53+Y53+AC53+AG53+AK53+AO53+AS53</f>
        <v>4049.86</v>
      </c>
      <c r="F53" s="47" t="n">
        <f aca="false">ROUND(I52*(1+Sorted!$H$2),2)</f>
        <v>0</v>
      </c>
      <c r="G53" s="47" t="n">
        <f aca="false">MIN(F53,Sorted!$G$2)</f>
        <v>0</v>
      </c>
      <c r="H53" s="47" t="n">
        <v>0</v>
      </c>
      <c r="I53" s="47" t="n">
        <f aca="false">ROUND(F53-G53-H53,2)</f>
        <v>0</v>
      </c>
      <c r="J53" s="47" t="n">
        <f aca="false">ROUND(M52*(1+Sorted!$H$3),2)</f>
        <v>0</v>
      </c>
      <c r="K53" s="47" t="n">
        <f aca="false">MIN(J53,Sorted!$G$3)</f>
        <v>0</v>
      </c>
      <c r="L53" s="47" t="n">
        <v>0</v>
      </c>
      <c r="M53" s="47" t="n">
        <f aca="false">ROUND(J53-K53-L53,2)</f>
        <v>0</v>
      </c>
      <c r="N53" s="47" t="n">
        <f aca="false">ROUND(Q52*(1+Sorted!$H$4),2)</f>
        <v>0</v>
      </c>
      <c r="O53" s="47" t="n">
        <f aca="false">MIN(N53,Sorted!$G$4)</f>
        <v>0</v>
      </c>
      <c r="P53" s="47" t="n">
        <v>0</v>
      </c>
      <c r="Q53" s="47" t="n">
        <f aca="false">ROUND(N53-O53-P53,2)</f>
        <v>0</v>
      </c>
      <c r="R53" s="47" t="n">
        <f aca="false">ROUND(U52*(1+Sorted!$H$5),2)</f>
        <v>4224.86</v>
      </c>
      <c r="S53" s="47" t="n">
        <f aca="false">MIN(R53,Sorted!$G$5)</f>
        <v>175</v>
      </c>
      <c r="T53" s="47" t="n">
        <v>0</v>
      </c>
      <c r="U53" s="47" t="n">
        <f aca="false">ROUND(R53-S53-T53,2)</f>
        <v>4049.86</v>
      </c>
      <c r="V53" s="47" t="n">
        <f aca="false">ROUND(Y52*(1+Sorted!$H$6),2)</f>
        <v>0</v>
      </c>
      <c r="W53" s="47" t="n">
        <f aca="false">MIN(V53,Sorted!$G$6)</f>
        <v>0</v>
      </c>
      <c r="X53" s="47" t="n">
        <v>0</v>
      </c>
      <c r="Y53" s="47" t="n">
        <f aca="false">ROUND(V53-W53-X53,2)</f>
        <v>0</v>
      </c>
      <c r="Z53" s="47" t="n">
        <f aca="false">ROUND(AC52*(1+Sorted!$H$7),2)</f>
        <v>0</v>
      </c>
      <c r="AA53" s="47" t="n">
        <f aca="false">MIN(Z53,Sorted!$G$7)</f>
        <v>0</v>
      </c>
      <c r="AB53" s="47" t="n">
        <v>0</v>
      </c>
      <c r="AC53" s="47" t="n">
        <f aca="false">ROUND(Z53-AA53-AB53,2)</f>
        <v>0</v>
      </c>
      <c r="AD53" s="47" t="n">
        <f aca="false">ROUND(AG52*(1+Sorted!$H$8),2)</f>
        <v>0</v>
      </c>
      <c r="AE53" s="47" t="n">
        <f aca="false">MIN(AD53,Sorted!$G$8)</f>
        <v>0</v>
      </c>
      <c r="AF53" s="47" t="n">
        <v>0</v>
      </c>
      <c r="AG53" s="47" t="n">
        <f aca="false">ROUND(AD53-AE53-AF53,2)</f>
        <v>0</v>
      </c>
      <c r="AH53" s="47" t="n">
        <f aca="false">ROUND(AK52*(1+Sorted!$H$9),2)</f>
        <v>0</v>
      </c>
      <c r="AI53" s="47" t="n">
        <f aca="false">MIN(AH53,Sorted!$G$9)</f>
        <v>0</v>
      </c>
      <c r="AJ53" s="47" t="n">
        <v>0</v>
      </c>
      <c r="AK53" s="47" t="n">
        <f aca="false">ROUND(AH53-AI53-AJ53,2)</f>
        <v>0</v>
      </c>
      <c r="AL53" s="47" t="n">
        <f aca="false">ROUND(AO52*(1+Sorted!$H$10),2)</f>
        <v>0</v>
      </c>
      <c r="AM53" s="47" t="n">
        <f aca="false">MIN(AL53,Sorted!$G$10)</f>
        <v>0</v>
      </c>
      <c r="AN53" s="47" t="n">
        <v>0</v>
      </c>
      <c r="AO53" s="47" t="n">
        <f aca="false">ROUND(AL53-AM53-AN53,2)</f>
        <v>0</v>
      </c>
      <c r="AP53" s="47" t="n">
        <f aca="false">ROUND(AS52*(1+Sorted!$H$11),2)</f>
        <v>0</v>
      </c>
      <c r="AQ53" s="47" t="n">
        <f aca="false">MIN(AP53,Sorted!$G$11)</f>
        <v>0</v>
      </c>
      <c r="AR53" s="47" t="n">
        <v>0</v>
      </c>
      <c r="AS53" s="47" t="n">
        <f aca="false">ROUND(AP53-AQ53-AR53,2)</f>
        <v>0</v>
      </c>
    </row>
    <row r="54" customFormat="false" ht="15" hidden="false" customHeight="false" outlineLevel="0" collapsed="false">
      <c r="A54" s="45" t="n">
        <v>51</v>
      </c>
      <c r="B54" s="46" t="n">
        <f aca="false">EDATE('My Debts'!$C$7,A54-1)</f>
        <v>47849</v>
      </c>
      <c r="C54" s="47" t="n">
        <v>0</v>
      </c>
      <c r="D54" s="47" t="n">
        <f aca="false">(F54+J54+N54+R54+V54+Z54+AD54+AH54+AL54+AP54)-(I54+M54+Q54+U54+Y54+AC54+AG54+AK54+AO54+AS54)</f>
        <v>175</v>
      </c>
      <c r="E54" s="48" t="n">
        <f aca="false">I54+M54+Q54+U54+Y54+AC54+AG54+AK54+AO54+AS54</f>
        <v>3959.2</v>
      </c>
      <c r="F54" s="47" t="n">
        <f aca="false">ROUND(I53*(1+Sorted!$H$2),2)</f>
        <v>0</v>
      </c>
      <c r="G54" s="47" t="n">
        <f aca="false">MIN(F54,Sorted!$G$2)</f>
        <v>0</v>
      </c>
      <c r="H54" s="47" t="n">
        <v>0</v>
      </c>
      <c r="I54" s="47" t="n">
        <f aca="false">ROUND(F54-G54-H54,2)</f>
        <v>0</v>
      </c>
      <c r="J54" s="47" t="n">
        <f aca="false">ROUND(M53*(1+Sorted!$H$3),2)</f>
        <v>0</v>
      </c>
      <c r="K54" s="47" t="n">
        <f aca="false">MIN(J54,Sorted!$G$3)</f>
        <v>0</v>
      </c>
      <c r="L54" s="47" t="n">
        <v>0</v>
      </c>
      <c r="M54" s="47" t="n">
        <f aca="false">ROUND(J54-K54-L54,2)</f>
        <v>0</v>
      </c>
      <c r="N54" s="47" t="n">
        <f aca="false">ROUND(Q53*(1+Sorted!$H$4),2)</f>
        <v>0</v>
      </c>
      <c r="O54" s="47" t="n">
        <f aca="false">MIN(N54,Sorted!$G$4)</f>
        <v>0</v>
      </c>
      <c r="P54" s="47" t="n">
        <v>0</v>
      </c>
      <c r="Q54" s="47" t="n">
        <f aca="false">ROUND(N54-O54-P54,2)</f>
        <v>0</v>
      </c>
      <c r="R54" s="47" t="n">
        <f aca="false">ROUND(U53*(1+Sorted!$H$5),2)</f>
        <v>4134.2</v>
      </c>
      <c r="S54" s="47" t="n">
        <f aca="false">MIN(R54,Sorted!$G$5)</f>
        <v>175</v>
      </c>
      <c r="T54" s="47" t="n">
        <v>0</v>
      </c>
      <c r="U54" s="47" t="n">
        <f aca="false">ROUND(R54-S54-T54,2)</f>
        <v>3959.2</v>
      </c>
      <c r="V54" s="47" t="n">
        <f aca="false">ROUND(Y53*(1+Sorted!$H$6),2)</f>
        <v>0</v>
      </c>
      <c r="W54" s="47" t="n">
        <f aca="false">MIN(V54,Sorted!$G$6)</f>
        <v>0</v>
      </c>
      <c r="X54" s="47" t="n">
        <v>0</v>
      </c>
      <c r="Y54" s="47" t="n">
        <f aca="false">ROUND(V54-W54-X54,2)</f>
        <v>0</v>
      </c>
      <c r="Z54" s="47" t="n">
        <f aca="false">ROUND(AC53*(1+Sorted!$H$7),2)</f>
        <v>0</v>
      </c>
      <c r="AA54" s="47" t="n">
        <f aca="false">MIN(Z54,Sorted!$G$7)</f>
        <v>0</v>
      </c>
      <c r="AB54" s="47" t="n">
        <v>0</v>
      </c>
      <c r="AC54" s="47" t="n">
        <f aca="false">ROUND(Z54-AA54-AB54,2)</f>
        <v>0</v>
      </c>
      <c r="AD54" s="47" t="n">
        <f aca="false">ROUND(AG53*(1+Sorted!$H$8),2)</f>
        <v>0</v>
      </c>
      <c r="AE54" s="47" t="n">
        <f aca="false">MIN(AD54,Sorted!$G$8)</f>
        <v>0</v>
      </c>
      <c r="AF54" s="47" t="n">
        <v>0</v>
      </c>
      <c r="AG54" s="47" t="n">
        <f aca="false">ROUND(AD54-AE54-AF54,2)</f>
        <v>0</v>
      </c>
      <c r="AH54" s="47" t="n">
        <f aca="false">ROUND(AK53*(1+Sorted!$H$9),2)</f>
        <v>0</v>
      </c>
      <c r="AI54" s="47" t="n">
        <f aca="false">MIN(AH54,Sorted!$G$9)</f>
        <v>0</v>
      </c>
      <c r="AJ54" s="47" t="n">
        <v>0</v>
      </c>
      <c r="AK54" s="47" t="n">
        <f aca="false">ROUND(AH54-AI54-AJ54,2)</f>
        <v>0</v>
      </c>
      <c r="AL54" s="47" t="n">
        <f aca="false">ROUND(AO53*(1+Sorted!$H$10),2)</f>
        <v>0</v>
      </c>
      <c r="AM54" s="47" t="n">
        <f aca="false">MIN(AL54,Sorted!$G$10)</f>
        <v>0</v>
      </c>
      <c r="AN54" s="47" t="n">
        <v>0</v>
      </c>
      <c r="AO54" s="47" t="n">
        <f aca="false">ROUND(AL54-AM54-AN54,2)</f>
        <v>0</v>
      </c>
      <c r="AP54" s="47" t="n">
        <f aca="false">ROUND(AS53*(1+Sorted!$H$11),2)</f>
        <v>0</v>
      </c>
      <c r="AQ54" s="47" t="n">
        <f aca="false">MIN(AP54,Sorted!$G$11)</f>
        <v>0</v>
      </c>
      <c r="AR54" s="47" t="n">
        <v>0</v>
      </c>
      <c r="AS54" s="47" t="n">
        <f aca="false">ROUND(AP54-AQ54-AR54,2)</f>
        <v>0</v>
      </c>
    </row>
    <row r="55" customFormat="false" ht="15" hidden="false" customHeight="false" outlineLevel="0" collapsed="false">
      <c r="A55" s="45" t="n">
        <v>52</v>
      </c>
      <c r="B55" s="46" t="n">
        <f aca="false">EDATE('My Debts'!$C$7,A55-1)</f>
        <v>47880</v>
      </c>
      <c r="C55" s="47" t="n">
        <v>0</v>
      </c>
      <c r="D55" s="47" t="n">
        <f aca="false">(F55+J55+N55+R55+V55+Z55+AD55+AH55+AL55+AP55)-(I55+M55+Q55+U55+Y55+AC55+AG55+AK55+AO55+AS55)</f>
        <v>175</v>
      </c>
      <c r="E55" s="48" t="n">
        <f aca="false">I55+M55+Q55+U55+Y55+AC55+AG55+AK55+AO55+AS55</f>
        <v>3866.65</v>
      </c>
      <c r="F55" s="47" t="n">
        <f aca="false">ROUND(I54*(1+Sorted!$H$2),2)</f>
        <v>0</v>
      </c>
      <c r="G55" s="47" t="n">
        <f aca="false">MIN(F55,Sorted!$G$2)</f>
        <v>0</v>
      </c>
      <c r="H55" s="47" t="n">
        <v>0</v>
      </c>
      <c r="I55" s="47" t="n">
        <f aca="false">ROUND(F55-G55-H55,2)</f>
        <v>0</v>
      </c>
      <c r="J55" s="47" t="n">
        <f aca="false">ROUND(M54*(1+Sorted!$H$3),2)</f>
        <v>0</v>
      </c>
      <c r="K55" s="47" t="n">
        <f aca="false">MIN(J55,Sorted!$G$3)</f>
        <v>0</v>
      </c>
      <c r="L55" s="47" t="n">
        <v>0</v>
      </c>
      <c r="M55" s="47" t="n">
        <f aca="false">ROUND(J55-K55-L55,2)</f>
        <v>0</v>
      </c>
      <c r="N55" s="47" t="n">
        <f aca="false">ROUND(Q54*(1+Sorted!$H$4),2)</f>
        <v>0</v>
      </c>
      <c r="O55" s="47" t="n">
        <f aca="false">MIN(N55,Sorted!$G$4)</f>
        <v>0</v>
      </c>
      <c r="P55" s="47" t="n">
        <v>0</v>
      </c>
      <c r="Q55" s="47" t="n">
        <f aca="false">ROUND(N55-O55-P55,2)</f>
        <v>0</v>
      </c>
      <c r="R55" s="47" t="n">
        <f aca="false">ROUND(U54*(1+Sorted!$H$5),2)</f>
        <v>4041.65</v>
      </c>
      <c r="S55" s="47" t="n">
        <f aca="false">MIN(R55,Sorted!$G$5)</f>
        <v>175</v>
      </c>
      <c r="T55" s="47" t="n">
        <v>0</v>
      </c>
      <c r="U55" s="47" t="n">
        <f aca="false">ROUND(R55-S55-T55,2)</f>
        <v>3866.65</v>
      </c>
      <c r="V55" s="47" t="n">
        <f aca="false">ROUND(Y54*(1+Sorted!$H$6),2)</f>
        <v>0</v>
      </c>
      <c r="W55" s="47" t="n">
        <f aca="false">MIN(V55,Sorted!$G$6)</f>
        <v>0</v>
      </c>
      <c r="X55" s="47" t="n">
        <v>0</v>
      </c>
      <c r="Y55" s="47" t="n">
        <f aca="false">ROUND(V55-W55-X55,2)</f>
        <v>0</v>
      </c>
      <c r="Z55" s="47" t="n">
        <f aca="false">ROUND(AC54*(1+Sorted!$H$7),2)</f>
        <v>0</v>
      </c>
      <c r="AA55" s="47" t="n">
        <f aca="false">MIN(Z55,Sorted!$G$7)</f>
        <v>0</v>
      </c>
      <c r="AB55" s="47" t="n">
        <v>0</v>
      </c>
      <c r="AC55" s="47" t="n">
        <f aca="false">ROUND(Z55-AA55-AB55,2)</f>
        <v>0</v>
      </c>
      <c r="AD55" s="47" t="n">
        <f aca="false">ROUND(AG54*(1+Sorted!$H$8),2)</f>
        <v>0</v>
      </c>
      <c r="AE55" s="47" t="n">
        <f aca="false">MIN(AD55,Sorted!$G$8)</f>
        <v>0</v>
      </c>
      <c r="AF55" s="47" t="n">
        <v>0</v>
      </c>
      <c r="AG55" s="47" t="n">
        <f aca="false">ROUND(AD55-AE55-AF55,2)</f>
        <v>0</v>
      </c>
      <c r="AH55" s="47" t="n">
        <f aca="false">ROUND(AK54*(1+Sorted!$H$9),2)</f>
        <v>0</v>
      </c>
      <c r="AI55" s="47" t="n">
        <f aca="false">MIN(AH55,Sorted!$G$9)</f>
        <v>0</v>
      </c>
      <c r="AJ55" s="47" t="n">
        <v>0</v>
      </c>
      <c r="AK55" s="47" t="n">
        <f aca="false">ROUND(AH55-AI55-AJ55,2)</f>
        <v>0</v>
      </c>
      <c r="AL55" s="47" t="n">
        <f aca="false">ROUND(AO54*(1+Sorted!$H$10),2)</f>
        <v>0</v>
      </c>
      <c r="AM55" s="47" t="n">
        <f aca="false">MIN(AL55,Sorted!$G$10)</f>
        <v>0</v>
      </c>
      <c r="AN55" s="47" t="n">
        <v>0</v>
      </c>
      <c r="AO55" s="47" t="n">
        <f aca="false">ROUND(AL55-AM55-AN55,2)</f>
        <v>0</v>
      </c>
      <c r="AP55" s="47" t="n">
        <f aca="false">ROUND(AS54*(1+Sorted!$H$11),2)</f>
        <v>0</v>
      </c>
      <c r="AQ55" s="47" t="n">
        <f aca="false">MIN(AP55,Sorted!$G$11)</f>
        <v>0</v>
      </c>
      <c r="AR55" s="47" t="n">
        <v>0</v>
      </c>
      <c r="AS55" s="47" t="n">
        <f aca="false">ROUND(AP55-AQ55-AR55,2)</f>
        <v>0</v>
      </c>
    </row>
    <row r="56" customFormat="false" ht="15" hidden="false" customHeight="false" outlineLevel="0" collapsed="false">
      <c r="A56" s="45" t="n">
        <v>53</v>
      </c>
      <c r="B56" s="46" t="n">
        <f aca="false">EDATE('My Debts'!$C$7,A56-1)</f>
        <v>47908</v>
      </c>
      <c r="C56" s="47" t="n">
        <v>0</v>
      </c>
      <c r="D56" s="47" t="n">
        <f aca="false">(F56+J56+N56+R56+V56+Z56+AD56+AH56+AL56+AP56)-(I56+M56+Q56+U56+Y56+AC56+AG56+AK56+AO56+AS56)</f>
        <v>175</v>
      </c>
      <c r="E56" s="48" t="n">
        <f aca="false">I56+M56+Q56+U56+Y56+AC56+AG56+AK56+AO56+AS56</f>
        <v>3772.17</v>
      </c>
      <c r="F56" s="47" t="n">
        <f aca="false">ROUND(I55*(1+Sorted!$H$2),2)</f>
        <v>0</v>
      </c>
      <c r="G56" s="47" t="n">
        <f aca="false">MIN(F56,Sorted!$G$2)</f>
        <v>0</v>
      </c>
      <c r="H56" s="47" t="n">
        <v>0</v>
      </c>
      <c r="I56" s="47" t="n">
        <f aca="false">ROUND(F56-G56-H56,2)</f>
        <v>0</v>
      </c>
      <c r="J56" s="47" t="n">
        <f aca="false">ROUND(M55*(1+Sorted!$H$3),2)</f>
        <v>0</v>
      </c>
      <c r="K56" s="47" t="n">
        <f aca="false">MIN(J56,Sorted!$G$3)</f>
        <v>0</v>
      </c>
      <c r="L56" s="47" t="n">
        <v>0</v>
      </c>
      <c r="M56" s="47" t="n">
        <f aca="false">ROUND(J56-K56-L56,2)</f>
        <v>0</v>
      </c>
      <c r="N56" s="47" t="n">
        <f aca="false">ROUND(Q55*(1+Sorted!$H$4),2)</f>
        <v>0</v>
      </c>
      <c r="O56" s="47" t="n">
        <f aca="false">MIN(N56,Sorted!$G$4)</f>
        <v>0</v>
      </c>
      <c r="P56" s="47" t="n">
        <v>0</v>
      </c>
      <c r="Q56" s="47" t="n">
        <f aca="false">ROUND(N56-O56-P56,2)</f>
        <v>0</v>
      </c>
      <c r="R56" s="47" t="n">
        <f aca="false">ROUND(U55*(1+Sorted!$H$5),2)</f>
        <v>3947.17</v>
      </c>
      <c r="S56" s="47" t="n">
        <f aca="false">MIN(R56,Sorted!$G$5)</f>
        <v>175</v>
      </c>
      <c r="T56" s="47" t="n">
        <v>0</v>
      </c>
      <c r="U56" s="47" t="n">
        <f aca="false">ROUND(R56-S56-T56,2)</f>
        <v>3772.17</v>
      </c>
      <c r="V56" s="47" t="n">
        <f aca="false">ROUND(Y55*(1+Sorted!$H$6),2)</f>
        <v>0</v>
      </c>
      <c r="W56" s="47" t="n">
        <f aca="false">MIN(V56,Sorted!$G$6)</f>
        <v>0</v>
      </c>
      <c r="X56" s="47" t="n">
        <v>0</v>
      </c>
      <c r="Y56" s="47" t="n">
        <f aca="false">ROUND(V56-W56-X56,2)</f>
        <v>0</v>
      </c>
      <c r="Z56" s="47" t="n">
        <f aca="false">ROUND(AC55*(1+Sorted!$H$7),2)</f>
        <v>0</v>
      </c>
      <c r="AA56" s="47" t="n">
        <f aca="false">MIN(Z56,Sorted!$G$7)</f>
        <v>0</v>
      </c>
      <c r="AB56" s="47" t="n">
        <v>0</v>
      </c>
      <c r="AC56" s="47" t="n">
        <f aca="false">ROUND(Z56-AA56-AB56,2)</f>
        <v>0</v>
      </c>
      <c r="AD56" s="47" t="n">
        <f aca="false">ROUND(AG55*(1+Sorted!$H$8),2)</f>
        <v>0</v>
      </c>
      <c r="AE56" s="47" t="n">
        <f aca="false">MIN(AD56,Sorted!$G$8)</f>
        <v>0</v>
      </c>
      <c r="AF56" s="47" t="n">
        <v>0</v>
      </c>
      <c r="AG56" s="47" t="n">
        <f aca="false">ROUND(AD56-AE56-AF56,2)</f>
        <v>0</v>
      </c>
      <c r="AH56" s="47" t="n">
        <f aca="false">ROUND(AK55*(1+Sorted!$H$9),2)</f>
        <v>0</v>
      </c>
      <c r="AI56" s="47" t="n">
        <f aca="false">MIN(AH56,Sorted!$G$9)</f>
        <v>0</v>
      </c>
      <c r="AJ56" s="47" t="n">
        <v>0</v>
      </c>
      <c r="AK56" s="47" t="n">
        <f aca="false">ROUND(AH56-AI56-AJ56,2)</f>
        <v>0</v>
      </c>
      <c r="AL56" s="47" t="n">
        <f aca="false">ROUND(AO55*(1+Sorted!$H$10),2)</f>
        <v>0</v>
      </c>
      <c r="AM56" s="47" t="n">
        <f aca="false">MIN(AL56,Sorted!$G$10)</f>
        <v>0</v>
      </c>
      <c r="AN56" s="47" t="n">
        <v>0</v>
      </c>
      <c r="AO56" s="47" t="n">
        <f aca="false">ROUND(AL56-AM56-AN56,2)</f>
        <v>0</v>
      </c>
      <c r="AP56" s="47" t="n">
        <f aca="false">ROUND(AS55*(1+Sorted!$H$11),2)</f>
        <v>0</v>
      </c>
      <c r="AQ56" s="47" t="n">
        <f aca="false">MIN(AP56,Sorted!$G$11)</f>
        <v>0</v>
      </c>
      <c r="AR56" s="47" t="n">
        <v>0</v>
      </c>
      <c r="AS56" s="47" t="n">
        <f aca="false">ROUND(AP56-AQ56-AR56,2)</f>
        <v>0</v>
      </c>
    </row>
    <row r="57" customFormat="false" ht="15" hidden="false" customHeight="false" outlineLevel="0" collapsed="false">
      <c r="A57" s="45" t="n">
        <v>54</v>
      </c>
      <c r="B57" s="46" t="n">
        <f aca="false">EDATE('My Debts'!$C$7,A57-1)</f>
        <v>47939</v>
      </c>
      <c r="C57" s="47" t="n">
        <v>0</v>
      </c>
      <c r="D57" s="47" t="n">
        <f aca="false">(F57+J57+N57+R57+V57+Z57+AD57+AH57+AL57+AP57)-(I57+M57+Q57+U57+Y57+AC57+AG57+AK57+AO57+AS57)</f>
        <v>175</v>
      </c>
      <c r="E57" s="48" t="n">
        <f aca="false">I57+M57+Q57+U57+Y57+AC57+AG57+AK57+AO57+AS57</f>
        <v>3675.73</v>
      </c>
      <c r="F57" s="47" t="n">
        <f aca="false">ROUND(I56*(1+Sorted!$H$2),2)</f>
        <v>0</v>
      </c>
      <c r="G57" s="47" t="n">
        <f aca="false">MIN(F57,Sorted!$G$2)</f>
        <v>0</v>
      </c>
      <c r="H57" s="47" t="n">
        <v>0</v>
      </c>
      <c r="I57" s="47" t="n">
        <f aca="false">ROUND(F57-G57-H57,2)</f>
        <v>0</v>
      </c>
      <c r="J57" s="47" t="n">
        <f aca="false">ROUND(M56*(1+Sorted!$H$3),2)</f>
        <v>0</v>
      </c>
      <c r="K57" s="47" t="n">
        <f aca="false">MIN(J57,Sorted!$G$3)</f>
        <v>0</v>
      </c>
      <c r="L57" s="47" t="n">
        <v>0</v>
      </c>
      <c r="M57" s="47" t="n">
        <f aca="false">ROUND(J57-K57-L57,2)</f>
        <v>0</v>
      </c>
      <c r="N57" s="47" t="n">
        <f aca="false">ROUND(Q56*(1+Sorted!$H$4),2)</f>
        <v>0</v>
      </c>
      <c r="O57" s="47" t="n">
        <f aca="false">MIN(N57,Sorted!$G$4)</f>
        <v>0</v>
      </c>
      <c r="P57" s="47" t="n">
        <v>0</v>
      </c>
      <c r="Q57" s="47" t="n">
        <f aca="false">ROUND(N57-O57-P57,2)</f>
        <v>0</v>
      </c>
      <c r="R57" s="47" t="n">
        <f aca="false">ROUND(U56*(1+Sorted!$H$5),2)</f>
        <v>3850.73</v>
      </c>
      <c r="S57" s="47" t="n">
        <f aca="false">MIN(R57,Sorted!$G$5)</f>
        <v>175</v>
      </c>
      <c r="T57" s="47" t="n">
        <v>0</v>
      </c>
      <c r="U57" s="47" t="n">
        <f aca="false">ROUND(R57-S57-T57,2)</f>
        <v>3675.73</v>
      </c>
      <c r="V57" s="47" t="n">
        <f aca="false">ROUND(Y56*(1+Sorted!$H$6),2)</f>
        <v>0</v>
      </c>
      <c r="W57" s="47" t="n">
        <f aca="false">MIN(V57,Sorted!$G$6)</f>
        <v>0</v>
      </c>
      <c r="X57" s="47" t="n">
        <v>0</v>
      </c>
      <c r="Y57" s="47" t="n">
        <f aca="false">ROUND(V57-W57-X57,2)</f>
        <v>0</v>
      </c>
      <c r="Z57" s="47" t="n">
        <f aca="false">ROUND(AC56*(1+Sorted!$H$7),2)</f>
        <v>0</v>
      </c>
      <c r="AA57" s="47" t="n">
        <f aca="false">MIN(Z57,Sorted!$G$7)</f>
        <v>0</v>
      </c>
      <c r="AB57" s="47" t="n">
        <v>0</v>
      </c>
      <c r="AC57" s="47" t="n">
        <f aca="false">ROUND(Z57-AA57-AB57,2)</f>
        <v>0</v>
      </c>
      <c r="AD57" s="47" t="n">
        <f aca="false">ROUND(AG56*(1+Sorted!$H$8),2)</f>
        <v>0</v>
      </c>
      <c r="AE57" s="47" t="n">
        <f aca="false">MIN(AD57,Sorted!$G$8)</f>
        <v>0</v>
      </c>
      <c r="AF57" s="47" t="n">
        <v>0</v>
      </c>
      <c r="AG57" s="47" t="n">
        <f aca="false">ROUND(AD57-AE57-AF57,2)</f>
        <v>0</v>
      </c>
      <c r="AH57" s="47" t="n">
        <f aca="false">ROUND(AK56*(1+Sorted!$H$9),2)</f>
        <v>0</v>
      </c>
      <c r="AI57" s="47" t="n">
        <f aca="false">MIN(AH57,Sorted!$G$9)</f>
        <v>0</v>
      </c>
      <c r="AJ57" s="47" t="n">
        <v>0</v>
      </c>
      <c r="AK57" s="47" t="n">
        <f aca="false">ROUND(AH57-AI57-AJ57,2)</f>
        <v>0</v>
      </c>
      <c r="AL57" s="47" t="n">
        <f aca="false">ROUND(AO56*(1+Sorted!$H$10),2)</f>
        <v>0</v>
      </c>
      <c r="AM57" s="47" t="n">
        <f aca="false">MIN(AL57,Sorted!$G$10)</f>
        <v>0</v>
      </c>
      <c r="AN57" s="47" t="n">
        <v>0</v>
      </c>
      <c r="AO57" s="47" t="n">
        <f aca="false">ROUND(AL57-AM57-AN57,2)</f>
        <v>0</v>
      </c>
      <c r="AP57" s="47" t="n">
        <f aca="false">ROUND(AS56*(1+Sorted!$H$11),2)</f>
        <v>0</v>
      </c>
      <c r="AQ57" s="47" t="n">
        <f aca="false">MIN(AP57,Sorted!$G$11)</f>
        <v>0</v>
      </c>
      <c r="AR57" s="47" t="n">
        <v>0</v>
      </c>
      <c r="AS57" s="47" t="n">
        <f aca="false">ROUND(AP57-AQ57-AR57,2)</f>
        <v>0</v>
      </c>
    </row>
    <row r="58" customFormat="false" ht="15" hidden="false" customHeight="false" outlineLevel="0" collapsed="false">
      <c r="A58" s="45" t="n">
        <v>55</v>
      </c>
      <c r="B58" s="46" t="n">
        <f aca="false">EDATE('My Debts'!$C$7,A58-1)</f>
        <v>47969</v>
      </c>
      <c r="C58" s="47" t="n">
        <v>0</v>
      </c>
      <c r="D58" s="47" t="n">
        <f aca="false">(F58+J58+N58+R58+V58+Z58+AD58+AH58+AL58+AP58)-(I58+M58+Q58+U58+Y58+AC58+AG58+AK58+AO58+AS58)</f>
        <v>175</v>
      </c>
      <c r="E58" s="48" t="n">
        <f aca="false">I58+M58+Q58+U58+Y58+AC58+AG58+AK58+AO58+AS58</f>
        <v>3577.28</v>
      </c>
      <c r="F58" s="47" t="n">
        <f aca="false">ROUND(I57*(1+Sorted!$H$2),2)</f>
        <v>0</v>
      </c>
      <c r="G58" s="47" t="n">
        <f aca="false">MIN(F58,Sorted!$G$2)</f>
        <v>0</v>
      </c>
      <c r="H58" s="47" t="n">
        <v>0</v>
      </c>
      <c r="I58" s="47" t="n">
        <f aca="false">ROUND(F58-G58-H58,2)</f>
        <v>0</v>
      </c>
      <c r="J58" s="47" t="n">
        <f aca="false">ROUND(M57*(1+Sorted!$H$3),2)</f>
        <v>0</v>
      </c>
      <c r="K58" s="47" t="n">
        <f aca="false">MIN(J58,Sorted!$G$3)</f>
        <v>0</v>
      </c>
      <c r="L58" s="47" t="n">
        <v>0</v>
      </c>
      <c r="M58" s="47" t="n">
        <f aca="false">ROUND(J58-K58-L58,2)</f>
        <v>0</v>
      </c>
      <c r="N58" s="47" t="n">
        <f aca="false">ROUND(Q57*(1+Sorted!$H$4),2)</f>
        <v>0</v>
      </c>
      <c r="O58" s="47" t="n">
        <f aca="false">MIN(N58,Sorted!$G$4)</f>
        <v>0</v>
      </c>
      <c r="P58" s="47" t="n">
        <v>0</v>
      </c>
      <c r="Q58" s="47" t="n">
        <f aca="false">ROUND(N58-O58-P58,2)</f>
        <v>0</v>
      </c>
      <c r="R58" s="47" t="n">
        <f aca="false">ROUND(U57*(1+Sorted!$H$5),2)</f>
        <v>3752.28</v>
      </c>
      <c r="S58" s="47" t="n">
        <f aca="false">MIN(R58,Sorted!$G$5)</f>
        <v>175</v>
      </c>
      <c r="T58" s="47" t="n">
        <v>0</v>
      </c>
      <c r="U58" s="47" t="n">
        <f aca="false">ROUND(R58-S58-T58,2)</f>
        <v>3577.28</v>
      </c>
      <c r="V58" s="47" t="n">
        <f aca="false">ROUND(Y57*(1+Sorted!$H$6),2)</f>
        <v>0</v>
      </c>
      <c r="W58" s="47" t="n">
        <f aca="false">MIN(V58,Sorted!$G$6)</f>
        <v>0</v>
      </c>
      <c r="X58" s="47" t="n">
        <v>0</v>
      </c>
      <c r="Y58" s="47" t="n">
        <f aca="false">ROUND(V58-W58-X58,2)</f>
        <v>0</v>
      </c>
      <c r="Z58" s="47" t="n">
        <f aca="false">ROUND(AC57*(1+Sorted!$H$7),2)</f>
        <v>0</v>
      </c>
      <c r="AA58" s="47" t="n">
        <f aca="false">MIN(Z58,Sorted!$G$7)</f>
        <v>0</v>
      </c>
      <c r="AB58" s="47" t="n">
        <v>0</v>
      </c>
      <c r="AC58" s="47" t="n">
        <f aca="false">ROUND(Z58-AA58-AB58,2)</f>
        <v>0</v>
      </c>
      <c r="AD58" s="47" t="n">
        <f aca="false">ROUND(AG57*(1+Sorted!$H$8),2)</f>
        <v>0</v>
      </c>
      <c r="AE58" s="47" t="n">
        <f aca="false">MIN(AD58,Sorted!$G$8)</f>
        <v>0</v>
      </c>
      <c r="AF58" s="47" t="n">
        <v>0</v>
      </c>
      <c r="AG58" s="47" t="n">
        <f aca="false">ROUND(AD58-AE58-AF58,2)</f>
        <v>0</v>
      </c>
      <c r="AH58" s="47" t="n">
        <f aca="false">ROUND(AK57*(1+Sorted!$H$9),2)</f>
        <v>0</v>
      </c>
      <c r="AI58" s="47" t="n">
        <f aca="false">MIN(AH58,Sorted!$G$9)</f>
        <v>0</v>
      </c>
      <c r="AJ58" s="47" t="n">
        <v>0</v>
      </c>
      <c r="AK58" s="47" t="n">
        <f aca="false">ROUND(AH58-AI58-AJ58,2)</f>
        <v>0</v>
      </c>
      <c r="AL58" s="47" t="n">
        <f aca="false">ROUND(AO57*(1+Sorted!$H$10),2)</f>
        <v>0</v>
      </c>
      <c r="AM58" s="47" t="n">
        <f aca="false">MIN(AL58,Sorted!$G$10)</f>
        <v>0</v>
      </c>
      <c r="AN58" s="47" t="n">
        <v>0</v>
      </c>
      <c r="AO58" s="47" t="n">
        <f aca="false">ROUND(AL58-AM58-AN58,2)</f>
        <v>0</v>
      </c>
      <c r="AP58" s="47" t="n">
        <f aca="false">ROUND(AS57*(1+Sorted!$H$11),2)</f>
        <v>0</v>
      </c>
      <c r="AQ58" s="47" t="n">
        <f aca="false">MIN(AP58,Sorted!$G$11)</f>
        <v>0</v>
      </c>
      <c r="AR58" s="47" t="n">
        <v>0</v>
      </c>
      <c r="AS58" s="47" t="n">
        <f aca="false">ROUND(AP58-AQ58-AR58,2)</f>
        <v>0</v>
      </c>
    </row>
    <row r="59" customFormat="false" ht="15" hidden="false" customHeight="false" outlineLevel="0" collapsed="false">
      <c r="A59" s="45" t="n">
        <v>56</v>
      </c>
      <c r="B59" s="46" t="n">
        <f aca="false">EDATE('My Debts'!$C$7,A59-1)</f>
        <v>48000</v>
      </c>
      <c r="C59" s="47" t="n">
        <v>0</v>
      </c>
      <c r="D59" s="47" t="n">
        <f aca="false">(F59+J59+N59+R59+V59+Z59+AD59+AH59+AL59+AP59)-(I59+M59+Q59+U59+Y59+AC59+AG59+AK59+AO59+AS59)</f>
        <v>175</v>
      </c>
      <c r="E59" s="48" t="n">
        <f aca="false">I59+M59+Q59+U59+Y59+AC59+AG59+AK59+AO59+AS59</f>
        <v>3476.78</v>
      </c>
      <c r="F59" s="47" t="n">
        <f aca="false">ROUND(I58*(1+Sorted!$H$2),2)</f>
        <v>0</v>
      </c>
      <c r="G59" s="47" t="n">
        <f aca="false">MIN(F59,Sorted!$G$2)</f>
        <v>0</v>
      </c>
      <c r="H59" s="47" t="n">
        <v>0</v>
      </c>
      <c r="I59" s="47" t="n">
        <f aca="false">ROUND(F59-G59-H59,2)</f>
        <v>0</v>
      </c>
      <c r="J59" s="47" t="n">
        <f aca="false">ROUND(M58*(1+Sorted!$H$3),2)</f>
        <v>0</v>
      </c>
      <c r="K59" s="47" t="n">
        <f aca="false">MIN(J59,Sorted!$G$3)</f>
        <v>0</v>
      </c>
      <c r="L59" s="47" t="n">
        <v>0</v>
      </c>
      <c r="M59" s="47" t="n">
        <f aca="false">ROUND(J59-K59-L59,2)</f>
        <v>0</v>
      </c>
      <c r="N59" s="47" t="n">
        <f aca="false">ROUND(Q58*(1+Sorted!$H$4),2)</f>
        <v>0</v>
      </c>
      <c r="O59" s="47" t="n">
        <f aca="false">MIN(N59,Sorted!$G$4)</f>
        <v>0</v>
      </c>
      <c r="P59" s="47" t="n">
        <v>0</v>
      </c>
      <c r="Q59" s="47" t="n">
        <f aca="false">ROUND(N59-O59-P59,2)</f>
        <v>0</v>
      </c>
      <c r="R59" s="47" t="n">
        <f aca="false">ROUND(U58*(1+Sorted!$H$5),2)</f>
        <v>3651.78</v>
      </c>
      <c r="S59" s="47" t="n">
        <f aca="false">MIN(R59,Sorted!$G$5)</f>
        <v>175</v>
      </c>
      <c r="T59" s="47" t="n">
        <v>0</v>
      </c>
      <c r="U59" s="47" t="n">
        <f aca="false">ROUND(R59-S59-T59,2)</f>
        <v>3476.78</v>
      </c>
      <c r="V59" s="47" t="n">
        <f aca="false">ROUND(Y58*(1+Sorted!$H$6),2)</f>
        <v>0</v>
      </c>
      <c r="W59" s="47" t="n">
        <f aca="false">MIN(V59,Sorted!$G$6)</f>
        <v>0</v>
      </c>
      <c r="X59" s="47" t="n">
        <v>0</v>
      </c>
      <c r="Y59" s="47" t="n">
        <f aca="false">ROUND(V59-W59-X59,2)</f>
        <v>0</v>
      </c>
      <c r="Z59" s="47" t="n">
        <f aca="false">ROUND(AC58*(1+Sorted!$H$7),2)</f>
        <v>0</v>
      </c>
      <c r="AA59" s="47" t="n">
        <f aca="false">MIN(Z59,Sorted!$G$7)</f>
        <v>0</v>
      </c>
      <c r="AB59" s="47" t="n">
        <v>0</v>
      </c>
      <c r="AC59" s="47" t="n">
        <f aca="false">ROUND(Z59-AA59-AB59,2)</f>
        <v>0</v>
      </c>
      <c r="AD59" s="47" t="n">
        <f aca="false">ROUND(AG58*(1+Sorted!$H$8),2)</f>
        <v>0</v>
      </c>
      <c r="AE59" s="47" t="n">
        <f aca="false">MIN(AD59,Sorted!$G$8)</f>
        <v>0</v>
      </c>
      <c r="AF59" s="47" t="n">
        <v>0</v>
      </c>
      <c r="AG59" s="47" t="n">
        <f aca="false">ROUND(AD59-AE59-AF59,2)</f>
        <v>0</v>
      </c>
      <c r="AH59" s="47" t="n">
        <f aca="false">ROUND(AK58*(1+Sorted!$H$9),2)</f>
        <v>0</v>
      </c>
      <c r="AI59" s="47" t="n">
        <f aca="false">MIN(AH59,Sorted!$G$9)</f>
        <v>0</v>
      </c>
      <c r="AJ59" s="47" t="n">
        <v>0</v>
      </c>
      <c r="AK59" s="47" t="n">
        <f aca="false">ROUND(AH59-AI59-AJ59,2)</f>
        <v>0</v>
      </c>
      <c r="AL59" s="47" t="n">
        <f aca="false">ROUND(AO58*(1+Sorted!$H$10),2)</f>
        <v>0</v>
      </c>
      <c r="AM59" s="47" t="n">
        <f aca="false">MIN(AL59,Sorted!$G$10)</f>
        <v>0</v>
      </c>
      <c r="AN59" s="47" t="n">
        <v>0</v>
      </c>
      <c r="AO59" s="47" t="n">
        <f aca="false">ROUND(AL59-AM59-AN59,2)</f>
        <v>0</v>
      </c>
      <c r="AP59" s="47" t="n">
        <f aca="false">ROUND(AS58*(1+Sorted!$H$11),2)</f>
        <v>0</v>
      </c>
      <c r="AQ59" s="47" t="n">
        <f aca="false">MIN(AP59,Sorted!$G$11)</f>
        <v>0</v>
      </c>
      <c r="AR59" s="47" t="n">
        <v>0</v>
      </c>
      <c r="AS59" s="47" t="n">
        <f aca="false">ROUND(AP59-AQ59-AR59,2)</f>
        <v>0</v>
      </c>
    </row>
    <row r="60" customFormat="false" ht="15" hidden="false" customHeight="false" outlineLevel="0" collapsed="false">
      <c r="A60" s="45" t="n">
        <v>57</v>
      </c>
      <c r="B60" s="46" t="n">
        <f aca="false">EDATE('My Debts'!$C$7,A60-1)</f>
        <v>48030</v>
      </c>
      <c r="C60" s="47" t="n">
        <v>0</v>
      </c>
      <c r="D60" s="47" t="n">
        <f aca="false">(F60+J60+N60+R60+V60+Z60+AD60+AH60+AL60+AP60)-(I60+M60+Q60+U60+Y60+AC60+AG60+AK60+AO60+AS60)</f>
        <v>175</v>
      </c>
      <c r="E60" s="48" t="n">
        <f aca="false">I60+M60+Q60+U60+Y60+AC60+AG60+AK60+AO60+AS60</f>
        <v>3374.18</v>
      </c>
      <c r="F60" s="47" t="n">
        <f aca="false">ROUND(I59*(1+Sorted!$H$2),2)</f>
        <v>0</v>
      </c>
      <c r="G60" s="47" t="n">
        <f aca="false">MIN(F60,Sorted!$G$2)</f>
        <v>0</v>
      </c>
      <c r="H60" s="47" t="n">
        <v>0</v>
      </c>
      <c r="I60" s="47" t="n">
        <f aca="false">ROUND(F60-G60-H60,2)</f>
        <v>0</v>
      </c>
      <c r="J60" s="47" t="n">
        <f aca="false">ROUND(M59*(1+Sorted!$H$3),2)</f>
        <v>0</v>
      </c>
      <c r="K60" s="47" t="n">
        <f aca="false">MIN(J60,Sorted!$G$3)</f>
        <v>0</v>
      </c>
      <c r="L60" s="47" t="n">
        <v>0</v>
      </c>
      <c r="M60" s="47" t="n">
        <f aca="false">ROUND(J60-K60-L60,2)</f>
        <v>0</v>
      </c>
      <c r="N60" s="47" t="n">
        <f aca="false">ROUND(Q59*(1+Sorted!$H$4),2)</f>
        <v>0</v>
      </c>
      <c r="O60" s="47" t="n">
        <f aca="false">MIN(N60,Sorted!$G$4)</f>
        <v>0</v>
      </c>
      <c r="P60" s="47" t="n">
        <v>0</v>
      </c>
      <c r="Q60" s="47" t="n">
        <f aca="false">ROUND(N60-O60-P60,2)</f>
        <v>0</v>
      </c>
      <c r="R60" s="47" t="n">
        <f aca="false">ROUND(U59*(1+Sorted!$H$5),2)</f>
        <v>3549.18</v>
      </c>
      <c r="S60" s="47" t="n">
        <f aca="false">MIN(R60,Sorted!$G$5)</f>
        <v>175</v>
      </c>
      <c r="T60" s="47" t="n">
        <v>0</v>
      </c>
      <c r="U60" s="47" t="n">
        <f aca="false">ROUND(R60-S60-T60,2)</f>
        <v>3374.18</v>
      </c>
      <c r="V60" s="47" t="n">
        <f aca="false">ROUND(Y59*(1+Sorted!$H$6),2)</f>
        <v>0</v>
      </c>
      <c r="W60" s="47" t="n">
        <f aca="false">MIN(V60,Sorted!$G$6)</f>
        <v>0</v>
      </c>
      <c r="X60" s="47" t="n">
        <v>0</v>
      </c>
      <c r="Y60" s="47" t="n">
        <f aca="false">ROUND(V60-W60-X60,2)</f>
        <v>0</v>
      </c>
      <c r="Z60" s="47" t="n">
        <f aca="false">ROUND(AC59*(1+Sorted!$H$7),2)</f>
        <v>0</v>
      </c>
      <c r="AA60" s="47" t="n">
        <f aca="false">MIN(Z60,Sorted!$G$7)</f>
        <v>0</v>
      </c>
      <c r="AB60" s="47" t="n">
        <v>0</v>
      </c>
      <c r="AC60" s="47" t="n">
        <f aca="false">ROUND(Z60-AA60-AB60,2)</f>
        <v>0</v>
      </c>
      <c r="AD60" s="47" t="n">
        <f aca="false">ROUND(AG59*(1+Sorted!$H$8),2)</f>
        <v>0</v>
      </c>
      <c r="AE60" s="47" t="n">
        <f aca="false">MIN(AD60,Sorted!$G$8)</f>
        <v>0</v>
      </c>
      <c r="AF60" s="47" t="n">
        <v>0</v>
      </c>
      <c r="AG60" s="47" t="n">
        <f aca="false">ROUND(AD60-AE60-AF60,2)</f>
        <v>0</v>
      </c>
      <c r="AH60" s="47" t="n">
        <f aca="false">ROUND(AK59*(1+Sorted!$H$9),2)</f>
        <v>0</v>
      </c>
      <c r="AI60" s="47" t="n">
        <f aca="false">MIN(AH60,Sorted!$G$9)</f>
        <v>0</v>
      </c>
      <c r="AJ60" s="47" t="n">
        <v>0</v>
      </c>
      <c r="AK60" s="47" t="n">
        <f aca="false">ROUND(AH60-AI60-AJ60,2)</f>
        <v>0</v>
      </c>
      <c r="AL60" s="47" t="n">
        <f aca="false">ROUND(AO59*(1+Sorted!$H$10),2)</f>
        <v>0</v>
      </c>
      <c r="AM60" s="47" t="n">
        <f aca="false">MIN(AL60,Sorted!$G$10)</f>
        <v>0</v>
      </c>
      <c r="AN60" s="47" t="n">
        <v>0</v>
      </c>
      <c r="AO60" s="47" t="n">
        <f aca="false">ROUND(AL60-AM60-AN60,2)</f>
        <v>0</v>
      </c>
      <c r="AP60" s="47" t="n">
        <f aca="false">ROUND(AS59*(1+Sorted!$H$11),2)</f>
        <v>0</v>
      </c>
      <c r="AQ60" s="47" t="n">
        <f aca="false">MIN(AP60,Sorted!$G$11)</f>
        <v>0</v>
      </c>
      <c r="AR60" s="47" t="n">
        <v>0</v>
      </c>
      <c r="AS60" s="47" t="n">
        <f aca="false">ROUND(AP60-AQ60-AR60,2)</f>
        <v>0</v>
      </c>
    </row>
    <row r="61" customFormat="false" ht="15" hidden="false" customHeight="false" outlineLevel="0" collapsed="false">
      <c r="A61" s="45" t="n">
        <v>58</v>
      </c>
      <c r="B61" s="46" t="n">
        <f aca="false">EDATE('My Debts'!$C$7,A61-1)</f>
        <v>48061</v>
      </c>
      <c r="C61" s="47" t="n">
        <v>0</v>
      </c>
      <c r="D61" s="47" t="n">
        <f aca="false">(F61+J61+N61+R61+V61+Z61+AD61+AH61+AL61+AP61)-(I61+M61+Q61+U61+Y61+AC61+AG61+AK61+AO61+AS61)</f>
        <v>175</v>
      </c>
      <c r="E61" s="48" t="n">
        <f aca="false">I61+M61+Q61+U61+Y61+AC61+AG61+AK61+AO61+AS61</f>
        <v>3269.45</v>
      </c>
      <c r="F61" s="47" t="n">
        <f aca="false">ROUND(I60*(1+Sorted!$H$2),2)</f>
        <v>0</v>
      </c>
      <c r="G61" s="47" t="n">
        <f aca="false">MIN(F61,Sorted!$G$2)</f>
        <v>0</v>
      </c>
      <c r="H61" s="47" t="n">
        <v>0</v>
      </c>
      <c r="I61" s="47" t="n">
        <f aca="false">ROUND(F61-G61-H61,2)</f>
        <v>0</v>
      </c>
      <c r="J61" s="47" t="n">
        <f aca="false">ROUND(M60*(1+Sorted!$H$3),2)</f>
        <v>0</v>
      </c>
      <c r="K61" s="47" t="n">
        <f aca="false">MIN(J61,Sorted!$G$3)</f>
        <v>0</v>
      </c>
      <c r="L61" s="47" t="n">
        <v>0</v>
      </c>
      <c r="M61" s="47" t="n">
        <f aca="false">ROUND(J61-K61-L61,2)</f>
        <v>0</v>
      </c>
      <c r="N61" s="47" t="n">
        <f aca="false">ROUND(Q60*(1+Sorted!$H$4),2)</f>
        <v>0</v>
      </c>
      <c r="O61" s="47" t="n">
        <f aca="false">MIN(N61,Sorted!$G$4)</f>
        <v>0</v>
      </c>
      <c r="P61" s="47" t="n">
        <v>0</v>
      </c>
      <c r="Q61" s="47" t="n">
        <f aca="false">ROUND(N61-O61-P61,2)</f>
        <v>0</v>
      </c>
      <c r="R61" s="47" t="n">
        <f aca="false">ROUND(U60*(1+Sorted!$H$5),2)</f>
        <v>3444.45</v>
      </c>
      <c r="S61" s="47" t="n">
        <f aca="false">MIN(R61,Sorted!$G$5)</f>
        <v>175</v>
      </c>
      <c r="T61" s="47" t="n">
        <v>0</v>
      </c>
      <c r="U61" s="47" t="n">
        <f aca="false">ROUND(R61-S61-T61,2)</f>
        <v>3269.45</v>
      </c>
      <c r="V61" s="47" t="n">
        <f aca="false">ROUND(Y60*(1+Sorted!$H$6),2)</f>
        <v>0</v>
      </c>
      <c r="W61" s="47" t="n">
        <f aca="false">MIN(V61,Sorted!$G$6)</f>
        <v>0</v>
      </c>
      <c r="X61" s="47" t="n">
        <v>0</v>
      </c>
      <c r="Y61" s="47" t="n">
        <f aca="false">ROUND(V61-W61-X61,2)</f>
        <v>0</v>
      </c>
      <c r="Z61" s="47" t="n">
        <f aca="false">ROUND(AC60*(1+Sorted!$H$7),2)</f>
        <v>0</v>
      </c>
      <c r="AA61" s="47" t="n">
        <f aca="false">MIN(Z61,Sorted!$G$7)</f>
        <v>0</v>
      </c>
      <c r="AB61" s="47" t="n">
        <v>0</v>
      </c>
      <c r="AC61" s="47" t="n">
        <f aca="false">ROUND(Z61-AA61-AB61,2)</f>
        <v>0</v>
      </c>
      <c r="AD61" s="47" t="n">
        <f aca="false">ROUND(AG60*(1+Sorted!$H$8),2)</f>
        <v>0</v>
      </c>
      <c r="AE61" s="47" t="n">
        <f aca="false">MIN(AD61,Sorted!$G$8)</f>
        <v>0</v>
      </c>
      <c r="AF61" s="47" t="n">
        <v>0</v>
      </c>
      <c r="AG61" s="47" t="n">
        <f aca="false">ROUND(AD61-AE61-AF61,2)</f>
        <v>0</v>
      </c>
      <c r="AH61" s="47" t="n">
        <f aca="false">ROUND(AK60*(1+Sorted!$H$9),2)</f>
        <v>0</v>
      </c>
      <c r="AI61" s="47" t="n">
        <f aca="false">MIN(AH61,Sorted!$G$9)</f>
        <v>0</v>
      </c>
      <c r="AJ61" s="47" t="n">
        <v>0</v>
      </c>
      <c r="AK61" s="47" t="n">
        <f aca="false">ROUND(AH61-AI61-AJ61,2)</f>
        <v>0</v>
      </c>
      <c r="AL61" s="47" t="n">
        <f aca="false">ROUND(AO60*(1+Sorted!$H$10),2)</f>
        <v>0</v>
      </c>
      <c r="AM61" s="47" t="n">
        <f aca="false">MIN(AL61,Sorted!$G$10)</f>
        <v>0</v>
      </c>
      <c r="AN61" s="47" t="n">
        <v>0</v>
      </c>
      <c r="AO61" s="47" t="n">
        <f aca="false">ROUND(AL61-AM61-AN61,2)</f>
        <v>0</v>
      </c>
      <c r="AP61" s="47" t="n">
        <f aca="false">ROUND(AS60*(1+Sorted!$H$11),2)</f>
        <v>0</v>
      </c>
      <c r="AQ61" s="47" t="n">
        <f aca="false">MIN(AP61,Sorted!$G$11)</f>
        <v>0</v>
      </c>
      <c r="AR61" s="47" t="n">
        <v>0</v>
      </c>
      <c r="AS61" s="47" t="n">
        <f aca="false">ROUND(AP61-AQ61-AR61,2)</f>
        <v>0</v>
      </c>
    </row>
    <row r="62" customFormat="false" ht="15" hidden="false" customHeight="false" outlineLevel="0" collapsed="false">
      <c r="A62" s="45" t="n">
        <v>59</v>
      </c>
      <c r="B62" s="46" t="n">
        <f aca="false">EDATE('My Debts'!$C$7,A62-1)</f>
        <v>48092</v>
      </c>
      <c r="C62" s="47" t="n">
        <v>0</v>
      </c>
      <c r="D62" s="47" t="n">
        <f aca="false">(F62+J62+N62+R62+V62+Z62+AD62+AH62+AL62+AP62)-(I62+M62+Q62+U62+Y62+AC62+AG62+AK62+AO62+AS62)</f>
        <v>175</v>
      </c>
      <c r="E62" s="48" t="n">
        <f aca="false">I62+M62+Q62+U62+Y62+AC62+AG62+AK62+AO62+AS62</f>
        <v>3162.54</v>
      </c>
      <c r="F62" s="47" t="n">
        <f aca="false">ROUND(I61*(1+Sorted!$H$2),2)</f>
        <v>0</v>
      </c>
      <c r="G62" s="47" t="n">
        <f aca="false">MIN(F62,Sorted!$G$2)</f>
        <v>0</v>
      </c>
      <c r="H62" s="47" t="n">
        <v>0</v>
      </c>
      <c r="I62" s="47" t="n">
        <f aca="false">ROUND(F62-G62-H62,2)</f>
        <v>0</v>
      </c>
      <c r="J62" s="47" t="n">
        <f aca="false">ROUND(M61*(1+Sorted!$H$3),2)</f>
        <v>0</v>
      </c>
      <c r="K62" s="47" t="n">
        <f aca="false">MIN(J62,Sorted!$G$3)</f>
        <v>0</v>
      </c>
      <c r="L62" s="47" t="n">
        <v>0</v>
      </c>
      <c r="M62" s="47" t="n">
        <f aca="false">ROUND(J62-K62-L62,2)</f>
        <v>0</v>
      </c>
      <c r="N62" s="47" t="n">
        <f aca="false">ROUND(Q61*(1+Sorted!$H$4),2)</f>
        <v>0</v>
      </c>
      <c r="O62" s="47" t="n">
        <f aca="false">MIN(N62,Sorted!$G$4)</f>
        <v>0</v>
      </c>
      <c r="P62" s="47" t="n">
        <v>0</v>
      </c>
      <c r="Q62" s="47" t="n">
        <f aca="false">ROUND(N62-O62-P62,2)</f>
        <v>0</v>
      </c>
      <c r="R62" s="47" t="n">
        <f aca="false">ROUND(U61*(1+Sorted!$H$5),2)</f>
        <v>3337.54</v>
      </c>
      <c r="S62" s="47" t="n">
        <f aca="false">MIN(R62,Sorted!$G$5)</f>
        <v>175</v>
      </c>
      <c r="T62" s="47" t="n">
        <v>0</v>
      </c>
      <c r="U62" s="47" t="n">
        <f aca="false">ROUND(R62-S62-T62,2)</f>
        <v>3162.54</v>
      </c>
      <c r="V62" s="47" t="n">
        <f aca="false">ROUND(Y61*(1+Sorted!$H$6),2)</f>
        <v>0</v>
      </c>
      <c r="W62" s="47" t="n">
        <f aca="false">MIN(V62,Sorted!$G$6)</f>
        <v>0</v>
      </c>
      <c r="X62" s="47" t="n">
        <v>0</v>
      </c>
      <c r="Y62" s="47" t="n">
        <f aca="false">ROUND(V62-W62-X62,2)</f>
        <v>0</v>
      </c>
      <c r="Z62" s="47" t="n">
        <f aca="false">ROUND(AC61*(1+Sorted!$H$7),2)</f>
        <v>0</v>
      </c>
      <c r="AA62" s="47" t="n">
        <f aca="false">MIN(Z62,Sorted!$G$7)</f>
        <v>0</v>
      </c>
      <c r="AB62" s="47" t="n">
        <v>0</v>
      </c>
      <c r="AC62" s="47" t="n">
        <f aca="false">ROUND(Z62-AA62-AB62,2)</f>
        <v>0</v>
      </c>
      <c r="AD62" s="47" t="n">
        <f aca="false">ROUND(AG61*(1+Sorted!$H$8),2)</f>
        <v>0</v>
      </c>
      <c r="AE62" s="47" t="n">
        <f aca="false">MIN(AD62,Sorted!$G$8)</f>
        <v>0</v>
      </c>
      <c r="AF62" s="47" t="n">
        <v>0</v>
      </c>
      <c r="AG62" s="47" t="n">
        <f aca="false">ROUND(AD62-AE62-AF62,2)</f>
        <v>0</v>
      </c>
      <c r="AH62" s="47" t="n">
        <f aca="false">ROUND(AK61*(1+Sorted!$H$9),2)</f>
        <v>0</v>
      </c>
      <c r="AI62" s="47" t="n">
        <f aca="false">MIN(AH62,Sorted!$G$9)</f>
        <v>0</v>
      </c>
      <c r="AJ62" s="47" t="n">
        <v>0</v>
      </c>
      <c r="AK62" s="47" t="n">
        <f aca="false">ROUND(AH62-AI62-AJ62,2)</f>
        <v>0</v>
      </c>
      <c r="AL62" s="47" t="n">
        <f aca="false">ROUND(AO61*(1+Sorted!$H$10),2)</f>
        <v>0</v>
      </c>
      <c r="AM62" s="47" t="n">
        <f aca="false">MIN(AL62,Sorted!$G$10)</f>
        <v>0</v>
      </c>
      <c r="AN62" s="47" t="n">
        <v>0</v>
      </c>
      <c r="AO62" s="47" t="n">
        <f aca="false">ROUND(AL62-AM62-AN62,2)</f>
        <v>0</v>
      </c>
      <c r="AP62" s="47" t="n">
        <f aca="false">ROUND(AS61*(1+Sorted!$H$11),2)</f>
        <v>0</v>
      </c>
      <c r="AQ62" s="47" t="n">
        <f aca="false">MIN(AP62,Sorted!$G$11)</f>
        <v>0</v>
      </c>
      <c r="AR62" s="47" t="n">
        <v>0</v>
      </c>
      <c r="AS62" s="47" t="n">
        <f aca="false">ROUND(AP62-AQ62-AR62,2)</f>
        <v>0</v>
      </c>
    </row>
    <row r="63" customFormat="false" ht="15" hidden="false" customHeight="false" outlineLevel="0" collapsed="false">
      <c r="A63" s="45" t="n">
        <v>60</v>
      </c>
      <c r="B63" s="46" t="n">
        <f aca="false">EDATE('My Debts'!$C$7,A63-1)</f>
        <v>48122</v>
      </c>
      <c r="C63" s="47" t="n">
        <v>0</v>
      </c>
      <c r="D63" s="47" t="n">
        <f aca="false">(F63+J63+N63+R63+V63+Z63+AD63+AH63+AL63+AP63)-(I63+M63+Q63+U63+Y63+AC63+AG63+AK63+AO63+AS63)</f>
        <v>175</v>
      </c>
      <c r="E63" s="48" t="n">
        <f aca="false">I63+M63+Q63+U63+Y63+AC63+AG63+AK63+AO63+AS63</f>
        <v>3053.4</v>
      </c>
      <c r="F63" s="47" t="n">
        <f aca="false">ROUND(I62*(1+Sorted!$H$2),2)</f>
        <v>0</v>
      </c>
      <c r="G63" s="47" t="n">
        <f aca="false">MIN(F63,Sorted!$G$2)</f>
        <v>0</v>
      </c>
      <c r="H63" s="47" t="n">
        <v>0</v>
      </c>
      <c r="I63" s="47" t="n">
        <f aca="false">ROUND(F63-G63-H63,2)</f>
        <v>0</v>
      </c>
      <c r="J63" s="47" t="n">
        <f aca="false">ROUND(M62*(1+Sorted!$H$3),2)</f>
        <v>0</v>
      </c>
      <c r="K63" s="47" t="n">
        <f aca="false">MIN(J63,Sorted!$G$3)</f>
        <v>0</v>
      </c>
      <c r="L63" s="47" t="n">
        <v>0</v>
      </c>
      <c r="M63" s="47" t="n">
        <f aca="false">ROUND(J63-K63-L63,2)</f>
        <v>0</v>
      </c>
      <c r="N63" s="47" t="n">
        <f aca="false">ROUND(Q62*(1+Sorted!$H$4),2)</f>
        <v>0</v>
      </c>
      <c r="O63" s="47" t="n">
        <f aca="false">MIN(N63,Sorted!$G$4)</f>
        <v>0</v>
      </c>
      <c r="P63" s="47" t="n">
        <v>0</v>
      </c>
      <c r="Q63" s="47" t="n">
        <f aca="false">ROUND(N63-O63-P63,2)</f>
        <v>0</v>
      </c>
      <c r="R63" s="47" t="n">
        <f aca="false">ROUND(U62*(1+Sorted!$H$5),2)</f>
        <v>3228.4</v>
      </c>
      <c r="S63" s="47" t="n">
        <f aca="false">MIN(R63,Sorted!$G$5)</f>
        <v>175</v>
      </c>
      <c r="T63" s="47" t="n">
        <v>0</v>
      </c>
      <c r="U63" s="47" t="n">
        <f aca="false">ROUND(R63-S63-T63,2)</f>
        <v>3053.4</v>
      </c>
      <c r="V63" s="47" t="n">
        <f aca="false">ROUND(Y62*(1+Sorted!$H$6),2)</f>
        <v>0</v>
      </c>
      <c r="W63" s="47" t="n">
        <f aca="false">MIN(V63,Sorted!$G$6)</f>
        <v>0</v>
      </c>
      <c r="X63" s="47" t="n">
        <v>0</v>
      </c>
      <c r="Y63" s="47" t="n">
        <f aca="false">ROUND(V63-W63-X63,2)</f>
        <v>0</v>
      </c>
      <c r="Z63" s="47" t="n">
        <f aca="false">ROUND(AC62*(1+Sorted!$H$7),2)</f>
        <v>0</v>
      </c>
      <c r="AA63" s="47" t="n">
        <f aca="false">MIN(Z63,Sorted!$G$7)</f>
        <v>0</v>
      </c>
      <c r="AB63" s="47" t="n">
        <v>0</v>
      </c>
      <c r="AC63" s="47" t="n">
        <f aca="false">ROUND(Z63-AA63-AB63,2)</f>
        <v>0</v>
      </c>
      <c r="AD63" s="47" t="n">
        <f aca="false">ROUND(AG62*(1+Sorted!$H$8),2)</f>
        <v>0</v>
      </c>
      <c r="AE63" s="47" t="n">
        <f aca="false">MIN(AD63,Sorted!$G$8)</f>
        <v>0</v>
      </c>
      <c r="AF63" s="47" t="n">
        <v>0</v>
      </c>
      <c r="AG63" s="47" t="n">
        <f aca="false">ROUND(AD63-AE63-AF63,2)</f>
        <v>0</v>
      </c>
      <c r="AH63" s="47" t="n">
        <f aca="false">ROUND(AK62*(1+Sorted!$H$9),2)</f>
        <v>0</v>
      </c>
      <c r="AI63" s="47" t="n">
        <f aca="false">MIN(AH63,Sorted!$G$9)</f>
        <v>0</v>
      </c>
      <c r="AJ63" s="47" t="n">
        <v>0</v>
      </c>
      <c r="AK63" s="47" t="n">
        <f aca="false">ROUND(AH63-AI63-AJ63,2)</f>
        <v>0</v>
      </c>
      <c r="AL63" s="47" t="n">
        <f aca="false">ROUND(AO62*(1+Sorted!$H$10),2)</f>
        <v>0</v>
      </c>
      <c r="AM63" s="47" t="n">
        <f aca="false">MIN(AL63,Sorted!$G$10)</f>
        <v>0</v>
      </c>
      <c r="AN63" s="47" t="n">
        <v>0</v>
      </c>
      <c r="AO63" s="47" t="n">
        <f aca="false">ROUND(AL63-AM63-AN63,2)</f>
        <v>0</v>
      </c>
      <c r="AP63" s="47" t="n">
        <f aca="false">ROUND(AS62*(1+Sorted!$H$11),2)</f>
        <v>0</v>
      </c>
      <c r="AQ63" s="47" t="n">
        <f aca="false">MIN(AP63,Sorted!$G$11)</f>
        <v>0</v>
      </c>
      <c r="AR63" s="47" t="n">
        <v>0</v>
      </c>
      <c r="AS63" s="47" t="n">
        <f aca="false">ROUND(AP63-AQ63-AR63,2)</f>
        <v>0</v>
      </c>
    </row>
    <row r="64" customFormat="false" ht="15" hidden="false" customHeight="false" outlineLevel="0" collapsed="false">
      <c r="A64" s="45" t="n">
        <v>61</v>
      </c>
      <c r="B64" s="46" t="n">
        <f aca="false">EDATE('My Debts'!$C$7,A64-1)</f>
        <v>48153</v>
      </c>
      <c r="C64" s="47" t="n">
        <v>0</v>
      </c>
      <c r="D64" s="47" t="n">
        <f aca="false">(F64+J64+N64+R64+V64+Z64+AD64+AH64+AL64+AP64)-(I64+M64+Q64+U64+Y64+AC64+AG64+AK64+AO64+AS64)</f>
        <v>175</v>
      </c>
      <c r="E64" s="48" t="n">
        <f aca="false">I64+M64+Q64+U64+Y64+AC64+AG64+AK64+AO64+AS64</f>
        <v>2941.99</v>
      </c>
      <c r="F64" s="47" t="n">
        <f aca="false">ROUND(I63*(1+Sorted!$H$2),2)</f>
        <v>0</v>
      </c>
      <c r="G64" s="47" t="n">
        <f aca="false">MIN(F64,Sorted!$G$2)</f>
        <v>0</v>
      </c>
      <c r="H64" s="47" t="n">
        <v>0</v>
      </c>
      <c r="I64" s="47" t="n">
        <f aca="false">ROUND(F64-G64-H64,2)</f>
        <v>0</v>
      </c>
      <c r="J64" s="47" t="n">
        <f aca="false">ROUND(M63*(1+Sorted!$H$3),2)</f>
        <v>0</v>
      </c>
      <c r="K64" s="47" t="n">
        <f aca="false">MIN(J64,Sorted!$G$3)</f>
        <v>0</v>
      </c>
      <c r="L64" s="47" t="n">
        <v>0</v>
      </c>
      <c r="M64" s="47" t="n">
        <f aca="false">ROUND(J64-K64-L64,2)</f>
        <v>0</v>
      </c>
      <c r="N64" s="47" t="n">
        <f aca="false">ROUND(Q63*(1+Sorted!$H$4),2)</f>
        <v>0</v>
      </c>
      <c r="O64" s="47" t="n">
        <f aca="false">MIN(N64,Sorted!$G$4)</f>
        <v>0</v>
      </c>
      <c r="P64" s="47" t="n">
        <v>0</v>
      </c>
      <c r="Q64" s="47" t="n">
        <f aca="false">ROUND(N64-O64-P64,2)</f>
        <v>0</v>
      </c>
      <c r="R64" s="47" t="n">
        <f aca="false">ROUND(U63*(1+Sorted!$H$5),2)</f>
        <v>3116.99</v>
      </c>
      <c r="S64" s="47" t="n">
        <f aca="false">MIN(R64,Sorted!$G$5)</f>
        <v>175</v>
      </c>
      <c r="T64" s="47" t="n">
        <v>0</v>
      </c>
      <c r="U64" s="47" t="n">
        <f aca="false">ROUND(R64-S64-T64,2)</f>
        <v>2941.99</v>
      </c>
      <c r="V64" s="47" t="n">
        <f aca="false">ROUND(Y63*(1+Sorted!$H$6),2)</f>
        <v>0</v>
      </c>
      <c r="W64" s="47" t="n">
        <f aca="false">MIN(V64,Sorted!$G$6)</f>
        <v>0</v>
      </c>
      <c r="X64" s="47" t="n">
        <v>0</v>
      </c>
      <c r="Y64" s="47" t="n">
        <f aca="false">ROUND(V64-W64-X64,2)</f>
        <v>0</v>
      </c>
      <c r="Z64" s="47" t="n">
        <f aca="false">ROUND(AC63*(1+Sorted!$H$7),2)</f>
        <v>0</v>
      </c>
      <c r="AA64" s="47" t="n">
        <f aca="false">MIN(Z64,Sorted!$G$7)</f>
        <v>0</v>
      </c>
      <c r="AB64" s="47" t="n">
        <v>0</v>
      </c>
      <c r="AC64" s="47" t="n">
        <f aca="false">ROUND(Z64-AA64-AB64,2)</f>
        <v>0</v>
      </c>
      <c r="AD64" s="47" t="n">
        <f aca="false">ROUND(AG63*(1+Sorted!$H$8),2)</f>
        <v>0</v>
      </c>
      <c r="AE64" s="47" t="n">
        <f aca="false">MIN(AD64,Sorted!$G$8)</f>
        <v>0</v>
      </c>
      <c r="AF64" s="47" t="n">
        <v>0</v>
      </c>
      <c r="AG64" s="47" t="n">
        <f aca="false">ROUND(AD64-AE64-AF64,2)</f>
        <v>0</v>
      </c>
      <c r="AH64" s="47" t="n">
        <f aca="false">ROUND(AK63*(1+Sorted!$H$9),2)</f>
        <v>0</v>
      </c>
      <c r="AI64" s="47" t="n">
        <f aca="false">MIN(AH64,Sorted!$G$9)</f>
        <v>0</v>
      </c>
      <c r="AJ64" s="47" t="n">
        <v>0</v>
      </c>
      <c r="AK64" s="47" t="n">
        <f aca="false">ROUND(AH64-AI64-AJ64,2)</f>
        <v>0</v>
      </c>
      <c r="AL64" s="47" t="n">
        <f aca="false">ROUND(AO63*(1+Sorted!$H$10),2)</f>
        <v>0</v>
      </c>
      <c r="AM64" s="47" t="n">
        <f aca="false">MIN(AL64,Sorted!$G$10)</f>
        <v>0</v>
      </c>
      <c r="AN64" s="47" t="n">
        <v>0</v>
      </c>
      <c r="AO64" s="47" t="n">
        <f aca="false">ROUND(AL64-AM64-AN64,2)</f>
        <v>0</v>
      </c>
      <c r="AP64" s="47" t="n">
        <f aca="false">ROUND(AS63*(1+Sorted!$H$11),2)</f>
        <v>0</v>
      </c>
      <c r="AQ64" s="47" t="n">
        <f aca="false">MIN(AP64,Sorted!$G$11)</f>
        <v>0</v>
      </c>
      <c r="AR64" s="47" t="n">
        <v>0</v>
      </c>
      <c r="AS64" s="47" t="n">
        <f aca="false">ROUND(AP64-AQ64-AR64,2)</f>
        <v>0</v>
      </c>
    </row>
    <row r="65" customFormat="false" ht="15" hidden="false" customHeight="false" outlineLevel="0" collapsed="false">
      <c r="A65" s="45" t="n">
        <v>62</v>
      </c>
      <c r="B65" s="46" t="n">
        <f aca="false">EDATE('My Debts'!$C$7,A65-1)</f>
        <v>48183</v>
      </c>
      <c r="C65" s="47" t="n">
        <v>0</v>
      </c>
      <c r="D65" s="47" t="n">
        <f aca="false">(F65+J65+N65+R65+V65+Z65+AD65+AH65+AL65+AP65)-(I65+M65+Q65+U65+Y65+AC65+AG65+AK65+AO65+AS65)</f>
        <v>175</v>
      </c>
      <c r="E65" s="48" t="n">
        <f aca="false">I65+M65+Q65+U65+Y65+AC65+AG65+AK65+AO65+AS65</f>
        <v>2828.26</v>
      </c>
      <c r="F65" s="47" t="n">
        <f aca="false">ROUND(I64*(1+Sorted!$H$2),2)</f>
        <v>0</v>
      </c>
      <c r="G65" s="47" t="n">
        <f aca="false">MIN(F65,Sorted!$G$2)</f>
        <v>0</v>
      </c>
      <c r="H65" s="47" t="n">
        <v>0</v>
      </c>
      <c r="I65" s="47" t="n">
        <f aca="false">ROUND(F65-G65-H65,2)</f>
        <v>0</v>
      </c>
      <c r="J65" s="47" t="n">
        <f aca="false">ROUND(M64*(1+Sorted!$H$3),2)</f>
        <v>0</v>
      </c>
      <c r="K65" s="47" t="n">
        <f aca="false">MIN(J65,Sorted!$G$3)</f>
        <v>0</v>
      </c>
      <c r="L65" s="47" t="n">
        <v>0</v>
      </c>
      <c r="M65" s="47" t="n">
        <f aca="false">ROUND(J65-K65-L65,2)</f>
        <v>0</v>
      </c>
      <c r="N65" s="47" t="n">
        <f aca="false">ROUND(Q64*(1+Sorted!$H$4),2)</f>
        <v>0</v>
      </c>
      <c r="O65" s="47" t="n">
        <f aca="false">MIN(N65,Sorted!$G$4)</f>
        <v>0</v>
      </c>
      <c r="P65" s="47" t="n">
        <v>0</v>
      </c>
      <c r="Q65" s="47" t="n">
        <f aca="false">ROUND(N65-O65-P65,2)</f>
        <v>0</v>
      </c>
      <c r="R65" s="47" t="n">
        <f aca="false">ROUND(U64*(1+Sorted!$H$5),2)</f>
        <v>3003.26</v>
      </c>
      <c r="S65" s="47" t="n">
        <f aca="false">MIN(R65,Sorted!$G$5)</f>
        <v>175</v>
      </c>
      <c r="T65" s="47" t="n">
        <v>0</v>
      </c>
      <c r="U65" s="47" t="n">
        <f aca="false">ROUND(R65-S65-T65,2)</f>
        <v>2828.26</v>
      </c>
      <c r="V65" s="47" t="n">
        <f aca="false">ROUND(Y64*(1+Sorted!$H$6),2)</f>
        <v>0</v>
      </c>
      <c r="W65" s="47" t="n">
        <f aca="false">MIN(V65,Sorted!$G$6)</f>
        <v>0</v>
      </c>
      <c r="X65" s="47" t="n">
        <v>0</v>
      </c>
      <c r="Y65" s="47" t="n">
        <f aca="false">ROUND(V65-W65-X65,2)</f>
        <v>0</v>
      </c>
      <c r="Z65" s="47" t="n">
        <f aca="false">ROUND(AC64*(1+Sorted!$H$7),2)</f>
        <v>0</v>
      </c>
      <c r="AA65" s="47" t="n">
        <f aca="false">MIN(Z65,Sorted!$G$7)</f>
        <v>0</v>
      </c>
      <c r="AB65" s="47" t="n">
        <v>0</v>
      </c>
      <c r="AC65" s="47" t="n">
        <f aca="false">ROUND(Z65-AA65-AB65,2)</f>
        <v>0</v>
      </c>
      <c r="AD65" s="47" t="n">
        <f aca="false">ROUND(AG64*(1+Sorted!$H$8),2)</f>
        <v>0</v>
      </c>
      <c r="AE65" s="47" t="n">
        <f aca="false">MIN(AD65,Sorted!$G$8)</f>
        <v>0</v>
      </c>
      <c r="AF65" s="47" t="n">
        <v>0</v>
      </c>
      <c r="AG65" s="47" t="n">
        <f aca="false">ROUND(AD65-AE65-AF65,2)</f>
        <v>0</v>
      </c>
      <c r="AH65" s="47" t="n">
        <f aca="false">ROUND(AK64*(1+Sorted!$H$9),2)</f>
        <v>0</v>
      </c>
      <c r="AI65" s="47" t="n">
        <f aca="false">MIN(AH65,Sorted!$G$9)</f>
        <v>0</v>
      </c>
      <c r="AJ65" s="47" t="n">
        <v>0</v>
      </c>
      <c r="AK65" s="47" t="n">
        <f aca="false">ROUND(AH65-AI65-AJ65,2)</f>
        <v>0</v>
      </c>
      <c r="AL65" s="47" t="n">
        <f aca="false">ROUND(AO64*(1+Sorted!$H$10),2)</f>
        <v>0</v>
      </c>
      <c r="AM65" s="47" t="n">
        <f aca="false">MIN(AL65,Sorted!$G$10)</f>
        <v>0</v>
      </c>
      <c r="AN65" s="47" t="n">
        <v>0</v>
      </c>
      <c r="AO65" s="47" t="n">
        <f aca="false">ROUND(AL65-AM65-AN65,2)</f>
        <v>0</v>
      </c>
      <c r="AP65" s="47" t="n">
        <f aca="false">ROUND(AS64*(1+Sorted!$H$11),2)</f>
        <v>0</v>
      </c>
      <c r="AQ65" s="47" t="n">
        <f aca="false">MIN(AP65,Sorted!$G$11)</f>
        <v>0</v>
      </c>
      <c r="AR65" s="47" t="n">
        <v>0</v>
      </c>
      <c r="AS65" s="47" t="n">
        <f aca="false">ROUND(AP65-AQ65-AR65,2)</f>
        <v>0</v>
      </c>
    </row>
    <row r="66" customFormat="false" ht="15" hidden="false" customHeight="false" outlineLevel="0" collapsed="false">
      <c r="A66" s="45" t="n">
        <v>63</v>
      </c>
      <c r="B66" s="46" t="n">
        <f aca="false">EDATE('My Debts'!$C$7,A66-1)</f>
        <v>48214</v>
      </c>
      <c r="C66" s="47" t="n">
        <v>0</v>
      </c>
      <c r="D66" s="47" t="n">
        <f aca="false">(F66+J66+N66+R66+V66+Z66+AD66+AH66+AL66+AP66)-(I66+M66+Q66+U66+Y66+AC66+AG66+AK66+AO66+AS66)</f>
        <v>175</v>
      </c>
      <c r="E66" s="48" t="n">
        <f aca="false">I66+M66+Q66+U66+Y66+AC66+AG66+AK66+AO66+AS66</f>
        <v>2712.16</v>
      </c>
      <c r="F66" s="47" t="n">
        <f aca="false">ROUND(I65*(1+Sorted!$H$2),2)</f>
        <v>0</v>
      </c>
      <c r="G66" s="47" t="n">
        <f aca="false">MIN(F66,Sorted!$G$2)</f>
        <v>0</v>
      </c>
      <c r="H66" s="47" t="n">
        <v>0</v>
      </c>
      <c r="I66" s="47" t="n">
        <f aca="false">ROUND(F66-G66-H66,2)</f>
        <v>0</v>
      </c>
      <c r="J66" s="47" t="n">
        <f aca="false">ROUND(M65*(1+Sorted!$H$3),2)</f>
        <v>0</v>
      </c>
      <c r="K66" s="47" t="n">
        <f aca="false">MIN(J66,Sorted!$G$3)</f>
        <v>0</v>
      </c>
      <c r="L66" s="47" t="n">
        <v>0</v>
      </c>
      <c r="M66" s="47" t="n">
        <f aca="false">ROUND(J66-K66-L66,2)</f>
        <v>0</v>
      </c>
      <c r="N66" s="47" t="n">
        <f aca="false">ROUND(Q65*(1+Sorted!$H$4),2)</f>
        <v>0</v>
      </c>
      <c r="O66" s="47" t="n">
        <f aca="false">MIN(N66,Sorted!$G$4)</f>
        <v>0</v>
      </c>
      <c r="P66" s="47" t="n">
        <v>0</v>
      </c>
      <c r="Q66" s="47" t="n">
        <f aca="false">ROUND(N66-O66-P66,2)</f>
        <v>0</v>
      </c>
      <c r="R66" s="47" t="n">
        <f aca="false">ROUND(U65*(1+Sorted!$H$5),2)</f>
        <v>2887.16</v>
      </c>
      <c r="S66" s="47" t="n">
        <f aca="false">MIN(R66,Sorted!$G$5)</f>
        <v>175</v>
      </c>
      <c r="T66" s="47" t="n">
        <v>0</v>
      </c>
      <c r="U66" s="47" t="n">
        <f aca="false">ROUND(R66-S66-T66,2)</f>
        <v>2712.16</v>
      </c>
      <c r="V66" s="47" t="n">
        <f aca="false">ROUND(Y65*(1+Sorted!$H$6),2)</f>
        <v>0</v>
      </c>
      <c r="W66" s="47" t="n">
        <f aca="false">MIN(V66,Sorted!$G$6)</f>
        <v>0</v>
      </c>
      <c r="X66" s="47" t="n">
        <v>0</v>
      </c>
      <c r="Y66" s="47" t="n">
        <f aca="false">ROUND(V66-W66-X66,2)</f>
        <v>0</v>
      </c>
      <c r="Z66" s="47" t="n">
        <f aca="false">ROUND(AC65*(1+Sorted!$H$7),2)</f>
        <v>0</v>
      </c>
      <c r="AA66" s="47" t="n">
        <f aca="false">MIN(Z66,Sorted!$G$7)</f>
        <v>0</v>
      </c>
      <c r="AB66" s="47" t="n">
        <v>0</v>
      </c>
      <c r="AC66" s="47" t="n">
        <f aca="false">ROUND(Z66-AA66-AB66,2)</f>
        <v>0</v>
      </c>
      <c r="AD66" s="47" t="n">
        <f aca="false">ROUND(AG65*(1+Sorted!$H$8),2)</f>
        <v>0</v>
      </c>
      <c r="AE66" s="47" t="n">
        <f aca="false">MIN(AD66,Sorted!$G$8)</f>
        <v>0</v>
      </c>
      <c r="AF66" s="47" t="n">
        <v>0</v>
      </c>
      <c r="AG66" s="47" t="n">
        <f aca="false">ROUND(AD66-AE66-AF66,2)</f>
        <v>0</v>
      </c>
      <c r="AH66" s="47" t="n">
        <f aca="false">ROUND(AK65*(1+Sorted!$H$9),2)</f>
        <v>0</v>
      </c>
      <c r="AI66" s="47" t="n">
        <f aca="false">MIN(AH66,Sorted!$G$9)</f>
        <v>0</v>
      </c>
      <c r="AJ66" s="47" t="n">
        <v>0</v>
      </c>
      <c r="AK66" s="47" t="n">
        <f aca="false">ROUND(AH66-AI66-AJ66,2)</f>
        <v>0</v>
      </c>
      <c r="AL66" s="47" t="n">
        <f aca="false">ROUND(AO65*(1+Sorted!$H$10),2)</f>
        <v>0</v>
      </c>
      <c r="AM66" s="47" t="n">
        <f aca="false">MIN(AL66,Sorted!$G$10)</f>
        <v>0</v>
      </c>
      <c r="AN66" s="47" t="n">
        <v>0</v>
      </c>
      <c r="AO66" s="47" t="n">
        <f aca="false">ROUND(AL66-AM66-AN66,2)</f>
        <v>0</v>
      </c>
      <c r="AP66" s="47" t="n">
        <f aca="false">ROUND(AS65*(1+Sorted!$H$11),2)</f>
        <v>0</v>
      </c>
      <c r="AQ66" s="47" t="n">
        <f aca="false">MIN(AP66,Sorted!$G$11)</f>
        <v>0</v>
      </c>
      <c r="AR66" s="47" t="n">
        <v>0</v>
      </c>
      <c r="AS66" s="47" t="n">
        <f aca="false">ROUND(AP66-AQ66-AR66,2)</f>
        <v>0</v>
      </c>
    </row>
    <row r="67" customFormat="false" ht="15" hidden="false" customHeight="false" outlineLevel="0" collapsed="false">
      <c r="A67" s="45" t="n">
        <v>64</v>
      </c>
      <c r="B67" s="46" t="n">
        <f aca="false">EDATE('My Debts'!$C$7,A67-1)</f>
        <v>48245</v>
      </c>
      <c r="C67" s="47" t="n">
        <v>0</v>
      </c>
      <c r="D67" s="47" t="n">
        <f aca="false">(F67+J67+N67+R67+V67+Z67+AD67+AH67+AL67+AP67)-(I67+M67+Q67+U67+Y67+AC67+AG67+AK67+AO67+AS67)</f>
        <v>175</v>
      </c>
      <c r="E67" s="48" t="n">
        <f aca="false">I67+M67+Q67+U67+Y67+AC67+AG67+AK67+AO67+AS67</f>
        <v>2593.64</v>
      </c>
      <c r="F67" s="47" t="n">
        <f aca="false">ROUND(I66*(1+Sorted!$H$2),2)</f>
        <v>0</v>
      </c>
      <c r="G67" s="47" t="n">
        <f aca="false">MIN(F67,Sorted!$G$2)</f>
        <v>0</v>
      </c>
      <c r="H67" s="47" t="n">
        <v>0</v>
      </c>
      <c r="I67" s="47" t="n">
        <f aca="false">ROUND(F67-G67-H67,2)</f>
        <v>0</v>
      </c>
      <c r="J67" s="47" t="n">
        <f aca="false">ROUND(M66*(1+Sorted!$H$3),2)</f>
        <v>0</v>
      </c>
      <c r="K67" s="47" t="n">
        <f aca="false">MIN(J67,Sorted!$G$3)</f>
        <v>0</v>
      </c>
      <c r="L67" s="47" t="n">
        <v>0</v>
      </c>
      <c r="M67" s="47" t="n">
        <f aca="false">ROUND(J67-K67-L67,2)</f>
        <v>0</v>
      </c>
      <c r="N67" s="47" t="n">
        <f aca="false">ROUND(Q66*(1+Sorted!$H$4),2)</f>
        <v>0</v>
      </c>
      <c r="O67" s="47" t="n">
        <f aca="false">MIN(N67,Sorted!$G$4)</f>
        <v>0</v>
      </c>
      <c r="P67" s="47" t="n">
        <v>0</v>
      </c>
      <c r="Q67" s="47" t="n">
        <f aca="false">ROUND(N67-O67-P67,2)</f>
        <v>0</v>
      </c>
      <c r="R67" s="47" t="n">
        <f aca="false">ROUND(U66*(1+Sorted!$H$5),2)</f>
        <v>2768.64</v>
      </c>
      <c r="S67" s="47" t="n">
        <f aca="false">MIN(R67,Sorted!$G$5)</f>
        <v>175</v>
      </c>
      <c r="T67" s="47" t="n">
        <v>0</v>
      </c>
      <c r="U67" s="47" t="n">
        <f aca="false">ROUND(R67-S67-T67,2)</f>
        <v>2593.64</v>
      </c>
      <c r="V67" s="47" t="n">
        <f aca="false">ROUND(Y66*(1+Sorted!$H$6),2)</f>
        <v>0</v>
      </c>
      <c r="W67" s="47" t="n">
        <f aca="false">MIN(V67,Sorted!$G$6)</f>
        <v>0</v>
      </c>
      <c r="X67" s="47" t="n">
        <v>0</v>
      </c>
      <c r="Y67" s="47" t="n">
        <f aca="false">ROUND(V67-W67-X67,2)</f>
        <v>0</v>
      </c>
      <c r="Z67" s="47" t="n">
        <f aca="false">ROUND(AC66*(1+Sorted!$H$7),2)</f>
        <v>0</v>
      </c>
      <c r="AA67" s="47" t="n">
        <f aca="false">MIN(Z67,Sorted!$G$7)</f>
        <v>0</v>
      </c>
      <c r="AB67" s="47" t="n">
        <v>0</v>
      </c>
      <c r="AC67" s="47" t="n">
        <f aca="false">ROUND(Z67-AA67-AB67,2)</f>
        <v>0</v>
      </c>
      <c r="AD67" s="47" t="n">
        <f aca="false">ROUND(AG66*(1+Sorted!$H$8),2)</f>
        <v>0</v>
      </c>
      <c r="AE67" s="47" t="n">
        <f aca="false">MIN(AD67,Sorted!$G$8)</f>
        <v>0</v>
      </c>
      <c r="AF67" s="47" t="n">
        <v>0</v>
      </c>
      <c r="AG67" s="47" t="n">
        <f aca="false">ROUND(AD67-AE67-AF67,2)</f>
        <v>0</v>
      </c>
      <c r="AH67" s="47" t="n">
        <f aca="false">ROUND(AK66*(1+Sorted!$H$9),2)</f>
        <v>0</v>
      </c>
      <c r="AI67" s="47" t="n">
        <f aca="false">MIN(AH67,Sorted!$G$9)</f>
        <v>0</v>
      </c>
      <c r="AJ67" s="47" t="n">
        <v>0</v>
      </c>
      <c r="AK67" s="47" t="n">
        <f aca="false">ROUND(AH67-AI67-AJ67,2)</f>
        <v>0</v>
      </c>
      <c r="AL67" s="47" t="n">
        <f aca="false">ROUND(AO66*(1+Sorted!$H$10),2)</f>
        <v>0</v>
      </c>
      <c r="AM67" s="47" t="n">
        <f aca="false">MIN(AL67,Sorted!$G$10)</f>
        <v>0</v>
      </c>
      <c r="AN67" s="47" t="n">
        <v>0</v>
      </c>
      <c r="AO67" s="47" t="n">
        <f aca="false">ROUND(AL67-AM67-AN67,2)</f>
        <v>0</v>
      </c>
      <c r="AP67" s="47" t="n">
        <f aca="false">ROUND(AS66*(1+Sorted!$H$11),2)</f>
        <v>0</v>
      </c>
      <c r="AQ67" s="47" t="n">
        <f aca="false">MIN(AP67,Sorted!$G$11)</f>
        <v>0</v>
      </c>
      <c r="AR67" s="47" t="n">
        <v>0</v>
      </c>
      <c r="AS67" s="47" t="n">
        <f aca="false">ROUND(AP67-AQ67-AR67,2)</f>
        <v>0</v>
      </c>
    </row>
    <row r="68" customFormat="false" ht="15" hidden="false" customHeight="false" outlineLevel="0" collapsed="false">
      <c r="A68" s="45" t="n">
        <v>65</v>
      </c>
      <c r="B68" s="46" t="n">
        <f aca="false">EDATE('My Debts'!$C$7,A68-1)</f>
        <v>48274</v>
      </c>
      <c r="C68" s="47" t="n">
        <v>0</v>
      </c>
      <c r="D68" s="47" t="n">
        <f aca="false">(F68+J68+N68+R68+V68+Z68+AD68+AH68+AL68+AP68)-(I68+M68+Q68+U68+Y68+AC68+AG68+AK68+AO68+AS68)</f>
        <v>175</v>
      </c>
      <c r="E68" s="48" t="n">
        <f aca="false">I68+M68+Q68+U68+Y68+AC68+AG68+AK68+AO68+AS68</f>
        <v>2472.65</v>
      </c>
      <c r="F68" s="47" t="n">
        <f aca="false">ROUND(I67*(1+Sorted!$H$2),2)</f>
        <v>0</v>
      </c>
      <c r="G68" s="47" t="n">
        <f aca="false">MIN(F68,Sorted!$G$2)</f>
        <v>0</v>
      </c>
      <c r="H68" s="47" t="n">
        <v>0</v>
      </c>
      <c r="I68" s="47" t="n">
        <f aca="false">ROUND(F68-G68-H68,2)</f>
        <v>0</v>
      </c>
      <c r="J68" s="47" t="n">
        <f aca="false">ROUND(M67*(1+Sorted!$H$3),2)</f>
        <v>0</v>
      </c>
      <c r="K68" s="47" t="n">
        <f aca="false">MIN(J68,Sorted!$G$3)</f>
        <v>0</v>
      </c>
      <c r="L68" s="47" t="n">
        <v>0</v>
      </c>
      <c r="M68" s="47" t="n">
        <f aca="false">ROUND(J68-K68-L68,2)</f>
        <v>0</v>
      </c>
      <c r="N68" s="47" t="n">
        <f aca="false">ROUND(Q67*(1+Sorted!$H$4),2)</f>
        <v>0</v>
      </c>
      <c r="O68" s="47" t="n">
        <f aca="false">MIN(N68,Sorted!$G$4)</f>
        <v>0</v>
      </c>
      <c r="P68" s="47" t="n">
        <v>0</v>
      </c>
      <c r="Q68" s="47" t="n">
        <f aca="false">ROUND(N68-O68-P68,2)</f>
        <v>0</v>
      </c>
      <c r="R68" s="47" t="n">
        <f aca="false">ROUND(U67*(1+Sorted!$H$5),2)</f>
        <v>2647.65</v>
      </c>
      <c r="S68" s="47" t="n">
        <f aca="false">MIN(R68,Sorted!$G$5)</f>
        <v>175</v>
      </c>
      <c r="T68" s="47" t="n">
        <v>0</v>
      </c>
      <c r="U68" s="47" t="n">
        <f aca="false">ROUND(R68-S68-T68,2)</f>
        <v>2472.65</v>
      </c>
      <c r="V68" s="47" t="n">
        <f aca="false">ROUND(Y67*(1+Sorted!$H$6),2)</f>
        <v>0</v>
      </c>
      <c r="W68" s="47" t="n">
        <f aca="false">MIN(V68,Sorted!$G$6)</f>
        <v>0</v>
      </c>
      <c r="X68" s="47" t="n">
        <v>0</v>
      </c>
      <c r="Y68" s="47" t="n">
        <f aca="false">ROUND(V68-W68-X68,2)</f>
        <v>0</v>
      </c>
      <c r="Z68" s="47" t="n">
        <f aca="false">ROUND(AC67*(1+Sorted!$H$7),2)</f>
        <v>0</v>
      </c>
      <c r="AA68" s="47" t="n">
        <f aca="false">MIN(Z68,Sorted!$G$7)</f>
        <v>0</v>
      </c>
      <c r="AB68" s="47" t="n">
        <v>0</v>
      </c>
      <c r="AC68" s="47" t="n">
        <f aca="false">ROUND(Z68-AA68-AB68,2)</f>
        <v>0</v>
      </c>
      <c r="AD68" s="47" t="n">
        <f aca="false">ROUND(AG67*(1+Sorted!$H$8),2)</f>
        <v>0</v>
      </c>
      <c r="AE68" s="47" t="n">
        <f aca="false">MIN(AD68,Sorted!$G$8)</f>
        <v>0</v>
      </c>
      <c r="AF68" s="47" t="n">
        <v>0</v>
      </c>
      <c r="AG68" s="47" t="n">
        <f aca="false">ROUND(AD68-AE68-AF68,2)</f>
        <v>0</v>
      </c>
      <c r="AH68" s="47" t="n">
        <f aca="false">ROUND(AK67*(1+Sorted!$H$9),2)</f>
        <v>0</v>
      </c>
      <c r="AI68" s="47" t="n">
        <f aca="false">MIN(AH68,Sorted!$G$9)</f>
        <v>0</v>
      </c>
      <c r="AJ68" s="47" t="n">
        <v>0</v>
      </c>
      <c r="AK68" s="47" t="n">
        <f aca="false">ROUND(AH68-AI68-AJ68,2)</f>
        <v>0</v>
      </c>
      <c r="AL68" s="47" t="n">
        <f aca="false">ROUND(AO67*(1+Sorted!$H$10),2)</f>
        <v>0</v>
      </c>
      <c r="AM68" s="47" t="n">
        <f aca="false">MIN(AL68,Sorted!$G$10)</f>
        <v>0</v>
      </c>
      <c r="AN68" s="47" t="n">
        <v>0</v>
      </c>
      <c r="AO68" s="47" t="n">
        <f aca="false">ROUND(AL68-AM68-AN68,2)</f>
        <v>0</v>
      </c>
      <c r="AP68" s="47" t="n">
        <f aca="false">ROUND(AS67*(1+Sorted!$H$11),2)</f>
        <v>0</v>
      </c>
      <c r="AQ68" s="47" t="n">
        <f aca="false">MIN(AP68,Sorted!$G$11)</f>
        <v>0</v>
      </c>
      <c r="AR68" s="47" t="n">
        <v>0</v>
      </c>
      <c r="AS68" s="47" t="n">
        <f aca="false">ROUND(AP68-AQ68-AR68,2)</f>
        <v>0</v>
      </c>
    </row>
    <row r="69" customFormat="false" ht="15" hidden="false" customHeight="false" outlineLevel="0" collapsed="false">
      <c r="A69" s="45" t="n">
        <v>66</v>
      </c>
      <c r="B69" s="46" t="n">
        <f aca="false">EDATE('My Debts'!$C$7,A69-1)</f>
        <v>48305</v>
      </c>
      <c r="C69" s="47" t="n">
        <v>0</v>
      </c>
      <c r="D69" s="47" t="n">
        <f aca="false">(F69+J69+N69+R69+V69+Z69+AD69+AH69+AL69+AP69)-(I69+M69+Q69+U69+Y69+AC69+AG69+AK69+AO69+AS69)</f>
        <v>175</v>
      </c>
      <c r="E69" s="48" t="n">
        <f aca="false">I69+M69+Q69+U69+Y69+AC69+AG69+AK69+AO69+AS69</f>
        <v>2349.14</v>
      </c>
      <c r="F69" s="47" t="n">
        <f aca="false">ROUND(I68*(1+Sorted!$H$2),2)</f>
        <v>0</v>
      </c>
      <c r="G69" s="47" t="n">
        <f aca="false">MIN(F69,Sorted!$G$2)</f>
        <v>0</v>
      </c>
      <c r="H69" s="47" t="n">
        <v>0</v>
      </c>
      <c r="I69" s="47" t="n">
        <f aca="false">ROUND(F69-G69-H69,2)</f>
        <v>0</v>
      </c>
      <c r="J69" s="47" t="n">
        <f aca="false">ROUND(M68*(1+Sorted!$H$3),2)</f>
        <v>0</v>
      </c>
      <c r="K69" s="47" t="n">
        <f aca="false">MIN(J69,Sorted!$G$3)</f>
        <v>0</v>
      </c>
      <c r="L69" s="47" t="n">
        <v>0</v>
      </c>
      <c r="M69" s="47" t="n">
        <f aca="false">ROUND(J69-K69-L69,2)</f>
        <v>0</v>
      </c>
      <c r="N69" s="47" t="n">
        <f aca="false">ROUND(Q68*(1+Sorted!$H$4),2)</f>
        <v>0</v>
      </c>
      <c r="O69" s="47" t="n">
        <f aca="false">MIN(N69,Sorted!$G$4)</f>
        <v>0</v>
      </c>
      <c r="P69" s="47" t="n">
        <v>0</v>
      </c>
      <c r="Q69" s="47" t="n">
        <f aca="false">ROUND(N69-O69-P69,2)</f>
        <v>0</v>
      </c>
      <c r="R69" s="47" t="n">
        <f aca="false">ROUND(U68*(1+Sorted!$H$5),2)</f>
        <v>2524.14</v>
      </c>
      <c r="S69" s="47" t="n">
        <f aca="false">MIN(R69,Sorted!$G$5)</f>
        <v>175</v>
      </c>
      <c r="T69" s="47" t="n">
        <v>0</v>
      </c>
      <c r="U69" s="47" t="n">
        <f aca="false">ROUND(R69-S69-T69,2)</f>
        <v>2349.14</v>
      </c>
      <c r="V69" s="47" t="n">
        <f aca="false">ROUND(Y68*(1+Sorted!$H$6),2)</f>
        <v>0</v>
      </c>
      <c r="W69" s="47" t="n">
        <f aca="false">MIN(V69,Sorted!$G$6)</f>
        <v>0</v>
      </c>
      <c r="X69" s="47" t="n">
        <v>0</v>
      </c>
      <c r="Y69" s="47" t="n">
        <f aca="false">ROUND(V69-W69-X69,2)</f>
        <v>0</v>
      </c>
      <c r="Z69" s="47" t="n">
        <f aca="false">ROUND(AC68*(1+Sorted!$H$7),2)</f>
        <v>0</v>
      </c>
      <c r="AA69" s="47" t="n">
        <f aca="false">MIN(Z69,Sorted!$G$7)</f>
        <v>0</v>
      </c>
      <c r="AB69" s="47" t="n">
        <v>0</v>
      </c>
      <c r="AC69" s="47" t="n">
        <f aca="false">ROUND(Z69-AA69-AB69,2)</f>
        <v>0</v>
      </c>
      <c r="AD69" s="47" t="n">
        <f aca="false">ROUND(AG68*(1+Sorted!$H$8),2)</f>
        <v>0</v>
      </c>
      <c r="AE69" s="47" t="n">
        <f aca="false">MIN(AD69,Sorted!$G$8)</f>
        <v>0</v>
      </c>
      <c r="AF69" s="47" t="n">
        <v>0</v>
      </c>
      <c r="AG69" s="47" t="n">
        <f aca="false">ROUND(AD69-AE69-AF69,2)</f>
        <v>0</v>
      </c>
      <c r="AH69" s="47" t="n">
        <f aca="false">ROUND(AK68*(1+Sorted!$H$9),2)</f>
        <v>0</v>
      </c>
      <c r="AI69" s="47" t="n">
        <f aca="false">MIN(AH69,Sorted!$G$9)</f>
        <v>0</v>
      </c>
      <c r="AJ69" s="47" t="n">
        <v>0</v>
      </c>
      <c r="AK69" s="47" t="n">
        <f aca="false">ROUND(AH69-AI69-AJ69,2)</f>
        <v>0</v>
      </c>
      <c r="AL69" s="47" t="n">
        <f aca="false">ROUND(AO68*(1+Sorted!$H$10),2)</f>
        <v>0</v>
      </c>
      <c r="AM69" s="47" t="n">
        <f aca="false">MIN(AL69,Sorted!$G$10)</f>
        <v>0</v>
      </c>
      <c r="AN69" s="47" t="n">
        <v>0</v>
      </c>
      <c r="AO69" s="47" t="n">
        <f aca="false">ROUND(AL69-AM69-AN69,2)</f>
        <v>0</v>
      </c>
      <c r="AP69" s="47" t="n">
        <f aca="false">ROUND(AS68*(1+Sorted!$H$11),2)</f>
        <v>0</v>
      </c>
      <c r="AQ69" s="47" t="n">
        <f aca="false">MIN(AP69,Sorted!$G$11)</f>
        <v>0</v>
      </c>
      <c r="AR69" s="47" t="n">
        <v>0</v>
      </c>
      <c r="AS69" s="47" t="n">
        <f aca="false">ROUND(AP69-AQ69-AR69,2)</f>
        <v>0</v>
      </c>
    </row>
    <row r="70" customFormat="false" ht="15" hidden="false" customHeight="false" outlineLevel="0" collapsed="false">
      <c r="A70" s="45" t="n">
        <v>67</v>
      </c>
      <c r="B70" s="46" t="n">
        <f aca="false">EDATE('My Debts'!$C$7,A70-1)</f>
        <v>48335</v>
      </c>
      <c r="C70" s="47" t="n">
        <v>0</v>
      </c>
      <c r="D70" s="47" t="n">
        <f aca="false">(F70+J70+N70+R70+V70+Z70+AD70+AH70+AL70+AP70)-(I70+M70+Q70+U70+Y70+AC70+AG70+AK70+AO70+AS70)</f>
        <v>175</v>
      </c>
      <c r="E70" s="48" t="n">
        <f aca="false">I70+M70+Q70+U70+Y70+AC70+AG70+AK70+AO70+AS70</f>
        <v>2223.06</v>
      </c>
      <c r="F70" s="47" t="n">
        <f aca="false">ROUND(I69*(1+Sorted!$H$2),2)</f>
        <v>0</v>
      </c>
      <c r="G70" s="47" t="n">
        <f aca="false">MIN(F70,Sorted!$G$2)</f>
        <v>0</v>
      </c>
      <c r="H70" s="47" t="n">
        <v>0</v>
      </c>
      <c r="I70" s="47" t="n">
        <f aca="false">ROUND(F70-G70-H70,2)</f>
        <v>0</v>
      </c>
      <c r="J70" s="47" t="n">
        <f aca="false">ROUND(M69*(1+Sorted!$H$3),2)</f>
        <v>0</v>
      </c>
      <c r="K70" s="47" t="n">
        <f aca="false">MIN(J70,Sorted!$G$3)</f>
        <v>0</v>
      </c>
      <c r="L70" s="47" t="n">
        <v>0</v>
      </c>
      <c r="M70" s="47" t="n">
        <f aca="false">ROUND(J70-K70-L70,2)</f>
        <v>0</v>
      </c>
      <c r="N70" s="47" t="n">
        <f aca="false">ROUND(Q69*(1+Sorted!$H$4),2)</f>
        <v>0</v>
      </c>
      <c r="O70" s="47" t="n">
        <f aca="false">MIN(N70,Sorted!$G$4)</f>
        <v>0</v>
      </c>
      <c r="P70" s="47" t="n">
        <v>0</v>
      </c>
      <c r="Q70" s="47" t="n">
        <f aca="false">ROUND(N70-O70-P70,2)</f>
        <v>0</v>
      </c>
      <c r="R70" s="47" t="n">
        <f aca="false">ROUND(U69*(1+Sorted!$H$5),2)</f>
        <v>2398.06</v>
      </c>
      <c r="S70" s="47" t="n">
        <f aca="false">MIN(R70,Sorted!$G$5)</f>
        <v>175</v>
      </c>
      <c r="T70" s="47" t="n">
        <v>0</v>
      </c>
      <c r="U70" s="47" t="n">
        <f aca="false">ROUND(R70-S70-T70,2)</f>
        <v>2223.06</v>
      </c>
      <c r="V70" s="47" t="n">
        <f aca="false">ROUND(Y69*(1+Sorted!$H$6),2)</f>
        <v>0</v>
      </c>
      <c r="W70" s="47" t="n">
        <f aca="false">MIN(V70,Sorted!$G$6)</f>
        <v>0</v>
      </c>
      <c r="X70" s="47" t="n">
        <v>0</v>
      </c>
      <c r="Y70" s="47" t="n">
        <f aca="false">ROUND(V70-W70-X70,2)</f>
        <v>0</v>
      </c>
      <c r="Z70" s="47" t="n">
        <f aca="false">ROUND(AC69*(1+Sorted!$H$7),2)</f>
        <v>0</v>
      </c>
      <c r="AA70" s="47" t="n">
        <f aca="false">MIN(Z70,Sorted!$G$7)</f>
        <v>0</v>
      </c>
      <c r="AB70" s="47" t="n">
        <v>0</v>
      </c>
      <c r="AC70" s="47" t="n">
        <f aca="false">ROUND(Z70-AA70-AB70,2)</f>
        <v>0</v>
      </c>
      <c r="AD70" s="47" t="n">
        <f aca="false">ROUND(AG69*(1+Sorted!$H$8),2)</f>
        <v>0</v>
      </c>
      <c r="AE70" s="47" t="n">
        <f aca="false">MIN(AD70,Sorted!$G$8)</f>
        <v>0</v>
      </c>
      <c r="AF70" s="47" t="n">
        <v>0</v>
      </c>
      <c r="AG70" s="47" t="n">
        <f aca="false">ROUND(AD70-AE70-AF70,2)</f>
        <v>0</v>
      </c>
      <c r="AH70" s="47" t="n">
        <f aca="false">ROUND(AK69*(1+Sorted!$H$9),2)</f>
        <v>0</v>
      </c>
      <c r="AI70" s="47" t="n">
        <f aca="false">MIN(AH70,Sorted!$G$9)</f>
        <v>0</v>
      </c>
      <c r="AJ70" s="47" t="n">
        <v>0</v>
      </c>
      <c r="AK70" s="47" t="n">
        <f aca="false">ROUND(AH70-AI70-AJ70,2)</f>
        <v>0</v>
      </c>
      <c r="AL70" s="47" t="n">
        <f aca="false">ROUND(AO69*(1+Sorted!$H$10),2)</f>
        <v>0</v>
      </c>
      <c r="AM70" s="47" t="n">
        <f aca="false">MIN(AL70,Sorted!$G$10)</f>
        <v>0</v>
      </c>
      <c r="AN70" s="47" t="n">
        <v>0</v>
      </c>
      <c r="AO70" s="47" t="n">
        <f aca="false">ROUND(AL70-AM70-AN70,2)</f>
        <v>0</v>
      </c>
      <c r="AP70" s="47" t="n">
        <f aca="false">ROUND(AS69*(1+Sorted!$H$11),2)</f>
        <v>0</v>
      </c>
      <c r="AQ70" s="47" t="n">
        <f aca="false">MIN(AP70,Sorted!$G$11)</f>
        <v>0</v>
      </c>
      <c r="AR70" s="47" t="n">
        <v>0</v>
      </c>
      <c r="AS70" s="47" t="n">
        <f aca="false">ROUND(AP70-AQ70-AR70,2)</f>
        <v>0</v>
      </c>
    </row>
    <row r="71" customFormat="false" ht="15" hidden="false" customHeight="false" outlineLevel="0" collapsed="false">
      <c r="A71" s="45" t="n">
        <v>68</v>
      </c>
      <c r="B71" s="46" t="n">
        <f aca="false">EDATE('My Debts'!$C$7,A71-1)</f>
        <v>48366</v>
      </c>
      <c r="C71" s="47" t="n">
        <v>0</v>
      </c>
      <c r="D71" s="47" t="n">
        <f aca="false">(F71+J71+N71+R71+V71+Z71+AD71+AH71+AL71+AP71)-(I71+M71+Q71+U71+Y71+AC71+AG71+AK71+AO71+AS71)</f>
        <v>175</v>
      </c>
      <c r="E71" s="48" t="n">
        <f aca="false">I71+M71+Q71+U71+Y71+AC71+AG71+AK71+AO71+AS71</f>
        <v>2094.36</v>
      </c>
      <c r="F71" s="47" t="n">
        <f aca="false">ROUND(I70*(1+Sorted!$H$2),2)</f>
        <v>0</v>
      </c>
      <c r="G71" s="47" t="n">
        <f aca="false">MIN(F71,Sorted!$G$2)</f>
        <v>0</v>
      </c>
      <c r="H71" s="47" t="n">
        <v>0</v>
      </c>
      <c r="I71" s="47" t="n">
        <f aca="false">ROUND(F71-G71-H71,2)</f>
        <v>0</v>
      </c>
      <c r="J71" s="47" t="n">
        <f aca="false">ROUND(M70*(1+Sorted!$H$3),2)</f>
        <v>0</v>
      </c>
      <c r="K71" s="47" t="n">
        <f aca="false">MIN(J71,Sorted!$G$3)</f>
        <v>0</v>
      </c>
      <c r="L71" s="47" t="n">
        <v>0</v>
      </c>
      <c r="M71" s="47" t="n">
        <f aca="false">ROUND(J71-K71-L71,2)</f>
        <v>0</v>
      </c>
      <c r="N71" s="47" t="n">
        <f aca="false">ROUND(Q70*(1+Sorted!$H$4),2)</f>
        <v>0</v>
      </c>
      <c r="O71" s="47" t="n">
        <f aca="false">MIN(N71,Sorted!$G$4)</f>
        <v>0</v>
      </c>
      <c r="P71" s="47" t="n">
        <v>0</v>
      </c>
      <c r="Q71" s="47" t="n">
        <f aca="false">ROUND(N71-O71-P71,2)</f>
        <v>0</v>
      </c>
      <c r="R71" s="47" t="n">
        <f aca="false">ROUND(U70*(1+Sorted!$H$5),2)</f>
        <v>2269.36</v>
      </c>
      <c r="S71" s="47" t="n">
        <f aca="false">MIN(R71,Sorted!$G$5)</f>
        <v>175</v>
      </c>
      <c r="T71" s="47" t="n">
        <v>0</v>
      </c>
      <c r="U71" s="47" t="n">
        <f aca="false">ROUND(R71-S71-T71,2)</f>
        <v>2094.36</v>
      </c>
      <c r="V71" s="47" t="n">
        <f aca="false">ROUND(Y70*(1+Sorted!$H$6),2)</f>
        <v>0</v>
      </c>
      <c r="W71" s="47" t="n">
        <f aca="false">MIN(V71,Sorted!$G$6)</f>
        <v>0</v>
      </c>
      <c r="X71" s="47" t="n">
        <v>0</v>
      </c>
      <c r="Y71" s="47" t="n">
        <f aca="false">ROUND(V71-W71-X71,2)</f>
        <v>0</v>
      </c>
      <c r="Z71" s="47" t="n">
        <f aca="false">ROUND(AC70*(1+Sorted!$H$7),2)</f>
        <v>0</v>
      </c>
      <c r="AA71" s="47" t="n">
        <f aca="false">MIN(Z71,Sorted!$G$7)</f>
        <v>0</v>
      </c>
      <c r="AB71" s="47" t="n">
        <v>0</v>
      </c>
      <c r="AC71" s="47" t="n">
        <f aca="false">ROUND(Z71-AA71-AB71,2)</f>
        <v>0</v>
      </c>
      <c r="AD71" s="47" t="n">
        <f aca="false">ROUND(AG70*(1+Sorted!$H$8),2)</f>
        <v>0</v>
      </c>
      <c r="AE71" s="47" t="n">
        <f aca="false">MIN(AD71,Sorted!$G$8)</f>
        <v>0</v>
      </c>
      <c r="AF71" s="47" t="n">
        <v>0</v>
      </c>
      <c r="AG71" s="47" t="n">
        <f aca="false">ROUND(AD71-AE71-AF71,2)</f>
        <v>0</v>
      </c>
      <c r="AH71" s="47" t="n">
        <f aca="false">ROUND(AK70*(1+Sorted!$H$9),2)</f>
        <v>0</v>
      </c>
      <c r="AI71" s="47" t="n">
        <f aca="false">MIN(AH71,Sorted!$G$9)</f>
        <v>0</v>
      </c>
      <c r="AJ71" s="47" t="n">
        <v>0</v>
      </c>
      <c r="AK71" s="47" t="n">
        <f aca="false">ROUND(AH71-AI71-AJ71,2)</f>
        <v>0</v>
      </c>
      <c r="AL71" s="47" t="n">
        <f aca="false">ROUND(AO70*(1+Sorted!$H$10),2)</f>
        <v>0</v>
      </c>
      <c r="AM71" s="47" t="n">
        <f aca="false">MIN(AL71,Sorted!$G$10)</f>
        <v>0</v>
      </c>
      <c r="AN71" s="47" t="n">
        <v>0</v>
      </c>
      <c r="AO71" s="47" t="n">
        <f aca="false">ROUND(AL71-AM71-AN71,2)</f>
        <v>0</v>
      </c>
      <c r="AP71" s="47" t="n">
        <f aca="false">ROUND(AS70*(1+Sorted!$H$11),2)</f>
        <v>0</v>
      </c>
      <c r="AQ71" s="47" t="n">
        <f aca="false">MIN(AP71,Sorted!$G$11)</f>
        <v>0</v>
      </c>
      <c r="AR71" s="47" t="n">
        <v>0</v>
      </c>
      <c r="AS71" s="47" t="n">
        <f aca="false">ROUND(AP71-AQ71-AR71,2)</f>
        <v>0</v>
      </c>
    </row>
    <row r="72" customFormat="false" ht="15" hidden="false" customHeight="false" outlineLevel="0" collapsed="false">
      <c r="A72" s="45" t="n">
        <v>69</v>
      </c>
      <c r="B72" s="46" t="n">
        <f aca="false">EDATE('My Debts'!$C$7,A72-1)</f>
        <v>48396</v>
      </c>
      <c r="C72" s="47" t="n">
        <v>0</v>
      </c>
      <c r="D72" s="47" t="n">
        <f aca="false">(F72+J72+N72+R72+V72+Z72+AD72+AH72+AL72+AP72)-(I72+M72+Q72+U72+Y72+AC72+AG72+AK72+AO72+AS72)</f>
        <v>175</v>
      </c>
      <c r="E72" s="48" t="n">
        <f aca="false">I72+M72+Q72+U72+Y72+AC72+AG72+AK72+AO72+AS72</f>
        <v>1962.98</v>
      </c>
      <c r="F72" s="47" t="n">
        <f aca="false">ROUND(I71*(1+Sorted!$H$2),2)</f>
        <v>0</v>
      </c>
      <c r="G72" s="47" t="n">
        <f aca="false">MIN(F72,Sorted!$G$2)</f>
        <v>0</v>
      </c>
      <c r="H72" s="47" t="n">
        <v>0</v>
      </c>
      <c r="I72" s="47" t="n">
        <f aca="false">ROUND(F72-G72-H72,2)</f>
        <v>0</v>
      </c>
      <c r="J72" s="47" t="n">
        <f aca="false">ROUND(M71*(1+Sorted!$H$3),2)</f>
        <v>0</v>
      </c>
      <c r="K72" s="47" t="n">
        <f aca="false">MIN(J72,Sorted!$G$3)</f>
        <v>0</v>
      </c>
      <c r="L72" s="47" t="n">
        <v>0</v>
      </c>
      <c r="M72" s="47" t="n">
        <f aca="false">ROUND(J72-K72-L72,2)</f>
        <v>0</v>
      </c>
      <c r="N72" s="47" t="n">
        <f aca="false">ROUND(Q71*(1+Sorted!$H$4),2)</f>
        <v>0</v>
      </c>
      <c r="O72" s="47" t="n">
        <f aca="false">MIN(N72,Sorted!$G$4)</f>
        <v>0</v>
      </c>
      <c r="P72" s="47" t="n">
        <v>0</v>
      </c>
      <c r="Q72" s="47" t="n">
        <f aca="false">ROUND(N72-O72-P72,2)</f>
        <v>0</v>
      </c>
      <c r="R72" s="47" t="n">
        <f aca="false">ROUND(U71*(1+Sorted!$H$5),2)</f>
        <v>2137.98</v>
      </c>
      <c r="S72" s="47" t="n">
        <f aca="false">MIN(R72,Sorted!$G$5)</f>
        <v>175</v>
      </c>
      <c r="T72" s="47" t="n">
        <v>0</v>
      </c>
      <c r="U72" s="47" t="n">
        <f aca="false">ROUND(R72-S72-T72,2)</f>
        <v>1962.98</v>
      </c>
      <c r="V72" s="47" t="n">
        <f aca="false">ROUND(Y71*(1+Sorted!$H$6),2)</f>
        <v>0</v>
      </c>
      <c r="W72" s="47" t="n">
        <f aca="false">MIN(V72,Sorted!$G$6)</f>
        <v>0</v>
      </c>
      <c r="X72" s="47" t="n">
        <v>0</v>
      </c>
      <c r="Y72" s="47" t="n">
        <f aca="false">ROUND(V72-W72-X72,2)</f>
        <v>0</v>
      </c>
      <c r="Z72" s="47" t="n">
        <f aca="false">ROUND(AC71*(1+Sorted!$H$7),2)</f>
        <v>0</v>
      </c>
      <c r="AA72" s="47" t="n">
        <f aca="false">MIN(Z72,Sorted!$G$7)</f>
        <v>0</v>
      </c>
      <c r="AB72" s="47" t="n">
        <v>0</v>
      </c>
      <c r="AC72" s="47" t="n">
        <f aca="false">ROUND(Z72-AA72-AB72,2)</f>
        <v>0</v>
      </c>
      <c r="AD72" s="47" t="n">
        <f aca="false">ROUND(AG71*(1+Sorted!$H$8),2)</f>
        <v>0</v>
      </c>
      <c r="AE72" s="47" t="n">
        <f aca="false">MIN(AD72,Sorted!$G$8)</f>
        <v>0</v>
      </c>
      <c r="AF72" s="47" t="n">
        <v>0</v>
      </c>
      <c r="AG72" s="47" t="n">
        <f aca="false">ROUND(AD72-AE72-AF72,2)</f>
        <v>0</v>
      </c>
      <c r="AH72" s="47" t="n">
        <f aca="false">ROUND(AK71*(1+Sorted!$H$9),2)</f>
        <v>0</v>
      </c>
      <c r="AI72" s="47" t="n">
        <f aca="false">MIN(AH72,Sorted!$G$9)</f>
        <v>0</v>
      </c>
      <c r="AJ72" s="47" t="n">
        <v>0</v>
      </c>
      <c r="AK72" s="47" t="n">
        <f aca="false">ROUND(AH72-AI72-AJ72,2)</f>
        <v>0</v>
      </c>
      <c r="AL72" s="47" t="n">
        <f aca="false">ROUND(AO71*(1+Sorted!$H$10),2)</f>
        <v>0</v>
      </c>
      <c r="AM72" s="47" t="n">
        <f aca="false">MIN(AL72,Sorted!$G$10)</f>
        <v>0</v>
      </c>
      <c r="AN72" s="47" t="n">
        <v>0</v>
      </c>
      <c r="AO72" s="47" t="n">
        <f aca="false">ROUND(AL72-AM72-AN72,2)</f>
        <v>0</v>
      </c>
      <c r="AP72" s="47" t="n">
        <f aca="false">ROUND(AS71*(1+Sorted!$H$11),2)</f>
        <v>0</v>
      </c>
      <c r="AQ72" s="47" t="n">
        <f aca="false">MIN(AP72,Sorted!$G$11)</f>
        <v>0</v>
      </c>
      <c r="AR72" s="47" t="n">
        <v>0</v>
      </c>
      <c r="AS72" s="47" t="n">
        <f aca="false">ROUND(AP72-AQ72-AR72,2)</f>
        <v>0</v>
      </c>
    </row>
    <row r="73" customFormat="false" ht="15" hidden="false" customHeight="false" outlineLevel="0" collapsed="false">
      <c r="A73" s="45" t="n">
        <v>70</v>
      </c>
      <c r="B73" s="46" t="n">
        <f aca="false">EDATE('My Debts'!$C$7,A73-1)</f>
        <v>48427</v>
      </c>
      <c r="C73" s="47" t="n">
        <v>0</v>
      </c>
      <c r="D73" s="47" t="n">
        <f aca="false">(F73+J73+N73+R73+V73+Z73+AD73+AH73+AL73+AP73)-(I73+M73+Q73+U73+Y73+AC73+AG73+AK73+AO73+AS73)</f>
        <v>175</v>
      </c>
      <c r="E73" s="48" t="n">
        <f aca="false">I73+M73+Q73+U73+Y73+AC73+AG73+AK73+AO73+AS73</f>
        <v>1828.86</v>
      </c>
      <c r="F73" s="47" t="n">
        <f aca="false">ROUND(I72*(1+Sorted!$H$2),2)</f>
        <v>0</v>
      </c>
      <c r="G73" s="47" t="n">
        <f aca="false">MIN(F73,Sorted!$G$2)</f>
        <v>0</v>
      </c>
      <c r="H73" s="47" t="n">
        <v>0</v>
      </c>
      <c r="I73" s="47" t="n">
        <f aca="false">ROUND(F73-G73-H73,2)</f>
        <v>0</v>
      </c>
      <c r="J73" s="47" t="n">
        <f aca="false">ROUND(M72*(1+Sorted!$H$3),2)</f>
        <v>0</v>
      </c>
      <c r="K73" s="47" t="n">
        <f aca="false">MIN(J73,Sorted!$G$3)</f>
        <v>0</v>
      </c>
      <c r="L73" s="47" t="n">
        <v>0</v>
      </c>
      <c r="M73" s="47" t="n">
        <f aca="false">ROUND(J73-K73-L73,2)</f>
        <v>0</v>
      </c>
      <c r="N73" s="47" t="n">
        <f aca="false">ROUND(Q72*(1+Sorted!$H$4),2)</f>
        <v>0</v>
      </c>
      <c r="O73" s="47" t="n">
        <f aca="false">MIN(N73,Sorted!$G$4)</f>
        <v>0</v>
      </c>
      <c r="P73" s="47" t="n">
        <v>0</v>
      </c>
      <c r="Q73" s="47" t="n">
        <f aca="false">ROUND(N73-O73-P73,2)</f>
        <v>0</v>
      </c>
      <c r="R73" s="47" t="n">
        <f aca="false">ROUND(U72*(1+Sorted!$H$5),2)</f>
        <v>2003.86</v>
      </c>
      <c r="S73" s="47" t="n">
        <f aca="false">MIN(R73,Sorted!$G$5)</f>
        <v>175</v>
      </c>
      <c r="T73" s="47" t="n">
        <v>0</v>
      </c>
      <c r="U73" s="47" t="n">
        <f aca="false">ROUND(R73-S73-T73,2)</f>
        <v>1828.86</v>
      </c>
      <c r="V73" s="47" t="n">
        <f aca="false">ROUND(Y72*(1+Sorted!$H$6),2)</f>
        <v>0</v>
      </c>
      <c r="W73" s="47" t="n">
        <f aca="false">MIN(V73,Sorted!$G$6)</f>
        <v>0</v>
      </c>
      <c r="X73" s="47" t="n">
        <v>0</v>
      </c>
      <c r="Y73" s="47" t="n">
        <f aca="false">ROUND(V73-W73-X73,2)</f>
        <v>0</v>
      </c>
      <c r="Z73" s="47" t="n">
        <f aca="false">ROUND(AC72*(1+Sorted!$H$7),2)</f>
        <v>0</v>
      </c>
      <c r="AA73" s="47" t="n">
        <f aca="false">MIN(Z73,Sorted!$G$7)</f>
        <v>0</v>
      </c>
      <c r="AB73" s="47" t="n">
        <v>0</v>
      </c>
      <c r="AC73" s="47" t="n">
        <f aca="false">ROUND(Z73-AA73-AB73,2)</f>
        <v>0</v>
      </c>
      <c r="AD73" s="47" t="n">
        <f aca="false">ROUND(AG72*(1+Sorted!$H$8),2)</f>
        <v>0</v>
      </c>
      <c r="AE73" s="47" t="n">
        <f aca="false">MIN(AD73,Sorted!$G$8)</f>
        <v>0</v>
      </c>
      <c r="AF73" s="47" t="n">
        <v>0</v>
      </c>
      <c r="AG73" s="47" t="n">
        <f aca="false">ROUND(AD73-AE73-AF73,2)</f>
        <v>0</v>
      </c>
      <c r="AH73" s="47" t="n">
        <f aca="false">ROUND(AK72*(1+Sorted!$H$9),2)</f>
        <v>0</v>
      </c>
      <c r="AI73" s="47" t="n">
        <f aca="false">MIN(AH73,Sorted!$G$9)</f>
        <v>0</v>
      </c>
      <c r="AJ73" s="47" t="n">
        <v>0</v>
      </c>
      <c r="AK73" s="47" t="n">
        <f aca="false">ROUND(AH73-AI73-AJ73,2)</f>
        <v>0</v>
      </c>
      <c r="AL73" s="47" t="n">
        <f aca="false">ROUND(AO72*(1+Sorted!$H$10),2)</f>
        <v>0</v>
      </c>
      <c r="AM73" s="47" t="n">
        <f aca="false">MIN(AL73,Sorted!$G$10)</f>
        <v>0</v>
      </c>
      <c r="AN73" s="47" t="n">
        <v>0</v>
      </c>
      <c r="AO73" s="47" t="n">
        <f aca="false">ROUND(AL73-AM73-AN73,2)</f>
        <v>0</v>
      </c>
      <c r="AP73" s="47" t="n">
        <f aca="false">ROUND(AS72*(1+Sorted!$H$11),2)</f>
        <v>0</v>
      </c>
      <c r="AQ73" s="47" t="n">
        <f aca="false">MIN(AP73,Sorted!$G$11)</f>
        <v>0</v>
      </c>
      <c r="AR73" s="47" t="n">
        <v>0</v>
      </c>
      <c r="AS73" s="47" t="n">
        <f aca="false">ROUND(AP73-AQ73-AR73,2)</f>
        <v>0</v>
      </c>
    </row>
    <row r="74" customFormat="false" ht="15" hidden="false" customHeight="false" outlineLevel="0" collapsed="false">
      <c r="A74" s="45" t="n">
        <v>71</v>
      </c>
      <c r="B74" s="46" t="n">
        <f aca="false">EDATE('My Debts'!$C$7,A74-1)</f>
        <v>48458</v>
      </c>
      <c r="C74" s="47" t="n">
        <v>0</v>
      </c>
      <c r="D74" s="47" t="n">
        <f aca="false">(F74+J74+N74+R74+V74+Z74+AD74+AH74+AL74+AP74)-(I74+M74+Q74+U74+Y74+AC74+AG74+AK74+AO74+AS74)</f>
        <v>175</v>
      </c>
      <c r="E74" s="48" t="n">
        <f aca="false">I74+M74+Q74+U74+Y74+AC74+AG74+AK74+AO74+AS74</f>
        <v>1691.95</v>
      </c>
      <c r="F74" s="47" t="n">
        <f aca="false">ROUND(I73*(1+Sorted!$H$2),2)</f>
        <v>0</v>
      </c>
      <c r="G74" s="47" t="n">
        <f aca="false">MIN(F74,Sorted!$G$2)</f>
        <v>0</v>
      </c>
      <c r="H74" s="47" t="n">
        <v>0</v>
      </c>
      <c r="I74" s="47" t="n">
        <f aca="false">ROUND(F74-G74-H74,2)</f>
        <v>0</v>
      </c>
      <c r="J74" s="47" t="n">
        <f aca="false">ROUND(M73*(1+Sorted!$H$3),2)</f>
        <v>0</v>
      </c>
      <c r="K74" s="47" t="n">
        <f aca="false">MIN(J74,Sorted!$G$3)</f>
        <v>0</v>
      </c>
      <c r="L74" s="47" t="n">
        <v>0</v>
      </c>
      <c r="M74" s="47" t="n">
        <f aca="false">ROUND(J74-K74-L74,2)</f>
        <v>0</v>
      </c>
      <c r="N74" s="47" t="n">
        <f aca="false">ROUND(Q73*(1+Sorted!$H$4),2)</f>
        <v>0</v>
      </c>
      <c r="O74" s="47" t="n">
        <f aca="false">MIN(N74,Sorted!$G$4)</f>
        <v>0</v>
      </c>
      <c r="P74" s="47" t="n">
        <v>0</v>
      </c>
      <c r="Q74" s="47" t="n">
        <f aca="false">ROUND(N74-O74-P74,2)</f>
        <v>0</v>
      </c>
      <c r="R74" s="47" t="n">
        <f aca="false">ROUND(U73*(1+Sorted!$H$5),2)</f>
        <v>1866.95</v>
      </c>
      <c r="S74" s="47" t="n">
        <f aca="false">MIN(R74,Sorted!$G$5)</f>
        <v>175</v>
      </c>
      <c r="T74" s="47" t="n">
        <v>0</v>
      </c>
      <c r="U74" s="47" t="n">
        <f aca="false">ROUND(R74-S74-T74,2)</f>
        <v>1691.95</v>
      </c>
      <c r="V74" s="47" t="n">
        <f aca="false">ROUND(Y73*(1+Sorted!$H$6),2)</f>
        <v>0</v>
      </c>
      <c r="W74" s="47" t="n">
        <f aca="false">MIN(V74,Sorted!$G$6)</f>
        <v>0</v>
      </c>
      <c r="X74" s="47" t="n">
        <v>0</v>
      </c>
      <c r="Y74" s="47" t="n">
        <f aca="false">ROUND(V74-W74-X74,2)</f>
        <v>0</v>
      </c>
      <c r="Z74" s="47" t="n">
        <f aca="false">ROUND(AC73*(1+Sorted!$H$7),2)</f>
        <v>0</v>
      </c>
      <c r="AA74" s="47" t="n">
        <f aca="false">MIN(Z74,Sorted!$G$7)</f>
        <v>0</v>
      </c>
      <c r="AB74" s="47" t="n">
        <v>0</v>
      </c>
      <c r="AC74" s="47" t="n">
        <f aca="false">ROUND(Z74-AA74-AB74,2)</f>
        <v>0</v>
      </c>
      <c r="AD74" s="47" t="n">
        <f aca="false">ROUND(AG73*(1+Sorted!$H$8),2)</f>
        <v>0</v>
      </c>
      <c r="AE74" s="47" t="n">
        <f aca="false">MIN(AD74,Sorted!$G$8)</f>
        <v>0</v>
      </c>
      <c r="AF74" s="47" t="n">
        <v>0</v>
      </c>
      <c r="AG74" s="47" t="n">
        <f aca="false">ROUND(AD74-AE74-AF74,2)</f>
        <v>0</v>
      </c>
      <c r="AH74" s="47" t="n">
        <f aca="false">ROUND(AK73*(1+Sorted!$H$9),2)</f>
        <v>0</v>
      </c>
      <c r="AI74" s="47" t="n">
        <f aca="false">MIN(AH74,Sorted!$G$9)</f>
        <v>0</v>
      </c>
      <c r="AJ74" s="47" t="n">
        <v>0</v>
      </c>
      <c r="AK74" s="47" t="n">
        <f aca="false">ROUND(AH74-AI74-AJ74,2)</f>
        <v>0</v>
      </c>
      <c r="AL74" s="47" t="n">
        <f aca="false">ROUND(AO73*(1+Sorted!$H$10),2)</f>
        <v>0</v>
      </c>
      <c r="AM74" s="47" t="n">
        <f aca="false">MIN(AL74,Sorted!$G$10)</f>
        <v>0</v>
      </c>
      <c r="AN74" s="47" t="n">
        <v>0</v>
      </c>
      <c r="AO74" s="47" t="n">
        <f aca="false">ROUND(AL74-AM74-AN74,2)</f>
        <v>0</v>
      </c>
      <c r="AP74" s="47" t="n">
        <f aca="false">ROUND(AS73*(1+Sorted!$H$11),2)</f>
        <v>0</v>
      </c>
      <c r="AQ74" s="47" t="n">
        <f aca="false">MIN(AP74,Sorted!$G$11)</f>
        <v>0</v>
      </c>
      <c r="AR74" s="47" t="n">
        <v>0</v>
      </c>
      <c r="AS74" s="47" t="n">
        <f aca="false">ROUND(AP74-AQ74-AR74,2)</f>
        <v>0</v>
      </c>
    </row>
    <row r="75" customFormat="false" ht="15" hidden="false" customHeight="false" outlineLevel="0" collapsed="false">
      <c r="A75" s="45" t="n">
        <v>72</v>
      </c>
      <c r="B75" s="46" t="n">
        <f aca="false">EDATE('My Debts'!$C$7,A75-1)</f>
        <v>48488</v>
      </c>
      <c r="C75" s="47" t="n">
        <v>0</v>
      </c>
      <c r="D75" s="47" t="n">
        <f aca="false">(F75+J75+N75+R75+V75+Z75+AD75+AH75+AL75+AP75)-(I75+M75+Q75+U75+Y75+AC75+AG75+AK75+AO75+AS75)</f>
        <v>175</v>
      </c>
      <c r="E75" s="48" t="n">
        <f aca="false">I75+M75+Q75+U75+Y75+AC75+AG75+AK75+AO75+AS75</f>
        <v>1552.18</v>
      </c>
      <c r="F75" s="47" t="n">
        <f aca="false">ROUND(I74*(1+Sorted!$H$2),2)</f>
        <v>0</v>
      </c>
      <c r="G75" s="47" t="n">
        <f aca="false">MIN(F75,Sorted!$G$2)</f>
        <v>0</v>
      </c>
      <c r="H75" s="47" t="n">
        <v>0</v>
      </c>
      <c r="I75" s="47" t="n">
        <f aca="false">ROUND(F75-G75-H75,2)</f>
        <v>0</v>
      </c>
      <c r="J75" s="47" t="n">
        <f aca="false">ROUND(M74*(1+Sorted!$H$3),2)</f>
        <v>0</v>
      </c>
      <c r="K75" s="47" t="n">
        <f aca="false">MIN(J75,Sorted!$G$3)</f>
        <v>0</v>
      </c>
      <c r="L75" s="47" t="n">
        <v>0</v>
      </c>
      <c r="M75" s="47" t="n">
        <f aca="false">ROUND(J75-K75-L75,2)</f>
        <v>0</v>
      </c>
      <c r="N75" s="47" t="n">
        <f aca="false">ROUND(Q74*(1+Sorted!$H$4),2)</f>
        <v>0</v>
      </c>
      <c r="O75" s="47" t="n">
        <f aca="false">MIN(N75,Sorted!$G$4)</f>
        <v>0</v>
      </c>
      <c r="P75" s="47" t="n">
        <v>0</v>
      </c>
      <c r="Q75" s="47" t="n">
        <f aca="false">ROUND(N75-O75-P75,2)</f>
        <v>0</v>
      </c>
      <c r="R75" s="47" t="n">
        <f aca="false">ROUND(U74*(1+Sorted!$H$5),2)</f>
        <v>1727.18</v>
      </c>
      <c r="S75" s="47" t="n">
        <f aca="false">MIN(R75,Sorted!$G$5)</f>
        <v>175</v>
      </c>
      <c r="T75" s="47" t="n">
        <v>0</v>
      </c>
      <c r="U75" s="47" t="n">
        <f aca="false">ROUND(R75-S75-T75,2)</f>
        <v>1552.18</v>
      </c>
      <c r="V75" s="47" t="n">
        <f aca="false">ROUND(Y74*(1+Sorted!$H$6),2)</f>
        <v>0</v>
      </c>
      <c r="W75" s="47" t="n">
        <f aca="false">MIN(V75,Sorted!$G$6)</f>
        <v>0</v>
      </c>
      <c r="X75" s="47" t="n">
        <v>0</v>
      </c>
      <c r="Y75" s="47" t="n">
        <f aca="false">ROUND(V75-W75-X75,2)</f>
        <v>0</v>
      </c>
      <c r="Z75" s="47" t="n">
        <f aca="false">ROUND(AC74*(1+Sorted!$H$7),2)</f>
        <v>0</v>
      </c>
      <c r="AA75" s="47" t="n">
        <f aca="false">MIN(Z75,Sorted!$G$7)</f>
        <v>0</v>
      </c>
      <c r="AB75" s="47" t="n">
        <v>0</v>
      </c>
      <c r="AC75" s="47" t="n">
        <f aca="false">ROUND(Z75-AA75-AB75,2)</f>
        <v>0</v>
      </c>
      <c r="AD75" s="47" t="n">
        <f aca="false">ROUND(AG74*(1+Sorted!$H$8),2)</f>
        <v>0</v>
      </c>
      <c r="AE75" s="47" t="n">
        <f aca="false">MIN(AD75,Sorted!$G$8)</f>
        <v>0</v>
      </c>
      <c r="AF75" s="47" t="n">
        <v>0</v>
      </c>
      <c r="AG75" s="47" t="n">
        <f aca="false">ROUND(AD75-AE75-AF75,2)</f>
        <v>0</v>
      </c>
      <c r="AH75" s="47" t="n">
        <f aca="false">ROUND(AK74*(1+Sorted!$H$9),2)</f>
        <v>0</v>
      </c>
      <c r="AI75" s="47" t="n">
        <f aca="false">MIN(AH75,Sorted!$G$9)</f>
        <v>0</v>
      </c>
      <c r="AJ75" s="47" t="n">
        <v>0</v>
      </c>
      <c r="AK75" s="47" t="n">
        <f aca="false">ROUND(AH75-AI75-AJ75,2)</f>
        <v>0</v>
      </c>
      <c r="AL75" s="47" t="n">
        <f aca="false">ROUND(AO74*(1+Sorted!$H$10),2)</f>
        <v>0</v>
      </c>
      <c r="AM75" s="47" t="n">
        <f aca="false">MIN(AL75,Sorted!$G$10)</f>
        <v>0</v>
      </c>
      <c r="AN75" s="47" t="n">
        <v>0</v>
      </c>
      <c r="AO75" s="47" t="n">
        <f aca="false">ROUND(AL75-AM75-AN75,2)</f>
        <v>0</v>
      </c>
      <c r="AP75" s="47" t="n">
        <f aca="false">ROUND(AS74*(1+Sorted!$H$11),2)</f>
        <v>0</v>
      </c>
      <c r="AQ75" s="47" t="n">
        <f aca="false">MIN(AP75,Sorted!$G$11)</f>
        <v>0</v>
      </c>
      <c r="AR75" s="47" t="n">
        <v>0</v>
      </c>
      <c r="AS75" s="47" t="n">
        <f aca="false">ROUND(AP75-AQ75-AR75,2)</f>
        <v>0</v>
      </c>
    </row>
    <row r="76" customFormat="false" ht="15" hidden="false" customHeight="false" outlineLevel="0" collapsed="false">
      <c r="A76" s="45" t="n">
        <v>73</v>
      </c>
      <c r="B76" s="46" t="n">
        <f aca="false">EDATE('My Debts'!$C$7,A76-1)</f>
        <v>48519</v>
      </c>
      <c r="C76" s="47" t="n">
        <v>0</v>
      </c>
      <c r="D76" s="47" t="n">
        <f aca="false">(F76+J76+N76+R76+V76+Z76+AD76+AH76+AL76+AP76)-(I76+M76+Q76+U76+Y76+AC76+AG76+AK76+AO76+AS76)</f>
        <v>175</v>
      </c>
      <c r="E76" s="48" t="n">
        <f aca="false">I76+M76+Q76+U76+Y76+AC76+AG76+AK76+AO76+AS76</f>
        <v>1409.5</v>
      </c>
      <c r="F76" s="47" t="n">
        <f aca="false">ROUND(I75*(1+Sorted!$H$2),2)</f>
        <v>0</v>
      </c>
      <c r="G76" s="47" t="n">
        <f aca="false">MIN(F76,Sorted!$G$2)</f>
        <v>0</v>
      </c>
      <c r="H76" s="47" t="n">
        <v>0</v>
      </c>
      <c r="I76" s="47" t="n">
        <f aca="false">ROUND(F76-G76-H76,2)</f>
        <v>0</v>
      </c>
      <c r="J76" s="47" t="n">
        <f aca="false">ROUND(M75*(1+Sorted!$H$3),2)</f>
        <v>0</v>
      </c>
      <c r="K76" s="47" t="n">
        <f aca="false">MIN(J76,Sorted!$G$3)</f>
        <v>0</v>
      </c>
      <c r="L76" s="47" t="n">
        <v>0</v>
      </c>
      <c r="M76" s="47" t="n">
        <f aca="false">ROUND(J76-K76-L76,2)</f>
        <v>0</v>
      </c>
      <c r="N76" s="47" t="n">
        <f aca="false">ROUND(Q75*(1+Sorted!$H$4),2)</f>
        <v>0</v>
      </c>
      <c r="O76" s="47" t="n">
        <f aca="false">MIN(N76,Sorted!$G$4)</f>
        <v>0</v>
      </c>
      <c r="P76" s="47" t="n">
        <v>0</v>
      </c>
      <c r="Q76" s="47" t="n">
        <f aca="false">ROUND(N76-O76-P76,2)</f>
        <v>0</v>
      </c>
      <c r="R76" s="47" t="n">
        <f aca="false">ROUND(U75*(1+Sorted!$H$5),2)</f>
        <v>1584.5</v>
      </c>
      <c r="S76" s="47" t="n">
        <f aca="false">MIN(R76,Sorted!$G$5)</f>
        <v>175</v>
      </c>
      <c r="T76" s="47" t="n">
        <v>0</v>
      </c>
      <c r="U76" s="47" t="n">
        <f aca="false">ROUND(R76-S76-T76,2)</f>
        <v>1409.5</v>
      </c>
      <c r="V76" s="47" t="n">
        <f aca="false">ROUND(Y75*(1+Sorted!$H$6),2)</f>
        <v>0</v>
      </c>
      <c r="W76" s="47" t="n">
        <f aca="false">MIN(V76,Sorted!$G$6)</f>
        <v>0</v>
      </c>
      <c r="X76" s="47" t="n">
        <v>0</v>
      </c>
      <c r="Y76" s="47" t="n">
        <f aca="false">ROUND(V76-W76-X76,2)</f>
        <v>0</v>
      </c>
      <c r="Z76" s="47" t="n">
        <f aca="false">ROUND(AC75*(1+Sorted!$H$7),2)</f>
        <v>0</v>
      </c>
      <c r="AA76" s="47" t="n">
        <f aca="false">MIN(Z76,Sorted!$G$7)</f>
        <v>0</v>
      </c>
      <c r="AB76" s="47" t="n">
        <v>0</v>
      </c>
      <c r="AC76" s="47" t="n">
        <f aca="false">ROUND(Z76-AA76-AB76,2)</f>
        <v>0</v>
      </c>
      <c r="AD76" s="47" t="n">
        <f aca="false">ROUND(AG75*(1+Sorted!$H$8),2)</f>
        <v>0</v>
      </c>
      <c r="AE76" s="47" t="n">
        <f aca="false">MIN(AD76,Sorted!$G$8)</f>
        <v>0</v>
      </c>
      <c r="AF76" s="47" t="n">
        <v>0</v>
      </c>
      <c r="AG76" s="47" t="n">
        <f aca="false">ROUND(AD76-AE76-AF76,2)</f>
        <v>0</v>
      </c>
      <c r="AH76" s="47" t="n">
        <f aca="false">ROUND(AK75*(1+Sorted!$H$9),2)</f>
        <v>0</v>
      </c>
      <c r="AI76" s="47" t="n">
        <f aca="false">MIN(AH76,Sorted!$G$9)</f>
        <v>0</v>
      </c>
      <c r="AJ76" s="47" t="n">
        <v>0</v>
      </c>
      <c r="AK76" s="47" t="n">
        <f aca="false">ROUND(AH76-AI76-AJ76,2)</f>
        <v>0</v>
      </c>
      <c r="AL76" s="47" t="n">
        <f aca="false">ROUND(AO75*(1+Sorted!$H$10),2)</f>
        <v>0</v>
      </c>
      <c r="AM76" s="47" t="n">
        <f aca="false">MIN(AL76,Sorted!$G$10)</f>
        <v>0</v>
      </c>
      <c r="AN76" s="47" t="n">
        <v>0</v>
      </c>
      <c r="AO76" s="47" t="n">
        <f aca="false">ROUND(AL76-AM76-AN76,2)</f>
        <v>0</v>
      </c>
      <c r="AP76" s="47" t="n">
        <f aca="false">ROUND(AS75*(1+Sorted!$H$11),2)</f>
        <v>0</v>
      </c>
      <c r="AQ76" s="47" t="n">
        <f aca="false">MIN(AP76,Sorted!$G$11)</f>
        <v>0</v>
      </c>
      <c r="AR76" s="47" t="n">
        <v>0</v>
      </c>
      <c r="AS76" s="47" t="n">
        <f aca="false">ROUND(AP76-AQ76-AR76,2)</f>
        <v>0</v>
      </c>
    </row>
    <row r="77" customFormat="false" ht="15" hidden="false" customHeight="false" outlineLevel="0" collapsed="false">
      <c r="A77" s="45" t="n">
        <v>74</v>
      </c>
      <c r="B77" s="46" t="n">
        <f aca="false">EDATE('My Debts'!$C$7,A77-1)</f>
        <v>48549</v>
      </c>
      <c r="C77" s="47" t="n">
        <v>0</v>
      </c>
      <c r="D77" s="47" t="n">
        <f aca="false">(F77+J77+N77+R77+V77+Z77+AD77+AH77+AL77+AP77)-(I77+M77+Q77+U77+Y77+AC77+AG77+AK77+AO77+AS77)</f>
        <v>175</v>
      </c>
      <c r="E77" s="48" t="n">
        <f aca="false">I77+M77+Q77+U77+Y77+AC77+AG77+AK77+AO77+AS77</f>
        <v>1263.85</v>
      </c>
      <c r="F77" s="47" t="n">
        <f aca="false">ROUND(I76*(1+Sorted!$H$2),2)</f>
        <v>0</v>
      </c>
      <c r="G77" s="47" t="n">
        <f aca="false">MIN(F77,Sorted!$G$2)</f>
        <v>0</v>
      </c>
      <c r="H77" s="47" t="n">
        <v>0</v>
      </c>
      <c r="I77" s="47" t="n">
        <f aca="false">ROUND(F77-G77-H77,2)</f>
        <v>0</v>
      </c>
      <c r="J77" s="47" t="n">
        <f aca="false">ROUND(M76*(1+Sorted!$H$3),2)</f>
        <v>0</v>
      </c>
      <c r="K77" s="47" t="n">
        <f aca="false">MIN(J77,Sorted!$G$3)</f>
        <v>0</v>
      </c>
      <c r="L77" s="47" t="n">
        <v>0</v>
      </c>
      <c r="M77" s="47" t="n">
        <f aca="false">ROUND(J77-K77-L77,2)</f>
        <v>0</v>
      </c>
      <c r="N77" s="47" t="n">
        <f aca="false">ROUND(Q76*(1+Sorted!$H$4),2)</f>
        <v>0</v>
      </c>
      <c r="O77" s="47" t="n">
        <f aca="false">MIN(N77,Sorted!$G$4)</f>
        <v>0</v>
      </c>
      <c r="P77" s="47" t="n">
        <v>0</v>
      </c>
      <c r="Q77" s="47" t="n">
        <f aca="false">ROUND(N77-O77-P77,2)</f>
        <v>0</v>
      </c>
      <c r="R77" s="47" t="n">
        <f aca="false">ROUND(U76*(1+Sorted!$H$5),2)</f>
        <v>1438.85</v>
      </c>
      <c r="S77" s="47" t="n">
        <f aca="false">MIN(R77,Sorted!$G$5)</f>
        <v>175</v>
      </c>
      <c r="T77" s="47" t="n">
        <v>0</v>
      </c>
      <c r="U77" s="47" t="n">
        <f aca="false">ROUND(R77-S77-T77,2)</f>
        <v>1263.85</v>
      </c>
      <c r="V77" s="47" t="n">
        <f aca="false">ROUND(Y76*(1+Sorted!$H$6),2)</f>
        <v>0</v>
      </c>
      <c r="W77" s="47" t="n">
        <f aca="false">MIN(V77,Sorted!$G$6)</f>
        <v>0</v>
      </c>
      <c r="X77" s="47" t="n">
        <v>0</v>
      </c>
      <c r="Y77" s="47" t="n">
        <f aca="false">ROUND(V77-W77-X77,2)</f>
        <v>0</v>
      </c>
      <c r="Z77" s="47" t="n">
        <f aca="false">ROUND(AC76*(1+Sorted!$H$7),2)</f>
        <v>0</v>
      </c>
      <c r="AA77" s="47" t="n">
        <f aca="false">MIN(Z77,Sorted!$G$7)</f>
        <v>0</v>
      </c>
      <c r="AB77" s="47" t="n">
        <v>0</v>
      </c>
      <c r="AC77" s="47" t="n">
        <f aca="false">ROUND(Z77-AA77-AB77,2)</f>
        <v>0</v>
      </c>
      <c r="AD77" s="47" t="n">
        <f aca="false">ROUND(AG76*(1+Sorted!$H$8),2)</f>
        <v>0</v>
      </c>
      <c r="AE77" s="47" t="n">
        <f aca="false">MIN(AD77,Sorted!$G$8)</f>
        <v>0</v>
      </c>
      <c r="AF77" s="47" t="n">
        <v>0</v>
      </c>
      <c r="AG77" s="47" t="n">
        <f aca="false">ROUND(AD77-AE77-AF77,2)</f>
        <v>0</v>
      </c>
      <c r="AH77" s="47" t="n">
        <f aca="false">ROUND(AK76*(1+Sorted!$H$9),2)</f>
        <v>0</v>
      </c>
      <c r="AI77" s="47" t="n">
        <f aca="false">MIN(AH77,Sorted!$G$9)</f>
        <v>0</v>
      </c>
      <c r="AJ77" s="47" t="n">
        <v>0</v>
      </c>
      <c r="AK77" s="47" t="n">
        <f aca="false">ROUND(AH77-AI77-AJ77,2)</f>
        <v>0</v>
      </c>
      <c r="AL77" s="47" t="n">
        <f aca="false">ROUND(AO76*(1+Sorted!$H$10),2)</f>
        <v>0</v>
      </c>
      <c r="AM77" s="47" t="n">
        <f aca="false">MIN(AL77,Sorted!$G$10)</f>
        <v>0</v>
      </c>
      <c r="AN77" s="47" t="n">
        <v>0</v>
      </c>
      <c r="AO77" s="47" t="n">
        <f aca="false">ROUND(AL77-AM77-AN77,2)</f>
        <v>0</v>
      </c>
      <c r="AP77" s="47" t="n">
        <f aca="false">ROUND(AS76*(1+Sorted!$H$11),2)</f>
        <v>0</v>
      </c>
      <c r="AQ77" s="47" t="n">
        <f aca="false">MIN(AP77,Sorted!$G$11)</f>
        <v>0</v>
      </c>
      <c r="AR77" s="47" t="n">
        <v>0</v>
      </c>
      <c r="AS77" s="47" t="n">
        <f aca="false">ROUND(AP77-AQ77-AR77,2)</f>
        <v>0</v>
      </c>
    </row>
    <row r="78" customFormat="false" ht="15" hidden="false" customHeight="false" outlineLevel="0" collapsed="false">
      <c r="A78" s="45" t="n">
        <v>75</v>
      </c>
      <c r="B78" s="46" t="n">
        <f aca="false">EDATE('My Debts'!$C$7,A78-1)</f>
        <v>48580</v>
      </c>
      <c r="C78" s="47" t="n">
        <v>0</v>
      </c>
      <c r="D78" s="47" t="n">
        <f aca="false">(F78+J78+N78+R78+V78+Z78+AD78+AH78+AL78+AP78)-(I78+M78+Q78+U78+Y78+AC78+AG78+AK78+AO78+AS78)</f>
        <v>175</v>
      </c>
      <c r="E78" s="48" t="n">
        <f aca="false">I78+M78+Q78+U78+Y78+AC78+AG78+AK78+AO78+AS78</f>
        <v>1115.17</v>
      </c>
      <c r="F78" s="47" t="n">
        <f aca="false">ROUND(I77*(1+Sorted!$H$2),2)</f>
        <v>0</v>
      </c>
      <c r="G78" s="47" t="n">
        <f aca="false">MIN(F78,Sorted!$G$2)</f>
        <v>0</v>
      </c>
      <c r="H78" s="47" t="n">
        <v>0</v>
      </c>
      <c r="I78" s="47" t="n">
        <f aca="false">ROUND(F78-G78-H78,2)</f>
        <v>0</v>
      </c>
      <c r="J78" s="47" t="n">
        <f aca="false">ROUND(M77*(1+Sorted!$H$3),2)</f>
        <v>0</v>
      </c>
      <c r="K78" s="47" t="n">
        <f aca="false">MIN(J78,Sorted!$G$3)</f>
        <v>0</v>
      </c>
      <c r="L78" s="47" t="n">
        <v>0</v>
      </c>
      <c r="M78" s="47" t="n">
        <f aca="false">ROUND(J78-K78-L78,2)</f>
        <v>0</v>
      </c>
      <c r="N78" s="47" t="n">
        <f aca="false">ROUND(Q77*(1+Sorted!$H$4),2)</f>
        <v>0</v>
      </c>
      <c r="O78" s="47" t="n">
        <f aca="false">MIN(N78,Sorted!$G$4)</f>
        <v>0</v>
      </c>
      <c r="P78" s="47" t="n">
        <v>0</v>
      </c>
      <c r="Q78" s="47" t="n">
        <f aca="false">ROUND(N78-O78-P78,2)</f>
        <v>0</v>
      </c>
      <c r="R78" s="47" t="n">
        <f aca="false">ROUND(U77*(1+Sorted!$H$5),2)</f>
        <v>1290.17</v>
      </c>
      <c r="S78" s="47" t="n">
        <f aca="false">MIN(R78,Sorted!$G$5)</f>
        <v>175</v>
      </c>
      <c r="T78" s="47" t="n">
        <v>0</v>
      </c>
      <c r="U78" s="47" t="n">
        <f aca="false">ROUND(R78-S78-T78,2)</f>
        <v>1115.17</v>
      </c>
      <c r="V78" s="47" t="n">
        <f aca="false">ROUND(Y77*(1+Sorted!$H$6),2)</f>
        <v>0</v>
      </c>
      <c r="W78" s="47" t="n">
        <f aca="false">MIN(V78,Sorted!$G$6)</f>
        <v>0</v>
      </c>
      <c r="X78" s="47" t="n">
        <v>0</v>
      </c>
      <c r="Y78" s="47" t="n">
        <f aca="false">ROUND(V78-W78-X78,2)</f>
        <v>0</v>
      </c>
      <c r="Z78" s="47" t="n">
        <f aca="false">ROUND(AC77*(1+Sorted!$H$7),2)</f>
        <v>0</v>
      </c>
      <c r="AA78" s="47" t="n">
        <f aca="false">MIN(Z78,Sorted!$G$7)</f>
        <v>0</v>
      </c>
      <c r="AB78" s="47" t="n">
        <v>0</v>
      </c>
      <c r="AC78" s="47" t="n">
        <f aca="false">ROUND(Z78-AA78-AB78,2)</f>
        <v>0</v>
      </c>
      <c r="AD78" s="47" t="n">
        <f aca="false">ROUND(AG77*(1+Sorted!$H$8),2)</f>
        <v>0</v>
      </c>
      <c r="AE78" s="47" t="n">
        <f aca="false">MIN(AD78,Sorted!$G$8)</f>
        <v>0</v>
      </c>
      <c r="AF78" s="47" t="n">
        <v>0</v>
      </c>
      <c r="AG78" s="47" t="n">
        <f aca="false">ROUND(AD78-AE78-AF78,2)</f>
        <v>0</v>
      </c>
      <c r="AH78" s="47" t="n">
        <f aca="false">ROUND(AK77*(1+Sorted!$H$9),2)</f>
        <v>0</v>
      </c>
      <c r="AI78" s="47" t="n">
        <f aca="false">MIN(AH78,Sorted!$G$9)</f>
        <v>0</v>
      </c>
      <c r="AJ78" s="47" t="n">
        <v>0</v>
      </c>
      <c r="AK78" s="47" t="n">
        <f aca="false">ROUND(AH78-AI78-AJ78,2)</f>
        <v>0</v>
      </c>
      <c r="AL78" s="47" t="n">
        <f aca="false">ROUND(AO77*(1+Sorted!$H$10),2)</f>
        <v>0</v>
      </c>
      <c r="AM78" s="47" t="n">
        <f aca="false">MIN(AL78,Sorted!$G$10)</f>
        <v>0</v>
      </c>
      <c r="AN78" s="47" t="n">
        <v>0</v>
      </c>
      <c r="AO78" s="47" t="n">
        <f aca="false">ROUND(AL78-AM78-AN78,2)</f>
        <v>0</v>
      </c>
      <c r="AP78" s="47" t="n">
        <f aca="false">ROUND(AS77*(1+Sorted!$H$11),2)</f>
        <v>0</v>
      </c>
      <c r="AQ78" s="47" t="n">
        <f aca="false">MIN(AP78,Sorted!$G$11)</f>
        <v>0</v>
      </c>
      <c r="AR78" s="47" t="n">
        <v>0</v>
      </c>
      <c r="AS78" s="47" t="n">
        <f aca="false">ROUND(AP78-AQ78-AR78,2)</f>
        <v>0</v>
      </c>
    </row>
    <row r="79" customFormat="false" ht="15" hidden="false" customHeight="false" outlineLevel="0" collapsed="false">
      <c r="A79" s="45" t="n">
        <v>76</v>
      </c>
      <c r="B79" s="46" t="n">
        <f aca="false">EDATE('My Debts'!$C$7,A79-1)</f>
        <v>48611</v>
      </c>
      <c r="C79" s="47" t="n">
        <v>0</v>
      </c>
      <c r="D79" s="47" t="n">
        <f aca="false">(F79+J79+N79+R79+V79+Z79+AD79+AH79+AL79+AP79)-(I79+M79+Q79+U79+Y79+AC79+AG79+AK79+AO79+AS79)</f>
        <v>175</v>
      </c>
      <c r="E79" s="48" t="n">
        <f aca="false">I79+M79+Q79+U79+Y79+AC79+AG79+AK79+AO79+AS79</f>
        <v>963.39</v>
      </c>
      <c r="F79" s="47" t="n">
        <f aca="false">ROUND(I78*(1+Sorted!$H$2),2)</f>
        <v>0</v>
      </c>
      <c r="G79" s="47" t="n">
        <f aca="false">MIN(F79,Sorted!$G$2)</f>
        <v>0</v>
      </c>
      <c r="H79" s="47" t="n">
        <v>0</v>
      </c>
      <c r="I79" s="47" t="n">
        <f aca="false">ROUND(F79-G79-H79,2)</f>
        <v>0</v>
      </c>
      <c r="J79" s="47" t="n">
        <f aca="false">ROUND(M78*(1+Sorted!$H$3),2)</f>
        <v>0</v>
      </c>
      <c r="K79" s="47" t="n">
        <f aca="false">MIN(J79,Sorted!$G$3)</f>
        <v>0</v>
      </c>
      <c r="L79" s="47" t="n">
        <v>0</v>
      </c>
      <c r="M79" s="47" t="n">
        <f aca="false">ROUND(J79-K79-L79,2)</f>
        <v>0</v>
      </c>
      <c r="N79" s="47" t="n">
        <f aca="false">ROUND(Q78*(1+Sorted!$H$4),2)</f>
        <v>0</v>
      </c>
      <c r="O79" s="47" t="n">
        <f aca="false">MIN(N79,Sorted!$G$4)</f>
        <v>0</v>
      </c>
      <c r="P79" s="47" t="n">
        <v>0</v>
      </c>
      <c r="Q79" s="47" t="n">
        <f aca="false">ROUND(N79-O79-P79,2)</f>
        <v>0</v>
      </c>
      <c r="R79" s="47" t="n">
        <f aca="false">ROUND(U78*(1+Sorted!$H$5),2)</f>
        <v>1138.39</v>
      </c>
      <c r="S79" s="47" t="n">
        <f aca="false">MIN(R79,Sorted!$G$5)</f>
        <v>175</v>
      </c>
      <c r="T79" s="47" t="n">
        <v>0</v>
      </c>
      <c r="U79" s="47" t="n">
        <f aca="false">ROUND(R79-S79-T79,2)</f>
        <v>963.39</v>
      </c>
      <c r="V79" s="47" t="n">
        <f aca="false">ROUND(Y78*(1+Sorted!$H$6),2)</f>
        <v>0</v>
      </c>
      <c r="W79" s="47" t="n">
        <f aca="false">MIN(V79,Sorted!$G$6)</f>
        <v>0</v>
      </c>
      <c r="X79" s="47" t="n">
        <v>0</v>
      </c>
      <c r="Y79" s="47" t="n">
        <f aca="false">ROUND(V79-W79-X79,2)</f>
        <v>0</v>
      </c>
      <c r="Z79" s="47" t="n">
        <f aca="false">ROUND(AC78*(1+Sorted!$H$7),2)</f>
        <v>0</v>
      </c>
      <c r="AA79" s="47" t="n">
        <f aca="false">MIN(Z79,Sorted!$G$7)</f>
        <v>0</v>
      </c>
      <c r="AB79" s="47" t="n">
        <v>0</v>
      </c>
      <c r="AC79" s="47" t="n">
        <f aca="false">ROUND(Z79-AA79-AB79,2)</f>
        <v>0</v>
      </c>
      <c r="AD79" s="47" t="n">
        <f aca="false">ROUND(AG78*(1+Sorted!$H$8),2)</f>
        <v>0</v>
      </c>
      <c r="AE79" s="47" t="n">
        <f aca="false">MIN(AD79,Sorted!$G$8)</f>
        <v>0</v>
      </c>
      <c r="AF79" s="47" t="n">
        <v>0</v>
      </c>
      <c r="AG79" s="47" t="n">
        <f aca="false">ROUND(AD79-AE79-AF79,2)</f>
        <v>0</v>
      </c>
      <c r="AH79" s="47" t="n">
        <f aca="false">ROUND(AK78*(1+Sorted!$H$9),2)</f>
        <v>0</v>
      </c>
      <c r="AI79" s="47" t="n">
        <f aca="false">MIN(AH79,Sorted!$G$9)</f>
        <v>0</v>
      </c>
      <c r="AJ79" s="47" t="n">
        <v>0</v>
      </c>
      <c r="AK79" s="47" t="n">
        <f aca="false">ROUND(AH79-AI79-AJ79,2)</f>
        <v>0</v>
      </c>
      <c r="AL79" s="47" t="n">
        <f aca="false">ROUND(AO78*(1+Sorted!$H$10),2)</f>
        <v>0</v>
      </c>
      <c r="AM79" s="47" t="n">
        <f aca="false">MIN(AL79,Sorted!$G$10)</f>
        <v>0</v>
      </c>
      <c r="AN79" s="47" t="n">
        <v>0</v>
      </c>
      <c r="AO79" s="47" t="n">
        <f aca="false">ROUND(AL79-AM79-AN79,2)</f>
        <v>0</v>
      </c>
      <c r="AP79" s="47" t="n">
        <f aca="false">ROUND(AS78*(1+Sorted!$H$11),2)</f>
        <v>0</v>
      </c>
      <c r="AQ79" s="47" t="n">
        <f aca="false">MIN(AP79,Sorted!$G$11)</f>
        <v>0</v>
      </c>
      <c r="AR79" s="47" t="n">
        <v>0</v>
      </c>
      <c r="AS79" s="47" t="n">
        <f aca="false">ROUND(AP79-AQ79-AR79,2)</f>
        <v>0</v>
      </c>
    </row>
    <row r="80" customFormat="false" ht="15" hidden="false" customHeight="false" outlineLevel="0" collapsed="false">
      <c r="A80" s="45" t="n">
        <v>77</v>
      </c>
      <c r="B80" s="46" t="n">
        <f aca="false">EDATE('My Debts'!$C$7,A80-1)</f>
        <v>48639</v>
      </c>
      <c r="C80" s="47" t="n">
        <v>0</v>
      </c>
      <c r="D80" s="47" t="n">
        <f aca="false">(F80+J80+N80+R80+V80+Z80+AD80+AH80+AL80+AP80)-(I80+M80+Q80+U80+Y80+AC80+AG80+AK80+AO80+AS80)</f>
        <v>175</v>
      </c>
      <c r="E80" s="48" t="n">
        <f aca="false">I80+M80+Q80+U80+Y80+AC80+AG80+AK80+AO80+AS80</f>
        <v>808.45</v>
      </c>
      <c r="F80" s="47" t="n">
        <f aca="false">ROUND(I79*(1+Sorted!$H$2),2)</f>
        <v>0</v>
      </c>
      <c r="G80" s="47" t="n">
        <f aca="false">MIN(F80,Sorted!$G$2)</f>
        <v>0</v>
      </c>
      <c r="H80" s="47" t="n">
        <v>0</v>
      </c>
      <c r="I80" s="47" t="n">
        <f aca="false">ROUND(F80-G80-H80,2)</f>
        <v>0</v>
      </c>
      <c r="J80" s="47" t="n">
        <f aca="false">ROUND(M79*(1+Sorted!$H$3),2)</f>
        <v>0</v>
      </c>
      <c r="K80" s="47" t="n">
        <f aca="false">MIN(J80,Sorted!$G$3)</f>
        <v>0</v>
      </c>
      <c r="L80" s="47" t="n">
        <v>0</v>
      </c>
      <c r="M80" s="47" t="n">
        <f aca="false">ROUND(J80-K80-L80,2)</f>
        <v>0</v>
      </c>
      <c r="N80" s="47" t="n">
        <f aca="false">ROUND(Q79*(1+Sorted!$H$4),2)</f>
        <v>0</v>
      </c>
      <c r="O80" s="47" t="n">
        <f aca="false">MIN(N80,Sorted!$G$4)</f>
        <v>0</v>
      </c>
      <c r="P80" s="47" t="n">
        <v>0</v>
      </c>
      <c r="Q80" s="47" t="n">
        <f aca="false">ROUND(N80-O80-P80,2)</f>
        <v>0</v>
      </c>
      <c r="R80" s="47" t="n">
        <f aca="false">ROUND(U79*(1+Sorted!$H$5),2)</f>
        <v>983.45</v>
      </c>
      <c r="S80" s="47" t="n">
        <f aca="false">MIN(R80,Sorted!$G$5)</f>
        <v>175</v>
      </c>
      <c r="T80" s="47" t="n">
        <v>0</v>
      </c>
      <c r="U80" s="47" t="n">
        <f aca="false">ROUND(R80-S80-T80,2)</f>
        <v>808.45</v>
      </c>
      <c r="V80" s="47" t="n">
        <f aca="false">ROUND(Y79*(1+Sorted!$H$6),2)</f>
        <v>0</v>
      </c>
      <c r="W80" s="47" t="n">
        <f aca="false">MIN(V80,Sorted!$G$6)</f>
        <v>0</v>
      </c>
      <c r="X80" s="47" t="n">
        <v>0</v>
      </c>
      <c r="Y80" s="47" t="n">
        <f aca="false">ROUND(V80-W80-X80,2)</f>
        <v>0</v>
      </c>
      <c r="Z80" s="47" t="n">
        <f aca="false">ROUND(AC79*(1+Sorted!$H$7),2)</f>
        <v>0</v>
      </c>
      <c r="AA80" s="47" t="n">
        <f aca="false">MIN(Z80,Sorted!$G$7)</f>
        <v>0</v>
      </c>
      <c r="AB80" s="47" t="n">
        <v>0</v>
      </c>
      <c r="AC80" s="47" t="n">
        <f aca="false">ROUND(Z80-AA80-AB80,2)</f>
        <v>0</v>
      </c>
      <c r="AD80" s="47" t="n">
        <f aca="false">ROUND(AG79*(1+Sorted!$H$8),2)</f>
        <v>0</v>
      </c>
      <c r="AE80" s="47" t="n">
        <f aca="false">MIN(AD80,Sorted!$G$8)</f>
        <v>0</v>
      </c>
      <c r="AF80" s="47" t="n">
        <v>0</v>
      </c>
      <c r="AG80" s="47" t="n">
        <f aca="false">ROUND(AD80-AE80-AF80,2)</f>
        <v>0</v>
      </c>
      <c r="AH80" s="47" t="n">
        <f aca="false">ROUND(AK79*(1+Sorted!$H$9),2)</f>
        <v>0</v>
      </c>
      <c r="AI80" s="47" t="n">
        <f aca="false">MIN(AH80,Sorted!$G$9)</f>
        <v>0</v>
      </c>
      <c r="AJ80" s="47" t="n">
        <v>0</v>
      </c>
      <c r="AK80" s="47" t="n">
        <f aca="false">ROUND(AH80-AI80-AJ80,2)</f>
        <v>0</v>
      </c>
      <c r="AL80" s="47" t="n">
        <f aca="false">ROUND(AO79*(1+Sorted!$H$10),2)</f>
        <v>0</v>
      </c>
      <c r="AM80" s="47" t="n">
        <f aca="false">MIN(AL80,Sorted!$G$10)</f>
        <v>0</v>
      </c>
      <c r="AN80" s="47" t="n">
        <v>0</v>
      </c>
      <c r="AO80" s="47" t="n">
        <f aca="false">ROUND(AL80-AM80-AN80,2)</f>
        <v>0</v>
      </c>
      <c r="AP80" s="47" t="n">
        <f aca="false">ROUND(AS79*(1+Sorted!$H$11),2)</f>
        <v>0</v>
      </c>
      <c r="AQ80" s="47" t="n">
        <f aca="false">MIN(AP80,Sorted!$G$11)</f>
        <v>0</v>
      </c>
      <c r="AR80" s="47" t="n">
        <v>0</v>
      </c>
      <c r="AS80" s="47" t="n">
        <f aca="false">ROUND(AP80-AQ80-AR80,2)</f>
        <v>0</v>
      </c>
    </row>
    <row r="81" customFormat="false" ht="15" hidden="false" customHeight="false" outlineLevel="0" collapsed="false">
      <c r="A81" s="45" t="n">
        <v>78</v>
      </c>
      <c r="B81" s="46" t="n">
        <f aca="false">EDATE('My Debts'!$C$7,A81-1)</f>
        <v>48670</v>
      </c>
      <c r="C81" s="47" t="n">
        <v>0</v>
      </c>
      <c r="D81" s="47" t="n">
        <f aca="false">(F81+J81+N81+R81+V81+Z81+AD81+AH81+AL81+AP81)-(I81+M81+Q81+U81+Y81+AC81+AG81+AK81+AO81+AS81)</f>
        <v>175</v>
      </c>
      <c r="E81" s="48" t="n">
        <f aca="false">I81+M81+Q81+U81+Y81+AC81+AG81+AK81+AO81+AS81</f>
        <v>650.29</v>
      </c>
      <c r="F81" s="47" t="n">
        <f aca="false">ROUND(I80*(1+Sorted!$H$2),2)</f>
        <v>0</v>
      </c>
      <c r="G81" s="47" t="n">
        <f aca="false">MIN(F81,Sorted!$G$2)</f>
        <v>0</v>
      </c>
      <c r="H81" s="47" t="n">
        <v>0</v>
      </c>
      <c r="I81" s="47" t="n">
        <f aca="false">ROUND(F81-G81-H81,2)</f>
        <v>0</v>
      </c>
      <c r="J81" s="47" t="n">
        <f aca="false">ROUND(M80*(1+Sorted!$H$3),2)</f>
        <v>0</v>
      </c>
      <c r="K81" s="47" t="n">
        <f aca="false">MIN(J81,Sorted!$G$3)</f>
        <v>0</v>
      </c>
      <c r="L81" s="47" t="n">
        <v>0</v>
      </c>
      <c r="M81" s="47" t="n">
        <f aca="false">ROUND(J81-K81-L81,2)</f>
        <v>0</v>
      </c>
      <c r="N81" s="47" t="n">
        <f aca="false">ROUND(Q80*(1+Sorted!$H$4),2)</f>
        <v>0</v>
      </c>
      <c r="O81" s="47" t="n">
        <f aca="false">MIN(N81,Sorted!$G$4)</f>
        <v>0</v>
      </c>
      <c r="P81" s="47" t="n">
        <v>0</v>
      </c>
      <c r="Q81" s="47" t="n">
        <f aca="false">ROUND(N81-O81-P81,2)</f>
        <v>0</v>
      </c>
      <c r="R81" s="47" t="n">
        <f aca="false">ROUND(U80*(1+Sorted!$H$5),2)</f>
        <v>825.29</v>
      </c>
      <c r="S81" s="47" t="n">
        <f aca="false">MIN(R81,Sorted!$G$5)</f>
        <v>175</v>
      </c>
      <c r="T81" s="47" t="n">
        <v>0</v>
      </c>
      <c r="U81" s="47" t="n">
        <f aca="false">ROUND(R81-S81-T81,2)</f>
        <v>650.29</v>
      </c>
      <c r="V81" s="47" t="n">
        <f aca="false">ROUND(Y80*(1+Sorted!$H$6),2)</f>
        <v>0</v>
      </c>
      <c r="W81" s="47" t="n">
        <f aca="false">MIN(V81,Sorted!$G$6)</f>
        <v>0</v>
      </c>
      <c r="X81" s="47" t="n">
        <v>0</v>
      </c>
      <c r="Y81" s="47" t="n">
        <f aca="false">ROUND(V81-W81-X81,2)</f>
        <v>0</v>
      </c>
      <c r="Z81" s="47" t="n">
        <f aca="false">ROUND(AC80*(1+Sorted!$H$7),2)</f>
        <v>0</v>
      </c>
      <c r="AA81" s="47" t="n">
        <f aca="false">MIN(Z81,Sorted!$G$7)</f>
        <v>0</v>
      </c>
      <c r="AB81" s="47" t="n">
        <v>0</v>
      </c>
      <c r="AC81" s="47" t="n">
        <f aca="false">ROUND(Z81-AA81-AB81,2)</f>
        <v>0</v>
      </c>
      <c r="AD81" s="47" t="n">
        <f aca="false">ROUND(AG80*(1+Sorted!$H$8),2)</f>
        <v>0</v>
      </c>
      <c r="AE81" s="47" t="n">
        <f aca="false">MIN(AD81,Sorted!$G$8)</f>
        <v>0</v>
      </c>
      <c r="AF81" s="47" t="n">
        <v>0</v>
      </c>
      <c r="AG81" s="47" t="n">
        <f aca="false">ROUND(AD81-AE81-AF81,2)</f>
        <v>0</v>
      </c>
      <c r="AH81" s="47" t="n">
        <f aca="false">ROUND(AK80*(1+Sorted!$H$9),2)</f>
        <v>0</v>
      </c>
      <c r="AI81" s="47" t="n">
        <f aca="false">MIN(AH81,Sorted!$G$9)</f>
        <v>0</v>
      </c>
      <c r="AJ81" s="47" t="n">
        <v>0</v>
      </c>
      <c r="AK81" s="47" t="n">
        <f aca="false">ROUND(AH81-AI81-AJ81,2)</f>
        <v>0</v>
      </c>
      <c r="AL81" s="47" t="n">
        <f aca="false">ROUND(AO80*(1+Sorted!$H$10),2)</f>
        <v>0</v>
      </c>
      <c r="AM81" s="47" t="n">
        <f aca="false">MIN(AL81,Sorted!$G$10)</f>
        <v>0</v>
      </c>
      <c r="AN81" s="47" t="n">
        <v>0</v>
      </c>
      <c r="AO81" s="47" t="n">
        <f aca="false">ROUND(AL81-AM81-AN81,2)</f>
        <v>0</v>
      </c>
      <c r="AP81" s="47" t="n">
        <f aca="false">ROUND(AS80*(1+Sorted!$H$11),2)</f>
        <v>0</v>
      </c>
      <c r="AQ81" s="47" t="n">
        <f aca="false">MIN(AP81,Sorted!$G$11)</f>
        <v>0</v>
      </c>
      <c r="AR81" s="47" t="n">
        <v>0</v>
      </c>
      <c r="AS81" s="47" t="n">
        <f aca="false">ROUND(AP81-AQ81-AR81,2)</f>
        <v>0</v>
      </c>
    </row>
    <row r="82" customFormat="false" ht="15" hidden="false" customHeight="false" outlineLevel="0" collapsed="false">
      <c r="A82" s="45" t="n">
        <v>79</v>
      </c>
      <c r="B82" s="46" t="n">
        <f aca="false">EDATE('My Debts'!$C$7,A82-1)</f>
        <v>48700</v>
      </c>
      <c r="C82" s="47" t="n">
        <v>0</v>
      </c>
      <c r="D82" s="47" t="n">
        <f aca="false">(F82+J82+N82+R82+V82+Z82+AD82+AH82+AL82+AP82)-(I82+M82+Q82+U82+Y82+AC82+AG82+AK82+AO82+AS82)</f>
        <v>175</v>
      </c>
      <c r="E82" s="48" t="n">
        <f aca="false">I82+M82+Q82+U82+Y82+AC82+AG82+AK82+AO82+AS82</f>
        <v>488.83</v>
      </c>
      <c r="F82" s="47" t="n">
        <f aca="false">ROUND(I81*(1+Sorted!$H$2),2)</f>
        <v>0</v>
      </c>
      <c r="G82" s="47" t="n">
        <f aca="false">MIN(F82,Sorted!$G$2)</f>
        <v>0</v>
      </c>
      <c r="H82" s="47" t="n">
        <v>0</v>
      </c>
      <c r="I82" s="47" t="n">
        <f aca="false">ROUND(F82-G82-H82,2)</f>
        <v>0</v>
      </c>
      <c r="J82" s="47" t="n">
        <f aca="false">ROUND(M81*(1+Sorted!$H$3),2)</f>
        <v>0</v>
      </c>
      <c r="K82" s="47" t="n">
        <f aca="false">MIN(J82,Sorted!$G$3)</f>
        <v>0</v>
      </c>
      <c r="L82" s="47" t="n">
        <v>0</v>
      </c>
      <c r="M82" s="47" t="n">
        <f aca="false">ROUND(J82-K82-L82,2)</f>
        <v>0</v>
      </c>
      <c r="N82" s="47" t="n">
        <f aca="false">ROUND(Q81*(1+Sorted!$H$4),2)</f>
        <v>0</v>
      </c>
      <c r="O82" s="47" t="n">
        <f aca="false">MIN(N82,Sorted!$G$4)</f>
        <v>0</v>
      </c>
      <c r="P82" s="47" t="n">
        <v>0</v>
      </c>
      <c r="Q82" s="47" t="n">
        <f aca="false">ROUND(N82-O82-P82,2)</f>
        <v>0</v>
      </c>
      <c r="R82" s="47" t="n">
        <f aca="false">ROUND(U81*(1+Sorted!$H$5),2)</f>
        <v>663.83</v>
      </c>
      <c r="S82" s="47" t="n">
        <f aca="false">MIN(R82,Sorted!$G$5)</f>
        <v>175</v>
      </c>
      <c r="T82" s="47" t="n">
        <v>0</v>
      </c>
      <c r="U82" s="47" t="n">
        <f aca="false">ROUND(R82-S82-T82,2)</f>
        <v>488.83</v>
      </c>
      <c r="V82" s="47" t="n">
        <f aca="false">ROUND(Y81*(1+Sorted!$H$6),2)</f>
        <v>0</v>
      </c>
      <c r="W82" s="47" t="n">
        <f aca="false">MIN(V82,Sorted!$G$6)</f>
        <v>0</v>
      </c>
      <c r="X82" s="47" t="n">
        <v>0</v>
      </c>
      <c r="Y82" s="47" t="n">
        <f aca="false">ROUND(V82-W82-X82,2)</f>
        <v>0</v>
      </c>
      <c r="Z82" s="47" t="n">
        <f aca="false">ROUND(AC81*(1+Sorted!$H$7),2)</f>
        <v>0</v>
      </c>
      <c r="AA82" s="47" t="n">
        <f aca="false">MIN(Z82,Sorted!$G$7)</f>
        <v>0</v>
      </c>
      <c r="AB82" s="47" t="n">
        <v>0</v>
      </c>
      <c r="AC82" s="47" t="n">
        <f aca="false">ROUND(Z82-AA82-AB82,2)</f>
        <v>0</v>
      </c>
      <c r="AD82" s="47" t="n">
        <f aca="false">ROUND(AG81*(1+Sorted!$H$8),2)</f>
        <v>0</v>
      </c>
      <c r="AE82" s="47" t="n">
        <f aca="false">MIN(AD82,Sorted!$G$8)</f>
        <v>0</v>
      </c>
      <c r="AF82" s="47" t="n">
        <v>0</v>
      </c>
      <c r="AG82" s="47" t="n">
        <f aca="false">ROUND(AD82-AE82-AF82,2)</f>
        <v>0</v>
      </c>
      <c r="AH82" s="47" t="n">
        <f aca="false">ROUND(AK81*(1+Sorted!$H$9),2)</f>
        <v>0</v>
      </c>
      <c r="AI82" s="47" t="n">
        <f aca="false">MIN(AH82,Sorted!$G$9)</f>
        <v>0</v>
      </c>
      <c r="AJ82" s="47" t="n">
        <v>0</v>
      </c>
      <c r="AK82" s="47" t="n">
        <f aca="false">ROUND(AH82-AI82-AJ82,2)</f>
        <v>0</v>
      </c>
      <c r="AL82" s="47" t="n">
        <f aca="false">ROUND(AO81*(1+Sorted!$H$10),2)</f>
        <v>0</v>
      </c>
      <c r="AM82" s="47" t="n">
        <f aca="false">MIN(AL82,Sorted!$G$10)</f>
        <v>0</v>
      </c>
      <c r="AN82" s="47" t="n">
        <v>0</v>
      </c>
      <c r="AO82" s="47" t="n">
        <f aca="false">ROUND(AL82-AM82-AN82,2)</f>
        <v>0</v>
      </c>
      <c r="AP82" s="47" t="n">
        <f aca="false">ROUND(AS81*(1+Sorted!$H$11),2)</f>
        <v>0</v>
      </c>
      <c r="AQ82" s="47" t="n">
        <f aca="false">MIN(AP82,Sorted!$G$11)</f>
        <v>0</v>
      </c>
      <c r="AR82" s="47" t="n">
        <v>0</v>
      </c>
      <c r="AS82" s="47" t="n">
        <f aca="false">ROUND(AP82-AQ82-AR82,2)</f>
        <v>0</v>
      </c>
    </row>
    <row r="83" customFormat="false" ht="15" hidden="false" customHeight="false" outlineLevel="0" collapsed="false">
      <c r="A83" s="45" t="n">
        <v>80</v>
      </c>
      <c r="B83" s="46" t="n">
        <f aca="false">EDATE('My Debts'!$C$7,A83-1)</f>
        <v>48731</v>
      </c>
      <c r="C83" s="47" t="n">
        <v>0</v>
      </c>
      <c r="D83" s="47" t="n">
        <f aca="false">(F83+J83+N83+R83+V83+Z83+AD83+AH83+AL83+AP83)-(I83+M83+Q83+U83+Y83+AC83+AG83+AK83+AO83+AS83)</f>
        <v>175</v>
      </c>
      <c r="E83" s="48" t="n">
        <f aca="false">I83+M83+Q83+U83+Y83+AC83+AG83+AK83+AO83+AS83</f>
        <v>324.01</v>
      </c>
      <c r="F83" s="47" t="n">
        <f aca="false">ROUND(I82*(1+Sorted!$H$2),2)</f>
        <v>0</v>
      </c>
      <c r="G83" s="47" t="n">
        <f aca="false">MIN(F83,Sorted!$G$2)</f>
        <v>0</v>
      </c>
      <c r="H83" s="47" t="n">
        <v>0</v>
      </c>
      <c r="I83" s="47" t="n">
        <f aca="false">ROUND(F83-G83-H83,2)</f>
        <v>0</v>
      </c>
      <c r="J83" s="47" t="n">
        <f aca="false">ROUND(M82*(1+Sorted!$H$3),2)</f>
        <v>0</v>
      </c>
      <c r="K83" s="47" t="n">
        <f aca="false">MIN(J83,Sorted!$G$3)</f>
        <v>0</v>
      </c>
      <c r="L83" s="47" t="n">
        <v>0</v>
      </c>
      <c r="M83" s="47" t="n">
        <f aca="false">ROUND(J83-K83-L83,2)</f>
        <v>0</v>
      </c>
      <c r="N83" s="47" t="n">
        <f aca="false">ROUND(Q82*(1+Sorted!$H$4),2)</f>
        <v>0</v>
      </c>
      <c r="O83" s="47" t="n">
        <f aca="false">MIN(N83,Sorted!$G$4)</f>
        <v>0</v>
      </c>
      <c r="P83" s="47" t="n">
        <v>0</v>
      </c>
      <c r="Q83" s="47" t="n">
        <f aca="false">ROUND(N83-O83-P83,2)</f>
        <v>0</v>
      </c>
      <c r="R83" s="47" t="n">
        <f aca="false">ROUND(U82*(1+Sorted!$H$5),2)</f>
        <v>499.01</v>
      </c>
      <c r="S83" s="47" t="n">
        <f aca="false">MIN(R83,Sorted!$G$5)</f>
        <v>175</v>
      </c>
      <c r="T83" s="47" t="n">
        <v>0</v>
      </c>
      <c r="U83" s="47" t="n">
        <f aca="false">ROUND(R83-S83-T83,2)</f>
        <v>324.01</v>
      </c>
      <c r="V83" s="47" t="n">
        <f aca="false">ROUND(Y82*(1+Sorted!$H$6),2)</f>
        <v>0</v>
      </c>
      <c r="W83" s="47" t="n">
        <f aca="false">MIN(V83,Sorted!$G$6)</f>
        <v>0</v>
      </c>
      <c r="X83" s="47" t="n">
        <v>0</v>
      </c>
      <c r="Y83" s="47" t="n">
        <f aca="false">ROUND(V83-W83-X83,2)</f>
        <v>0</v>
      </c>
      <c r="Z83" s="47" t="n">
        <f aca="false">ROUND(AC82*(1+Sorted!$H$7),2)</f>
        <v>0</v>
      </c>
      <c r="AA83" s="47" t="n">
        <f aca="false">MIN(Z83,Sorted!$G$7)</f>
        <v>0</v>
      </c>
      <c r="AB83" s="47" t="n">
        <v>0</v>
      </c>
      <c r="AC83" s="47" t="n">
        <f aca="false">ROUND(Z83-AA83-AB83,2)</f>
        <v>0</v>
      </c>
      <c r="AD83" s="47" t="n">
        <f aca="false">ROUND(AG82*(1+Sorted!$H$8),2)</f>
        <v>0</v>
      </c>
      <c r="AE83" s="47" t="n">
        <f aca="false">MIN(AD83,Sorted!$G$8)</f>
        <v>0</v>
      </c>
      <c r="AF83" s="47" t="n">
        <v>0</v>
      </c>
      <c r="AG83" s="47" t="n">
        <f aca="false">ROUND(AD83-AE83-AF83,2)</f>
        <v>0</v>
      </c>
      <c r="AH83" s="47" t="n">
        <f aca="false">ROUND(AK82*(1+Sorted!$H$9),2)</f>
        <v>0</v>
      </c>
      <c r="AI83" s="47" t="n">
        <f aca="false">MIN(AH83,Sorted!$G$9)</f>
        <v>0</v>
      </c>
      <c r="AJ83" s="47" t="n">
        <v>0</v>
      </c>
      <c r="AK83" s="47" t="n">
        <f aca="false">ROUND(AH83-AI83-AJ83,2)</f>
        <v>0</v>
      </c>
      <c r="AL83" s="47" t="n">
        <f aca="false">ROUND(AO82*(1+Sorted!$H$10),2)</f>
        <v>0</v>
      </c>
      <c r="AM83" s="47" t="n">
        <f aca="false">MIN(AL83,Sorted!$G$10)</f>
        <v>0</v>
      </c>
      <c r="AN83" s="47" t="n">
        <v>0</v>
      </c>
      <c r="AO83" s="47" t="n">
        <f aca="false">ROUND(AL83-AM83-AN83,2)</f>
        <v>0</v>
      </c>
      <c r="AP83" s="47" t="n">
        <f aca="false">ROUND(AS82*(1+Sorted!$H$11),2)</f>
        <v>0</v>
      </c>
      <c r="AQ83" s="47" t="n">
        <f aca="false">MIN(AP83,Sorted!$G$11)</f>
        <v>0</v>
      </c>
      <c r="AR83" s="47" t="n">
        <v>0</v>
      </c>
      <c r="AS83" s="47" t="n">
        <f aca="false">ROUND(AP83-AQ83-AR83,2)</f>
        <v>0</v>
      </c>
    </row>
    <row r="84" customFormat="false" ht="15" hidden="false" customHeight="false" outlineLevel="0" collapsed="false">
      <c r="A84" s="45" t="n">
        <v>81</v>
      </c>
      <c r="B84" s="46" t="n">
        <f aca="false">EDATE('My Debts'!$C$7,A84-1)</f>
        <v>48761</v>
      </c>
      <c r="C84" s="47" t="n">
        <v>0</v>
      </c>
      <c r="D84" s="47" t="n">
        <f aca="false">(F84+J84+N84+R84+V84+Z84+AD84+AH84+AL84+AP84)-(I84+M84+Q84+U84+Y84+AC84+AG84+AK84+AO84+AS84)</f>
        <v>175</v>
      </c>
      <c r="E84" s="48" t="n">
        <f aca="false">I84+M84+Q84+U84+Y84+AC84+AG84+AK84+AO84+AS84</f>
        <v>155.76</v>
      </c>
      <c r="F84" s="47" t="n">
        <f aca="false">ROUND(I83*(1+Sorted!$H$2),2)</f>
        <v>0</v>
      </c>
      <c r="G84" s="47" t="n">
        <f aca="false">MIN(F84,Sorted!$G$2)</f>
        <v>0</v>
      </c>
      <c r="H84" s="47" t="n">
        <v>0</v>
      </c>
      <c r="I84" s="47" t="n">
        <f aca="false">ROUND(F84-G84-H84,2)</f>
        <v>0</v>
      </c>
      <c r="J84" s="47" t="n">
        <f aca="false">ROUND(M83*(1+Sorted!$H$3),2)</f>
        <v>0</v>
      </c>
      <c r="K84" s="47" t="n">
        <f aca="false">MIN(J84,Sorted!$G$3)</f>
        <v>0</v>
      </c>
      <c r="L84" s="47" t="n">
        <v>0</v>
      </c>
      <c r="M84" s="47" t="n">
        <f aca="false">ROUND(J84-K84-L84,2)</f>
        <v>0</v>
      </c>
      <c r="N84" s="47" t="n">
        <f aca="false">ROUND(Q83*(1+Sorted!$H$4),2)</f>
        <v>0</v>
      </c>
      <c r="O84" s="47" t="n">
        <f aca="false">MIN(N84,Sorted!$G$4)</f>
        <v>0</v>
      </c>
      <c r="P84" s="47" t="n">
        <v>0</v>
      </c>
      <c r="Q84" s="47" t="n">
        <f aca="false">ROUND(N84-O84-P84,2)</f>
        <v>0</v>
      </c>
      <c r="R84" s="47" t="n">
        <f aca="false">ROUND(U83*(1+Sorted!$H$5),2)</f>
        <v>330.76</v>
      </c>
      <c r="S84" s="47" t="n">
        <f aca="false">MIN(R84,Sorted!$G$5)</f>
        <v>175</v>
      </c>
      <c r="T84" s="47" t="n">
        <v>0</v>
      </c>
      <c r="U84" s="47" t="n">
        <f aca="false">ROUND(R84-S84-T84,2)</f>
        <v>155.76</v>
      </c>
      <c r="V84" s="47" t="n">
        <f aca="false">ROUND(Y83*(1+Sorted!$H$6),2)</f>
        <v>0</v>
      </c>
      <c r="W84" s="47" t="n">
        <f aca="false">MIN(V84,Sorted!$G$6)</f>
        <v>0</v>
      </c>
      <c r="X84" s="47" t="n">
        <v>0</v>
      </c>
      <c r="Y84" s="47" t="n">
        <f aca="false">ROUND(V84-W84-X84,2)</f>
        <v>0</v>
      </c>
      <c r="Z84" s="47" t="n">
        <f aca="false">ROUND(AC83*(1+Sorted!$H$7),2)</f>
        <v>0</v>
      </c>
      <c r="AA84" s="47" t="n">
        <f aca="false">MIN(Z84,Sorted!$G$7)</f>
        <v>0</v>
      </c>
      <c r="AB84" s="47" t="n">
        <v>0</v>
      </c>
      <c r="AC84" s="47" t="n">
        <f aca="false">ROUND(Z84-AA84-AB84,2)</f>
        <v>0</v>
      </c>
      <c r="AD84" s="47" t="n">
        <f aca="false">ROUND(AG83*(1+Sorted!$H$8),2)</f>
        <v>0</v>
      </c>
      <c r="AE84" s="47" t="n">
        <f aca="false">MIN(AD84,Sorted!$G$8)</f>
        <v>0</v>
      </c>
      <c r="AF84" s="47" t="n">
        <v>0</v>
      </c>
      <c r="AG84" s="47" t="n">
        <f aca="false">ROUND(AD84-AE84-AF84,2)</f>
        <v>0</v>
      </c>
      <c r="AH84" s="47" t="n">
        <f aca="false">ROUND(AK83*(1+Sorted!$H$9),2)</f>
        <v>0</v>
      </c>
      <c r="AI84" s="47" t="n">
        <f aca="false">MIN(AH84,Sorted!$G$9)</f>
        <v>0</v>
      </c>
      <c r="AJ84" s="47" t="n">
        <v>0</v>
      </c>
      <c r="AK84" s="47" t="n">
        <f aca="false">ROUND(AH84-AI84-AJ84,2)</f>
        <v>0</v>
      </c>
      <c r="AL84" s="47" t="n">
        <f aca="false">ROUND(AO83*(1+Sorted!$H$10),2)</f>
        <v>0</v>
      </c>
      <c r="AM84" s="47" t="n">
        <f aca="false">MIN(AL84,Sorted!$G$10)</f>
        <v>0</v>
      </c>
      <c r="AN84" s="47" t="n">
        <v>0</v>
      </c>
      <c r="AO84" s="47" t="n">
        <f aca="false">ROUND(AL84-AM84-AN84,2)</f>
        <v>0</v>
      </c>
      <c r="AP84" s="47" t="n">
        <f aca="false">ROUND(AS83*(1+Sorted!$H$11),2)</f>
        <v>0</v>
      </c>
      <c r="AQ84" s="47" t="n">
        <f aca="false">MIN(AP84,Sorted!$G$11)</f>
        <v>0</v>
      </c>
      <c r="AR84" s="47" t="n">
        <v>0</v>
      </c>
      <c r="AS84" s="47" t="n">
        <f aca="false">ROUND(AP84-AQ84-AR84,2)</f>
        <v>0</v>
      </c>
    </row>
    <row r="85" customFormat="false" ht="15" hidden="false" customHeight="false" outlineLevel="0" collapsed="false">
      <c r="A85" s="45" t="n">
        <v>82</v>
      </c>
      <c r="B85" s="46" t="n">
        <f aca="false">EDATE('My Debts'!$C$7,A85-1)</f>
        <v>48792</v>
      </c>
      <c r="C85" s="47" t="n">
        <v>0</v>
      </c>
      <c r="D85" s="47" t="n">
        <f aca="false">(F85+J85+N85+R85+V85+Z85+AD85+AH85+AL85+AP85)-(I85+M85+Q85+U85+Y85+AC85+AG85+AK85+AO85+AS85)</f>
        <v>159</v>
      </c>
      <c r="E85" s="48" t="n">
        <f aca="false">I85+M85+Q85+U85+Y85+AC85+AG85+AK85+AO85+AS85</f>
        <v>0</v>
      </c>
      <c r="F85" s="47" t="n">
        <f aca="false">ROUND(I84*(1+Sorted!$H$2),2)</f>
        <v>0</v>
      </c>
      <c r="G85" s="47" t="n">
        <f aca="false">MIN(F85,Sorted!$G$2)</f>
        <v>0</v>
      </c>
      <c r="H85" s="47" t="n">
        <v>0</v>
      </c>
      <c r="I85" s="47" t="n">
        <f aca="false">ROUND(F85-G85-H85,2)</f>
        <v>0</v>
      </c>
      <c r="J85" s="47" t="n">
        <f aca="false">ROUND(M84*(1+Sorted!$H$3),2)</f>
        <v>0</v>
      </c>
      <c r="K85" s="47" t="n">
        <f aca="false">MIN(J85,Sorted!$G$3)</f>
        <v>0</v>
      </c>
      <c r="L85" s="47" t="n">
        <v>0</v>
      </c>
      <c r="M85" s="47" t="n">
        <f aca="false">ROUND(J85-K85-L85,2)</f>
        <v>0</v>
      </c>
      <c r="N85" s="47" t="n">
        <f aca="false">ROUND(Q84*(1+Sorted!$H$4),2)</f>
        <v>0</v>
      </c>
      <c r="O85" s="47" t="n">
        <f aca="false">MIN(N85,Sorted!$G$4)</f>
        <v>0</v>
      </c>
      <c r="P85" s="47" t="n">
        <v>0</v>
      </c>
      <c r="Q85" s="47" t="n">
        <f aca="false">ROUND(N85-O85-P85,2)</f>
        <v>0</v>
      </c>
      <c r="R85" s="47" t="n">
        <f aca="false">ROUND(U84*(1+Sorted!$H$5),2)</f>
        <v>159</v>
      </c>
      <c r="S85" s="47" t="n">
        <f aca="false">MIN(R85,Sorted!$G$5)</f>
        <v>159</v>
      </c>
      <c r="T85" s="47" t="n">
        <v>0</v>
      </c>
      <c r="U85" s="47" t="n">
        <f aca="false">ROUND(R85-S85-T85,2)</f>
        <v>0</v>
      </c>
      <c r="V85" s="47" t="n">
        <f aca="false">ROUND(Y84*(1+Sorted!$H$6),2)</f>
        <v>0</v>
      </c>
      <c r="W85" s="47" t="n">
        <f aca="false">MIN(V85,Sorted!$G$6)</f>
        <v>0</v>
      </c>
      <c r="X85" s="47" t="n">
        <v>0</v>
      </c>
      <c r="Y85" s="47" t="n">
        <f aca="false">ROUND(V85-W85-X85,2)</f>
        <v>0</v>
      </c>
      <c r="Z85" s="47" t="n">
        <f aca="false">ROUND(AC84*(1+Sorted!$H$7),2)</f>
        <v>0</v>
      </c>
      <c r="AA85" s="47" t="n">
        <f aca="false">MIN(Z85,Sorted!$G$7)</f>
        <v>0</v>
      </c>
      <c r="AB85" s="47" t="n">
        <v>0</v>
      </c>
      <c r="AC85" s="47" t="n">
        <f aca="false">ROUND(Z85-AA85-AB85,2)</f>
        <v>0</v>
      </c>
      <c r="AD85" s="47" t="n">
        <f aca="false">ROUND(AG84*(1+Sorted!$H$8),2)</f>
        <v>0</v>
      </c>
      <c r="AE85" s="47" t="n">
        <f aca="false">MIN(AD85,Sorted!$G$8)</f>
        <v>0</v>
      </c>
      <c r="AF85" s="47" t="n">
        <v>0</v>
      </c>
      <c r="AG85" s="47" t="n">
        <f aca="false">ROUND(AD85-AE85-AF85,2)</f>
        <v>0</v>
      </c>
      <c r="AH85" s="47" t="n">
        <f aca="false">ROUND(AK84*(1+Sorted!$H$9),2)</f>
        <v>0</v>
      </c>
      <c r="AI85" s="47" t="n">
        <f aca="false">MIN(AH85,Sorted!$G$9)</f>
        <v>0</v>
      </c>
      <c r="AJ85" s="47" t="n">
        <v>0</v>
      </c>
      <c r="AK85" s="47" t="n">
        <f aca="false">ROUND(AH85-AI85-AJ85,2)</f>
        <v>0</v>
      </c>
      <c r="AL85" s="47" t="n">
        <f aca="false">ROUND(AO84*(1+Sorted!$H$10),2)</f>
        <v>0</v>
      </c>
      <c r="AM85" s="47" t="n">
        <f aca="false">MIN(AL85,Sorted!$G$10)</f>
        <v>0</v>
      </c>
      <c r="AN85" s="47" t="n">
        <v>0</v>
      </c>
      <c r="AO85" s="47" t="n">
        <f aca="false">ROUND(AL85-AM85-AN85,2)</f>
        <v>0</v>
      </c>
      <c r="AP85" s="47" t="n">
        <f aca="false">ROUND(AS84*(1+Sorted!$H$11),2)</f>
        <v>0</v>
      </c>
      <c r="AQ85" s="47" t="n">
        <f aca="false">MIN(AP85,Sorted!$G$11)</f>
        <v>0</v>
      </c>
      <c r="AR85" s="47" t="n">
        <v>0</v>
      </c>
      <c r="AS85" s="47" t="n">
        <f aca="false">ROUND(AP85-AQ85-AR85,2)</f>
        <v>0</v>
      </c>
    </row>
    <row r="86" customFormat="false" ht="15" hidden="false" customHeight="false" outlineLevel="0" collapsed="false">
      <c r="A86" s="45" t="n">
        <v>83</v>
      </c>
      <c r="B86" s="46" t="n">
        <f aca="false">EDATE('My Debts'!$C$7,A86-1)</f>
        <v>48823</v>
      </c>
      <c r="C86" s="47" t="n">
        <v>0</v>
      </c>
      <c r="D86" s="47" t="n">
        <f aca="false">(F86+J86+N86+R86+V86+Z86+AD86+AH86+AL86+AP86)-(I86+M86+Q86+U86+Y86+AC86+AG86+AK86+AO86+AS86)</f>
        <v>0</v>
      </c>
      <c r="E86" s="48" t="n">
        <f aca="false">I86+M86+Q86+U86+Y86+AC86+AG86+AK86+AO86+AS86</f>
        <v>0</v>
      </c>
      <c r="F86" s="47" t="n">
        <f aca="false">ROUND(I85*(1+Sorted!$H$2),2)</f>
        <v>0</v>
      </c>
      <c r="G86" s="47" t="n">
        <f aca="false">MIN(F86,Sorted!$G$2)</f>
        <v>0</v>
      </c>
      <c r="H86" s="47" t="n">
        <v>0</v>
      </c>
      <c r="I86" s="47" t="n">
        <f aca="false">ROUND(F86-G86-H86,2)</f>
        <v>0</v>
      </c>
      <c r="J86" s="47" t="n">
        <f aca="false">ROUND(M85*(1+Sorted!$H$3),2)</f>
        <v>0</v>
      </c>
      <c r="K86" s="47" t="n">
        <f aca="false">MIN(J86,Sorted!$G$3)</f>
        <v>0</v>
      </c>
      <c r="L86" s="47" t="n">
        <v>0</v>
      </c>
      <c r="M86" s="47" t="n">
        <f aca="false">ROUND(J86-K86-L86,2)</f>
        <v>0</v>
      </c>
      <c r="N86" s="47" t="n">
        <f aca="false">ROUND(Q85*(1+Sorted!$H$4),2)</f>
        <v>0</v>
      </c>
      <c r="O86" s="47" t="n">
        <f aca="false">MIN(N86,Sorted!$G$4)</f>
        <v>0</v>
      </c>
      <c r="P86" s="47" t="n">
        <v>0</v>
      </c>
      <c r="Q86" s="47" t="n">
        <f aca="false">ROUND(N86-O86-P86,2)</f>
        <v>0</v>
      </c>
      <c r="R86" s="47" t="n">
        <f aca="false">ROUND(U85*(1+Sorted!$H$5),2)</f>
        <v>0</v>
      </c>
      <c r="S86" s="47" t="n">
        <f aca="false">MIN(R86,Sorted!$G$5)</f>
        <v>0</v>
      </c>
      <c r="T86" s="47" t="n">
        <v>0</v>
      </c>
      <c r="U86" s="47" t="n">
        <f aca="false">ROUND(R86-S86-T86,2)</f>
        <v>0</v>
      </c>
      <c r="V86" s="47" t="n">
        <f aca="false">ROUND(Y85*(1+Sorted!$H$6),2)</f>
        <v>0</v>
      </c>
      <c r="W86" s="47" t="n">
        <f aca="false">MIN(V86,Sorted!$G$6)</f>
        <v>0</v>
      </c>
      <c r="X86" s="47" t="n">
        <v>0</v>
      </c>
      <c r="Y86" s="47" t="n">
        <f aca="false">ROUND(V86-W86-X86,2)</f>
        <v>0</v>
      </c>
      <c r="Z86" s="47" t="n">
        <f aca="false">ROUND(AC85*(1+Sorted!$H$7),2)</f>
        <v>0</v>
      </c>
      <c r="AA86" s="47" t="n">
        <f aca="false">MIN(Z86,Sorted!$G$7)</f>
        <v>0</v>
      </c>
      <c r="AB86" s="47" t="n">
        <v>0</v>
      </c>
      <c r="AC86" s="47" t="n">
        <f aca="false">ROUND(Z86-AA86-AB86,2)</f>
        <v>0</v>
      </c>
      <c r="AD86" s="47" t="n">
        <f aca="false">ROUND(AG85*(1+Sorted!$H$8),2)</f>
        <v>0</v>
      </c>
      <c r="AE86" s="47" t="n">
        <f aca="false">MIN(AD86,Sorted!$G$8)</f>
        <v>0</v>
      </c>
      <c r="AF86" s="47" t="n">
        <v>0</v>
      </c>
      <c r="AG86" s="47" t="n">
        <f aca="false">ROUND(AD86-AE86-AF86,2)</f>
        <v>0</v>
      </c>
      <c r="AH86" s="47" t="n">
        <f aca="false">ROUND(AK85*(1+Sorted!$H$9),2)</f>
        <v>0</v>
      </c>
      <c r="AI86" s="47" t="n">
        <f aca="false">MIN(AH86,Sorted!$G$9)</f>
        <v>0</v>
      </c>
      <c r="AJ86" s="47" t="n">
        <v>0</v>
      </c>
      <c r="AK86" s="47" t="n">
        <f aca="false">ROUND(AH86-AI86-AJ86,2)</f>
        <v>0</v>
      </c>
      <c r="AL86" s="47" t="n">
        <f aca="false">ROUND(AO85*(1+Sorted!$H$10),2)</f>
        <v>0</v>
      </c>
      <c r="AM86" s="47" t="n">
        <f aca="false">MIN(AL86,Sorted!$G$10)</f>
        <v>0</v>
      </c>
      <c r="AN86" s="47" t="n">
        <v>0</v>
      </c>
      <c r="AO86" s="47" t="n">
        <f aca="false">ROUND(AL86-AM86-AN86,2)</f>
        <v>0</v>
      </c>
      <c r="AP86" s="47" t="n">
        <f aca="false">ROUND(AS85*(1+Sorted!$H$11),2)</f>
        <v>0</v>
      </c>
      <c r="AQ86" s="47" t="n">
        <f aca="false">MIN(AP86,Sorted!$G$11)</f>
        <v>0</v>
      </c>
      <c r="AR86" s="47" t="n">
        <v>0</v>
      </c>
      <c r="AS86" s="47" t="n">
        <f aca="false">ROUND(AP86-AQ86-AR86,2)</f>
        <v>0</v>
      </c>
    </row>
    <row r="87" customFormat="false" ht="15" hidden="false" customHeight="false" outlineLevel="0" collapsed="false">
      <c r="A87" s="45" t="n">
        <v>84</v>
      </c>
      <c r="B87" s="46" t="n">
        <f aca="false">EDATE('My Debts'!$C$7,A87-1)</f>
        <v>48853</v>
      </c>
      <c r="C87" s="47" t="n">
        <v>0</v>
      </c>
      <c r="D87" s="47" t="n">
        <f aca="false">(F87+J87+N87+R87+V87+Z87+AD87+AH87+AL87+AP87)-(I87+M87+Q87+U87+Y87+AC87+AG87+AK87+AO87+AS87)</f>
        <v>0</v>
      </c>
      <c r="E87" s="48" t="n">
        <f aca="false">I87+M87+Q87+U87+Y87+AC87+AG87+AK87+AO87+AS87</f>
        <v>0</v>
      </c>
      <c r="F87" s="47" t="n">
        <f aca="false">ROUND(I86*(1+Sorted!$H$2),2)</f>
        <v>0</v>
      </c>
      <c r="G87" s="47" t="n">
        <f aca="false">MIN(F87,Sorted!$G$2)</f>
        <v>0</v>
      </c>
      <c r="H87" s="47" t="n">
        <v>0</v>
      </c>
      <c r="I87" s="47" t="n">
        <f aca="false">ROUND(F87-G87-H87,2)</f>
        <v>0</v>
      </c>
      <c r="J87" s="47" t="n">
        <f aca="false">ROUND(M86*(1+Sorted!$H$3),2)</f>
        <v>0</v>
      </c>
      <c r="K87" s="47" t="n">
        <f aca="false">MIN(J87,Sorted!$G$3)</f>
        <v>0</v>
      </c>
      <c r="L87" s="47" t="n">
        <v>0</v>
      </c>
      <c r="M87" s="47" t="n">
        <f aca="false">ROUND(J87-K87-L87,2)</f>
        <v>0</v>
      </c>
      <c r="N87" s="47" t="n">
        <f aca="false">ROUND(Q86*(1+Sorted!$H$4),2)</f>
        <v>0</v>
      </c>
      <c r="O87" s="47" t="n">
        <f aca="false">MIN(N87,Sorted!$G$4)</f>
        <v>0</v>
      </c>
      <c r="P87" s="47" t="n">
        <v>0</v>
      </c>
      <c r="Q87" s="47" t="n">
        <f aca="false">ROUND(N87-O87-P87,2)</f>
        <v>0</v>
      </c>
      <c r="R87" s="47" t="n">
        <f aca="false">ROUND(U86*(1+Sorted!$H$5),2)</f>
        <v>0</v>
      </c>
      <c r="S87" s="47" t="n">
        <f aca="false">MIN(R87,Sorted!$G$5)</f>
        <v>0</v>
      </c>
      <c r="T87" s="47" t="n">
        <v>0</v>
      </c>
      <c r="U87" s="47" t="n">
        <f aca="false">ROUND(R87-S87-T87,2)</f>
        <v>0</v>
      </c>
      <c r="V87" s="47" t="n">
        <f aca="false">ROUND(Y86*(1+Sorted!$H$6),2)</f>
        <v>0</v>
      </c>
      <c r="W87" s="47" t="n">
        <f aca="false">MIN(V87,Sorted!$G$6)</f>
        <v>0</v>
      </c>
      <c r="X87" s="47" t="n">
        <v>0</v>
      </c>
      <c r="Y87" s="47" t="n">
        <f aca="false">ROUND(V87-W87-X87,2)</f>
        <v>0</v>
      </c>
      <c r="Z87" s="47" t="n">
        <f aca="false">ROUND(AC86*(1+Sorted!$H$7),2)</f>
        <v>0</v>
      </c>
      <c r="AA87" s="47" t="n">
        <f aca="false">MIN(Z87,Sorted!$G$7)</f>
        <v>0</v>
      </c>
      <c r="AB87" s="47" t="n">
        <v>0</v>
      </c>
      <c r="AC87" s="47" t="n">
        <f aca="false">ROUND(Z87-AA87-AB87,2)</f>
        <v>0</v>
      </c>
      <c r="AD87" s="47" t="n">
        <f aca="false">ROUND(AG86*(1+Sorted!$H$8),2)</f>
        <v>0</v>
      </c>
      <c r="AE87" s="47" t="n">
        <f aca="false">MIN(AD87,Sorted!$G$8)</f>
        <v>0</v>
      </c>
      <c r="AF87" s="47" t="n">
        <v>0</v>
      </c>
      <c r="AG87" s="47" t="n">
        <f aca="false">ROUND(AD87-AE87-AF87,2)</f>
        <v>0</v>
      </c>
      <c r="AH87" s="47" t="n">
        <f aca="false">ROUND(AK86*(1+Sorted!$H$9),2)</f>
        <v>0</v>
      </c>
      <c r="AI87" s="47" t="n">
        <f aca="false">MIN(AH87,Sorted!$G$9)</f>
        <v>0</v>
      </c>
      <c r="AJ87" s="47" t="n">
        <v>0</v>
      </c>
      <c r="AK87" s="47" t="n">
        <f aca="false">ROUND(AH87-AI87-AJ87,2)</f>
        <v>0</v>
      </c>
      <c r="AL87" s="47" t="n">
        <f aca="false">ROUND(AO86*(1+Sorted!$H$10),2)</f>
        <v>0</v>
      </c>
      <c r="AM87" s="47" t="n">
        <f aca="false">MIN(AL87,Sorted!$G$10)</f>
        <v>0</v>
      </c>
      <c r="AN87" s="47" t="n">
        <v>0</v>
      </c>
      <c r="AO87" s="47" t="n">
        <f aca="false">ROUND(AL87-AM87-AN87,2)</f>
        <v>0</v>
      </c>
      <c r="AP87" s="47" t="n">
        <f aca="false">ROUND(AS86*(1+Sorted!$H$11),2)</f>
        <v>0</v>
      </c>
      <c r="AQ87" s="47" t="n">
        <f aca="false">MIN(AP87,Sorted!$G$11)</f>
        <v>0</v>
      </c>
      <c r="AR87" s="47" t="n">
        <v>0</v>
      </c>
      <c r="AS87" s="47" t="n">
        <f aca="false">ROUND(AP87-AQ87-AR87,2)</f>
        <v>0</v>
      </c>
    </row>
    <row r="88" customFormat="false" ht="15" hidden="false" customHeight="false" outlineLevel="0" collapsed="false">
      <c r="A88" s="45" t="n">
        <v>85</v>
      </c>
      <c r="B88" s="46" t="n">
        <f aca="false">EDATE('My Debts'!$C$7,A88-1)</f>
        <v>48884</v>
      </c>
      <c r="C88" s="47" t="n">
        <v>0</v>
      </c>
      <c r="D88" s="47" t="n">
        <f aca="false">(F88+J88+N88+R88+V88+Z88+AD88+AH88+AL88+AP88)-(I88+M88+Q88+U88+Y88+AC88+AG88+AK88+AO88+AS88)</f>
        <v>0</v>
      </c>
      <c r="E88" s="48" t="n">
        <f aca="false">I88+M88+Q88+U88+Y88+AC88+AG88+AK88+AO88+AS88</f>
        <v>0</v>
      </c>
      <c r="F88" s="47" t="n">
        <f aca="false">ROUND(I87*(1+Sorted!$H$2),2)</f>
        <v>0</v>
      </c>
      <c r="G88" s="47" t="n">
        <f aca="false">MIN(F88,Sorted!$G$2)</f>
        <v>0</v>
      </c>
      <c r="H88" s="47" t="n">
        <v>0</v>
      </c>
      <c r="I88" s="47" t="n">
        <f aca="false">ROUND(F88-G88-H88,2)</f>
        <v>0</v>
      </c>
      <c r="J88" s="47" t="n">
        <f aca="false">ROUND(M87*(1+Sorted!$H$3),2)</f>
        <v>0</v>
      </c>
      <c r="K88" s="47" t="n">
        <f aca="false">MIN(J88,Sorted!$G$3)</f>
        <v>0</v>
      </c>
      <c r="L88" s="47" t="n">
        <v>0</v>
      </c>
      <c r="M88" s="47" t="n">
        <f aca="false">ROUND(J88-K88-L88,2)</f>
        <v>0</v>
      </c>
      <c r="N88" s="47" t="n">
        <f aca="false">ROUND(Q87*(1+Sorted!$H$4),2)</f>
        <v>0</v>
      </c>
      <c r="O88" s="47" t="n">
        <f aca="false">MIN(N88,Sorted!$G$4)</f>
        <v>0</v>
      </c>
      <c r="P88" s="47" t="n">
        <v>0</v>
      </c>
      <c r="Q88" s="47" t="n">
        <f aca="false">ROUND(N88-O88-P88,2)</f>
        <v>0</v>
      </c>
      <c r="R88" s="47" t="n">
        <f aca="false">ROUND(U87*(1+Sorted!$H$5),2)</f>
        <v>0</v>
      </c>
      <c r="S88" s="47" t="n">
        <f aca="false">MIN(R88,Sorted!$G$5)</f>
        <v>0</v>
      </c>
      <c r="T88" s="47" t="n">
        <v>0</v>
      </c>
      <c r="U88" s="47" t="n">
        <f aca="false">ROUND(R88-S88-T88,2)</f>
        <v>0</v>
      </c>
      <c r="V88" s="47" t="n">
        <f aca="false">ROUND(Y87*(1+Sorted!$H$6),2)</f>
        <v>0</v>
      </c>
      <c r="W88" s="47" t="n">
        <f aca="false">MIN(V88,Sorted!$G$6)</f>
        <v>0</v>
      </c>
      <c r="X88" s="47" t="n">
        <v>0</v>
      </c>
      <c r="Y88" s="47" t="n">
        <f aca="false">ROUND(V88-W88-X88,2)</f>
        <v>0</v>
      </c>
      <c r="Z88" s="47" t="n">
        <f aca="false">ROUND(AC87*(1+Sorted!$H$7),2)</f>
        <v>0</v>
      </c>
      <c r="AA88" s="47" t="n">
        <f aca="false">MIN(Z88,Sorted!$G$7)</f>
        <v>0</v>
      </c>
      <c r="AB88" s="47" t="n">
        <v>0</v>
      </c>
      <c r="AC88" s="47" t="n">
        <f aca="false">ROUND(Z88-AA88-AB88,2)</f>
        <v>0</v>
      </c>
      <c r="AD88" s="47" t="n">
        <f aca="false">ROUND(AG87*(1+Sorted!$H$8),2)</f>
        <v>0</v>
      </c>
      <c r="AE88" s="47" t="n">
        <f aca="false">MIN(AD88,Sorted!$G$8)</f>
        <v>0</v>
      </c>
      <c r="AF88" s="47" t="n">
        <v>0</v>
      </c>
      <c r="AG88" s="47" t="n">
        <f aca="false">ROUND(AD88-AE88-AF88,2)</f>
        <v>0</v>
      </c>
      <c r="AH88" s="47" t="n">
        <f aca="false">ROUND(AK87*(1+Sorted!$H$9),2)</f>
        <v>0</v>
      </c>
      <c r="AI88" s="47" t="n">
        <f aca="false">MIN(AH88,Sorted!$G$9)</f>
        <v>0</v>
      </c>
      <c r="AJ88" s="47" t="n">
        <v>0</v>
      </c>
      <c r="AK88" s="47" t="n">
        <f aca="false">ROUND(AH88-AI88-AJ88,2)</f>
        <v>0</v>
      </c>
      <c r="AL88" s="47" t="n">
        <f aca="false">ROUND(AO87*(1+Sorted!$H$10),2)</f>
        <v>0</v>
      </c>
      <c r="AM88" s="47" t="n">
        <f aca="false">MIN(AL88,Sorted!$G$10)</f>
        <v>0</v>
      </c>
      <c r="AN88" s="47" t="n">
        <v>0</v>
      </c>
      <c r="AO88" s="47" t="n">
        <f aca="false">ROUND(AL88-AM88-AN88,2)</f>
        <v>0</v>
      </c>
      <c r="AP88" s="47" t="n">
        <f aca="false">ROUND(AS87*(1+Sorted!$H$11),2)</f>
        <v>0</v>
      </c>
      <c r="AQ88" s="47" t="n">
        <f aca="false">MIN(AP88,Sorted!$G$11)</f>
        <v>0</v>
      </c>
      <c r="AR88" s="47" t="n">
        <v>0</v>
      </c>
      <c r="AS88" s="47" t="n">
        <f aca="false">ROUND(AP88-AQ88-AR88,2)</f>
        <v>0</v>
      </c>
    </row>
    <row r="89" customFormat="false" ht="15" hidden="false" customHeight="false" outlineLevel="0" collapsed="false">
      <c r="A89" s="45" t="n">
        <v>86</v>
      </c>
      <c r="B89" s="46" t="n">
        <f aca="false">EDATE('My Debts'!$C$7,A89-1)</f>
        <v>48914</v>
      </c>
      <c r="C89" s="47" t="n">
        <v>0</v>
      </c>
      <c r="D89" s="47" t="n">
        <f aca="false">(F89+J89+N89+R89+V89+Z89+AD89+AH89+AL89+AP89)-(I89+M89+Q89+U89+Y89+AC89+AG89+AK89+AO89+AS89)</f>
        <v>0</v>
      </c>
      <c r="E89" s="48" t="n">
        <f aca="false">I89+M89+Q89+U89+Y89+AC89+AG89+AK89+AO89+AS89</f>
        <v>0</v>
      </c>
      <c r="F89" s="47" t="n">
        <f aca="false">ROUND(I88*(1+Sorted!$H$2),2)</f>
        <v>0</v>
      </c>
      <c r="G89" s="47" t="n">
        <f aca="false">MIN(F89,Sorted!$G$2)</f>
        <v>0</v>
      </c>
      <c r="H89" s="47" t="n">
        <v>0</v>
      </c>
      <c r="I89" s="47" t="n">
        <f aca="false">ROUND(F89-G89-H89,2)</f>
        <v>0</v>
      </c>
      <c r="J89" s="47" t="n">
        <f aca="false">ROUND(M88*(1+Sorted!$H$3),2)</f>
        <v>0</v>
      </c>
      <c r="K89" s="47" t="n">
        <f aca="false">MIN(J89,Sorted!$G$3)</f>
        <v>0</v>
      </c>
      <c r="L89" s="47" t="n">
        <v>0</v>
      </c>
      <c r="M89" s="47" t="n">
        <f aca="false">ROUND(J89-K89-L89,2)</f>
        <v>0</v>
      </c>
      <c r="N89" s="47" t="n">
        <f aca="false">ROUND(Q88*(1+Sorted!$H$4),2)</f>
        <v>0</v>
      </c>
      <c r="O89" s="47" t="n">
        <f aca="false">MIN(N89,Sorted!$G$4)</f>
        <v>0</v>
      </c>
      <c r="P89" s="47" t="n">
        <v>0</v>
      </c>
      <c r="Q89" s="47" t="n">
        <f aca="false">ROUND(N89-O89-P89,2)</f>
        <v>0</v>
      </c>
      <c r="R89" s="47" t="n">
        <f aca="false">ROUND(U88*(1+Sorted!$H$5),2)</f>
        <v>0</v>
      </c>
      <c r="S89" s="47" t="n">
        <f aca="false">MIN(R89,Sorted!$G$5)</f>
        <v>0</v>
      </c>
      <c r="T89" s="47" t="n">
        <v>0</v>
      </c>
      <c r="U89" s="47" t="n">
        <f aca="false">ROUND(R89-S89-T89,2)</f>
        <v>0</v>
      </c>
      <c r="V89" s="47" t="n">
        <f aca="false">ROUND(Y88*(1+Sorted!$H$6),2)</f>
        <v>0</v>
      </c>
      <c r="W89" s="47" t="n">
        <f aca="false">MIN(V89,Sorted!$G$6)</f>
        <v>0</v>
      </c>
      <c r="X89" s="47" t="n">
        <v>0</v>
      </c>
      <c r="Y89" s="47" t="n">
        <f aca="false">ROUND(V89-W89-X89,2)</f>
        <v>0</v>
      </c>
      <c r="Z89" s="47" t="n">
        <f aca="false">ROUND(AC88*(1+Sorted!$H$7),2)</f>
        <v>0</v>
      </c>
      <c r="AA89" s="47" t="n">
        <f aca="false">MIN(Z89,Sorted!$G$7)</f>
        <v>0</v>
      </c>
      <c r="AB89" s="47" t="n">
        <v>0</v>
      </c>
      <c r="AC89" s="47" t="n">
        <f aca="false">ROUND(Z89-AA89-AB89,2)</f>
        <v>0</v>
      </c>
      <c r="AD89" s="47" t="n">
        <f aca="false">ROUND(AG88*(1+Sorted!$H$8),2)</f>
        <v>0</v>
      </c>
      <c r="AE89" s="47" t="n">
        <f aca="false">MIN(AD89,Sorted!$G$8)</f>
        <v>0</v>
      </c>
      <c r="AF89" s="47" t="n">
        <v>0</v>
      </c>
      <c r="AG89" s="47" t="n">
        <f aca="false">ROUND(AD89-AE89-AF89,2)</f>
        <v>0</v>
      </c>
      <c r="AH89" s="47" t="n">
        <f aca="false">ROUND(AK88*(1+Sorted!$H$9),2)</f>
        <v>0</v>
      </c>
      <c r="AI89" s="47" t="n">
        <f aca="false">MIN(AH89,Sorted!$G$9)</f>
        <v>0</v>
      </c>
      <c r="AJ89" s="47" t="n">
        <v>0</v>
      </c>
      <c r="AK89" s="47" t="n">
        <f aca="false">ROUND(AH89-AI89-AJ89,2)</f>
        <v>0</v>
      </c>
      <c r="AL89" s="47" t="n">
        <f aca="false">ROUND(AO88*(1+Sorted!$H$10),2)</f>
        <v>0</v>
      </c>
      <c r="AM89" s="47" t="n">
        <f aca="false">MIN(AL89,Sorted!$G$10)</f>
        <v>0</v>
      </c>
      <c r="AN89" s="47" t="n">
        <v>0</v>
      </c>
      <c r="AO89" s="47" t="n">
        <f aca="false">ROUND(AL89-AM89-AN89,2)</f>
        <v>0</v>
      </c>
      <c r="AP89" s="47" t="n">
        <f aca="false">ROUND(AS88*(1+Sorted!$H$11),2)</f>
        <v>0</v>
      </c>
      <c r="AQ89" s="47" t="n">
        <f aca="false">MIN(AP89,Sorted!$G$11)</f>
        <v>0</v>
      </c>
      <c r="AR89" s="47" t="n">
        <v>0</v>
      </c>
      <c r="AS89" s="47" t="n">
        <f aca="false">ROUND(AP89-AQ89-AR89,2)</f>
        <v>0</v>
      </c>
    </row>
    <row r="90" customFormat="false" ht="15" hidden="false" customHeight="false" outlineLevel="0" collapsed="false">
      <c r="A90" s="45" t="n">
        <v>87</v>
      </c>
      <c r="B90" s="46" t="n">
        <f aca="false">EDATE('My Debts'!$C$7,A90-1)</f>
        <v>48945</v>
      </c>
      <c r="C90" s="47" t="n">
        <v>0</v>
      </c>
      <c r="D90" s="47" t="n">
        <f aca="false">(F90+J90+N90+R90+V90+Z90+AD90+AH90+AL90+AP90)-(I90+M90+Q90+U90+Y90+AC90+AG90+AK90+AO90+AS90)</f>
        <v>0</v>
      </c>
      <c r="E90" s="48" t="n">
        <f aca="false">I90+M90+Q90+U90+Y90+AC90+AG90+AK90+AO90+AS90</f>
        <v>0</v>
      </c>
      <c r="F90" s="47" t="n">
        <f aca="false">ROUND(I89*(1+Sorted!$H$2),2)</f>
        <v>0</v>
      </c>
      <c r="G90" s="47" t="n">
        <f aca="false">MIN(F90,Sorted!$G$2)</f>
        <v>0</v>
      </c>
      <c r="H90" s="47" t="n">
        <v>0</v>
      </c>
      <c r="I90" s="47" t="n">
        <f aca="false">ROUND(F90-G90-H90,2)</f>
        <v>0</v>
      </c>
      <c r="J90" s="47" t="n">
        <f aca="false">ROUND(M89*(1+Sorted!$H$3),2)</f>
        <v>0</v>
      </c>
      <c r="K90" s="47" t="n">
        <f aca="false">MIN(J90,Sorted!$G$3)</f>
        <v>0</v>
      </c>
      <c r="L90" s="47" t="n">
        <v>0</v>
      </c>
      <c r="M90" s="47" t="n">
        <f aca="false">ROUND(J90-K90-L90,2)</f>
        <v>0</v>
      </c>
      <c r="N90" s="47" t="n">
        <f aca="false">ROUND(Q89*(1+Sorted!$H$4),2)</f>
        <v>0</v>
      </c>
      <c r="O90" s="47" t="n">
        <f aca="false">MIN(N90,Sorted!$G$4)</f>
        <v>0</v>
      </c>
      <c r="P90" s="47" t="n">
        <v>0</v>
      </c>
      <c r="Q90" s="47" t="n">
        <f aca="false">ROUND(N90-O90-P90,2)</f>
        <v>0</v>
      </c>
      <c r="R90" s="47" t="n">
        <f aca="false">ROUND(U89*(1+Sorted!$H$5),2)</f>
        <v>0</v>
      </c>
      <c r="S90" s="47" t="n">
        <f aca="false">MIN(R90,Sorted!$G$5)</f>
        <v>0</v>
      </c>
      <c r="T90" s="47" t="n">
        <v>0</v>
      </c>
      <c r="U90" s="47" t="n">
        <f aca="false">ROUND(R90-S90-T90,2)</f>
        <v>0</v>
      </c>
      <c r="V90" s="47" t="n">
        <f aca="false">ROUND(Y89*(1+Sorted!$H$6),2)</f>
        <v>0</v>
      </c>
      <c r="W90" s="47" t="n">
        <f aca="false">MIN(V90,Sorted!$G$6)</f>
        <v>0</v>
      </c>
      <c r="X90" s="47" t="n">
        <v>0</v>
      </c>
      <c r="Y90" s="47" t="n">
        <f aca="false">ROUND(V90-W90-X90,2)</f>
        <v>0</v>
      </c>
      <c r="Z90" s="47" t="n">
        <f aca="false">ROUND(AC89*(1+Sorted!$H$7),2)</f>
        <v>0</v>
      </c>
      <c r="AA90" s="47" t="n">
        <f aca="false">MIN(Z90,Sorted!$G$7)</f>
        <v>0</v>
      </c>
      <c r="AB90" s="47" t="n">
        <v>0</v>
      </c>
      <c r="AC90" s="47" t="n">
        <f aca="false">ROUND(Z90-AA90-AB90,2)</f>
        <v>0</v>
      </c>
      <c r="AD90" s="47" t="n">
        <f aca="false">ROUND(AG89*(1+Sorted!$H$8),2)</f>
        <v>0</v>
      </c>
      <c r="AE90" s="47" t="n">
        <f aca="false">MIN(AD90,Sorted!$G$8)</f>
        <v>0</v>
      </c>
      <c r="AF90" s="47" t="n">
        <v>0</v>
      </c>
      <c r="AG90" s="47" t="n">
        <f aca="false">ROUND(AD90-AE90-AF90,2)</f>
        <v>0</v>
      </c>
      <c r="AH90" s="47" t="n">
        <f aca="false">ROUND(AK89*(1+Sorted!$H$9),2)</f>
        <v>0</v>
      </c>
      <c r="AI90" s="47" t="n">
        <f aca="false">MIN(AH90,Sorted!$G$9)</f>
        <v>0</v>
      </c>
      <c r="AJ90" s="47" t="n">
        <v>0</v>
      </c>
      <c r="AK90" s="47" t="n">
        <f aca="false">ROUND(AH90-AI90-AJ90,2)</f>
        <v>0</v>
      </c>
      <c r="AL90" s="47" t="n">
        <f aca="false">ROUND(AO89*(1+Sorted!$H$10),2)</f>
        <v>0</v>
      </c>
      <c r="AM90" s="47" t="n">
        <f aca="false">MIN(AL90,Sorted!$G$10)</f>
        <v>0</v>
      </c>
      <c r="AN90" s="47" t="n">
        <v>0</v>
      </c>
      <c r="AO90" s="47" t="n">
        <f aca="false">ROUND(AL90-AM90-AN90,2)</f>
        <v>0</v>
      </c>
      <c r="AP90" s="47" t="n">
        <f aca="false">ROUND(AS89*(1+Sorted!$H$11),2)</f>
        <v>0</v>
      </c>
      <c r="AQ90" s="47" t="n">
        <f aca="false">MIN(AP90,Sorted!$G$11)</f>
        <v>0</v>
      </c>
      <c r="AR90" s="47" t="n">
        <v>0</v>
      </c>
      <c r="AS90" s="47" t="n">
        <f aca="false">ROUND(AP90-AQ90-AR90,2)</f>
        <v>0</v>
      </c>
    </row>
    <row r="91" customFormat="false" ht="15" hidden="false" customHeight="false" outlineLevel="0" collapsed="false">
      <c r="A91" s="45" t="n">
        <v>88</v>
      </c>
      <c r="B91" s="46" t="n">
        <f aca="false">EDATE('My Debts'!$C$7,A91-1)</f>
        <v>48976</v>
      </c>
      <c r="C91" s="47" t="n">
        <v>0</v>
      </c>
      <c r="D91" s="47" t="n">
        <f aca="false">(F91+J91+N91+R91+V91+Z91+AD91+AH91+AL91+AP91)-(I91+M91+Q91+U91+Y91+AC91+AG91+AK91+AO91+AS91)</f>
        <v>0</v>
      </c>
      <c r="E91" s="48" t="n">
        <f aca="false">I91+M91+Q91+U91+Y91+AC91+AG91+AK91+AO91+AS91</f>
        <v>0</v>
      </c>
      <c r="F91" s="47" t="n">
        <f aca="false">ROUND(I90*(1+Sorted!$H$2),2)</f>
        <v>0</v>
      </c>
      <c r="G91" s="47" t="n">
        <f aca="false">MIN(F91,Sorted!$G$2)</f>
        <v>0</v>
      </c>
      <c r="H91" s="47" t="n">
        <v>0</v>
      </c>
      <c r="I91" s="47" t="n">
        <f aca="false">ROUND(F91-G91-H91,2)</f>
        <v>0</v>
      </c>
      <c r="J91" s="47" t="n">
        <f aca="false">ROUND(M90*(1+Sorted!$H$3),2)</f>
        <v>0</v>
      </c>
      <c r="K91" s="47" t="n">
        <f aca="false">MIN(J91,Sorted!$G$3)</f>
        <v>0</v>
      </c>
      <c r="L91" s="47" t="n">
        <v>0</v>
      </c>
      <c r="M91" s="47" t="n">
        <f aca="false">ROUND(J91-K91-L91,2)</f>
        <v>0</v>
      </c>
      <c r="N91" s="47" t="n">
        <f aca="false">ROUND(Q90*(1+Sorted!$H$4),2)</f>
        <v>0</v>
      </c>
      <c r="O91" s="47" t="n">
        <f aca="false">MIN(N91,Sorted!$G$4)</f>
        <v>0</v>
      </c>
      <c r="P91" s="47" t="n">
        <v>0</v>
      </c>
      <c r="Q91" s="47" t="n">
        <f aca="false">ROUND(N91-O91-P91,2)</f>
        <v>0</v>
      </c>
      <c r="R91" s="47" t="n">
        <f aca="false">ROUND(U90*(1+Sorted!$H$5),2)</f>
        <v>0</v>
      </c>
      <c r="S91" s="47" t="n">
        <f aca="false">MIN(R91,Sorted!$G$5)</f>
        <v>0</v>
      </c>
      <c r="T91" s="47" t="n">
        <v>0</v>
      </c>
      <c r="U91" s="47" t="n">
        <f aca="false">ROUND(R91-S91-T91,2)</f>
        <v>0</v>
      </c>
      <c r="V91" s="47" t="n">
        <f aca="false">ROUND(Y90*(1+Sorted!$H$6),2)</f>
        <v>0</v>
      </c>
      <c r="W91" s="47" t="n">
        <f aca="false">MIN(V91,Sorted!$G$6)</f>
        <v>0</v>
      </c>
      <c r="X91" s="47" t="n">
        <v>0</v>
      </c>
      <c r="Y91" s="47" t="n">
        <f aca="false">ROUND(V91-W91-X91,2)</f>
        <v>0</v>
      </c>
      <c r="Z91" s="47" t="n">
        <f aca="false">ROUND(AC90*(1+Sorted!$H$7),2)</f>
        <v>0</v>
      </c>
      <c r="AA91" s="47" t="n">
        <f aca="false">MIN(Z91,Sorted!$G$7)</f>
        <v>0</v>
      </c>
      <c r="AB91" s="47" t="n">
        <v>0</v>
      </c>
      <c r="AC91" s="47" t="n">
        <f aca="false">ROUND(Z91-AA91-AB91,2)</f>
        <v>0</v>
      </c>
      <c r="AD91" s="47" t="n">
        <f aca="false">ROUND(AG90*(1+Sorted!$H$8),2)</f>
        <v>0</v>
      </c>
      <c r="AE91" s="47" t="n">
        <f aca="false">MIN(AD91,Sorted!$G$8)</f>
        <v>0</v>
      </c>
      <c r="AF91" s="47" t="n">
        <v>0</v>
      </c>
      <c r="AG91" s="47" t="n">
        <f aca="false">ROUND(AD91-AE91-AF91,2)</f>
        <v>0</v>
      </c>
      <c r="AH91" s="47" t="n">
        <f aca="false">ROUND(AK90*(1+Sorted!$H$9),2)</f>
        <v>0</v>
      </c>
      <c r="AI91" s="47" t="n">
        <f aca="false">MIN(AH91,Sorted!$G$9)</f>
        <v>0</v>
      </c>
      <c r="AJ91" s="47" t="n">
        <v>0</v>
      </c>
      <c r="AK91" s="47" t="n">
        <f aca="false">ROUND(AH91-AI91-AJ91,2)</f>
        <v>0</v>
      </c>
      <c r="AL91" s="47" t="n">
        <f aca="false">ROUND(AO90*(1+Sorted!$H$10),2)</f>
        <v>0</v>
      </c>
      <c r="AM91" s="47" t="n">
        <f aca="false">MIN(AL91,Sorted!$G$10)</f>
        <v>0</v>
      </c>
      <c r="AN91" s="47" t="n">
        <v>0</v>
      </c>
      <c r="AO91" s="47" t="n">
        <f aca="false">ROUND(AL91-AM91-AN91,2)</f>
        <v>0</v>
      </c>
      <c r="AP91" s="47" t="n">
        <f aca="false">ROUND(AS90*(1+Sorted!$H$11),2)</f>
        <v>0</v>
      </c>
      <c r="AQ91" s="47" t="n">
        <f aca="false">MIN(AP91,Sorted!$G$11)</f>
        <v>0</v>
      </c>
      <c r="AR91" s="47" t="n">
        <v>0</v>
      </c>
      <c r="AS91" s="47" t="n">
        <f aca="false">ROUND(AP91-AQ91-AR91,2)</f>
        <v>0</v>
      </c>
    </row>
    <row r="92" customFormat="false" ht="15" hidden="false" customHeight="false" outlineLevel="0" collapsed="false">
      <c r="A92" s="45" t="n">
        <v>89</v>
      </c>
      <c r="B92" s="46" t="n">
        <f aca="false">EDATE('My Debts'!$C$7,A92-1)</f>
        <v>49004</v>
      </c>
      <c r="C92" s="47" t="n">
        <v>0</v>
      </c>
      <c r="D92" s="47" t="n">
        <f aca="false">(F92+J92+N92+R92+V92+Z92+AD92+AH92+AL92+AP92)-(I92+M92+Q92+U92+Y92+AC92+AG92+AK92+AO92+AS92)</f>
        <v>0</v>
      </c>
      <c r="E92" s="48" t="n">
        <f aca="false">I92+M92+Q92+U92+Y92+AC92+AG92+AK92+AO92+AS92</f>
        <v>0</v>
      </c>
      <c r="F92" s="47" t="n">
        <f aca="false">ROUND(I91*(1+Sorted!$H$2),2)</f>
        <v>0</v>
      </c>
      <c r="G92" s="47" t="n">
        <f aca="false">MIN(F92,Sorted!$G$2)</f>
        <v>0</v>
      </c>
      <c r="H92" s="47" t="n">
        <v>0</v>
      </c>
      <c r="I92" s="47" t="n">
        <f aca="false">ROUND(F92-G92-H92,2)</f>
        <v>0</v>
      </c>
      <c r="J92" s="47" t="n">
        <f aca="false">ROUND(M91*(1+Sorted!$H$3),2)</f>
        <v>0</v>
      </c>
      <c r="K92" s="47" t="n">
        <f aca="false">MIN(J92,Sorted!$G$3)</f>
        <v>0</v>
      </c>
      <c r="L92" s="47" t="n">
        <v>0</v>
      </c>
      <c r="M92" s="47" t="n">
        <f aca="false">ROUND(J92-K92-L92,2)</f>
        <v>0</v>
      </c>
      <c r="N92" s="47" t="n">
        <f aca="false">ROUND(Q91*(1+Sorted!$H$4),2)</f>
        <v>0</v>
      </c>
      <c r="O92" s="47" t="n">
        <f aca="false">MIN(N92,Sorted!$G$4)</f>
        <v>0</v>
      </c>
      <c r="P92" s="47" t="n">
        <v>0</v>
      </c>
      <c r="Q92" s="47" t="n">
        <f aca="false">ROUND(N92-O92-P92,2)</f>
        <v>0</v>
      </c>
      <c r="R92" s="47" t="n">
        <f aca="false">ROUND(U91*(1+Sorted!$H$5),2)</f>
        <v>0</v>
      </c>
      <c r="S92" s="47" t="n">
        <f aca="false">MIN(R92,Sorted!$G$5)</f>
        <v>0</v>
      </c>
      <c r="T92" s="47" t="n">
        <v>0</v>
      </c>
      <c r="U92" s="47" t="n">
        <f aca="false">ROUND(R92-S92-T92,2)</f>
        <v>0</v>
      </c>
      <c r="V92" s="47" t="n">
        <f aca="false">ROUND(Y91*(1+Sorted!$H$6),2)</f>
        <v>0</v>
      </c>
      <c r="W92" s="47" t="n">
        <f aca="false">MIN(V92,Sorted!$G$6)</f>
        <v>0</v>
      </c>
      <c r="X92" s="47" t="n">
        <v>0</v>
      </c>
      <c r="Y92" s="47" t="n">
        <f aca="false">ROUND(V92-W92-X92,2)</f>
        <v>0</v>
      </c>
      <c r="Z92" s="47" t="n">
        <f aca="false">ROUND(AC91*(1+Sorted!$H$7),2)</f>
        <v>0</v>
      </c>
      <c r="AA92" s="47" t="n">
        <f aca="false">MIN(Z92,Sorted!$G$7)</f>
        <v>0</v>
      </c>
      <c r="AB92" s="47" t="n">
        <v>0</v>
      </c>
      <c r="AC92" s="47" t="n">
        <f aca="false">ROUND(Z92-AA92-AB92,2)</f>
        <v>0</v>
      </c>
      <c r="AD92" s="47" t="n">
        <f aca="false">ROUND(AG91*(1+Sorted!$H$8),2)</f>
        <v>0</v>
      </c>
      <c r="AE92" s="47" t="n">
        <f aca="false">MIN(AD92,Sorted!$G$8)</f>
        <v>0</v>
      </c>
      <c r="AF92" s="47" t="n">
        <v>0</v>
      </c>
      <c r="AG92" s="47" t="n">
        <f aca="false">ROUND(AD92-AE92-AF92,2)</f>
        <v>0</v>
      </c>
      <c r="AH92" s="47" t="n">
        <f aca="false">ROUND(AK91*(1+Sorted!$H$9),2)</f>
        <v>0</v>
      </c>
      <c r="AI92" s="47" t="n">
        <f aca="false">MIN(AH92,Sorted!$G$9)</f>
        <v>0</v>
      </c>
      <c r="AJ92" s="47" t="n">
        <v>0</v>
      </c>
      <c r="AK92" s="47" t="n">
        <f aca="false">ROUND(AH92-AI92-AJ92,2)</f>
        <v>0</v>
      </c>
      <c r="AL92" s="47" t="n">
        <f aca="false">ROUND(AO91*(1+Sorted!$H$10),2)</f>
        <v>0</v>
      </c>
      <c r="AM92" s="47" t="n">
        <f aca="false">MIN(AL92,Sorted!$G$10)</f>
        <v>0</v>
      </c>
      <c r="AN92" s="47" t="n">
        <v>0</v>
      </c>
      <c r="AO92" s="47" t="n">
        <f aca="false">ROUND(AL92-AM92-AN92,2)</f>
        <v>0</v>
      </c>
      <c r="AP92" s="47" t="n">
        <f aca="false">ROUND(AS91*(1+Sorted!$H$11),2)</f>
        <v>0</v>
      </c>
      <c r="AQ92" s="47" t="n">
        <f aca="false">MIN(AP92,Sorted!$G$11)</f>
        <v>0</v>
      </c>
      <c r="AR92" s="47" t="n">
        <v>0</v>
      </c>
      <c r="AS92" s="47" t="n">
        <f aca="false">ROUND(AP92-AQ92-AR92,2)</f>
        <v>0</v>
      </c>
    </row>
    <row r="93" customFormat="false" ht="15" hidden="false" customHeight="false" outlineLevel="0" collapsed="false">
      <c r="A93" s="45" t="n">
        <v>90</v>
      </c>
      <c r="B93" s="46" t="n">
        <f aca="false">EDATE('My Debts'!$C$7,A93-1)</f>
        <v>49035</v>
      </c>
      <c r="C93" s="47" t="n">
        <v>0</v>
      </c>
      <c r="D93" s="47" t="n">
        <f aca="false">(F93+J93+N93+R93+V93+Z93+AD93+AH93+AL93+AP93)-(I93+M93+Q93+U93+Y93+AC93+AG93+AK93+AO93+AS93)</f>
        <v>0</v>
      </c>
      <c r="E93" s="48" t="n">
        <f aca="false">I93+M93+Q93+U93+Y93+AC93+AG93+AK93+AO93+AS93</f>
        <v>0</v>
      </c>
      <c r="F93" s="47" t="n">
        <f aca="false">ROUND(I92*(1+Sorted!$H$2),2)</f>
        <v>0</v>
      </c>
      <c r="G93" s="47" t="n">
        <f aca="false">MIN(F93,Sorted!$G$2)</f>
        <v>0</v>
      </c>
      <c r="H93" s="47" t="n">
        <v>0</v>
      </c>
      <c r="I93" s="47" t="n">
        <f aca="false">ROUND(F93-G93-H93,2)</f>
        <v>0</v>
      </c>
      <c r="J93" s="47" t="n">
        <f aca="false">ROUND(M92*(1+Sorted!$H$3),2)</f>
        <v>0</v>
      </c>
      <c r="K93" s="47" t="n">
        <f aca="false">MIN(J93,Sorted!$G$3)</f>
        <v>0</v>
      </c>
      <c r="L93" s="47" t="n">
        <v>0</v>
      </c>
      <c r="M93" s="47" t="n">
        <f aca="false">ROUND(J93-K93-L93,2)</f>
        <v>0</v>
      </c>
      <c r="N93" s="47" t="n">
        <f aca="false">ROUND(Q92*(1+Sorted!$H$4),2)</f>
        <v>0</v>
      </c>
      <c r="O93" s="47" t="n">
        <f aca="false">MIN(N93,Sorted!$G$4)</f>
        <v>0</v>
      </c>
      <c r="P93" s="47" t="n">
        <v>0</v>
      </c>
      <c r="Q93" s="47" t="n">
        <f aca="false">ROUND(N93-O93-P93,2)</f>
        <v>0</v>
      </c>
      <c r="R93" s="47" t="n">
        <f aca="false">ROUND(U92*(1+Sorted!$H$5),2)</f>
        <v>0</v>
      </c>
      <c r="S93" s="47" t="n">
        <f aca="false">MIN(R93,Sorted!$G$5)</f>
        <v>0</v>
      </c>
      <c r="T93" s="47" t="n">
        <v>0</v>
      </c>
      <c r="U93" s="47" t="n">
        <f aca="false">ROUND(R93-S93-T93,2)</f>
        <v>0</v>
      </c>
      <c r="V93" s="47" t="n">
        <f aca="false">ROUND(Y92*(1+Sorted!$H$6),2)</f>
        <v>0</v>
      </c>
      <c r="W93" s="47" t="n">
        <f aca="false">MIN(V93,Sorted!$G$6)</f>
        <v>0</v>
      </c>
      <c r="X93" s="47" t="n">
        <v>0</v>
      </c>
      <c r="Y93" s="47" t="n">
        <f aca="false">ROUND(V93-W93-X93,2)</f>
        <v>0</v>
      </c>
      <c r="Z93" s="47" t="n">
        <f aca="false">ROUND(AC92*(1+Sorted!$H$7),2)</f>
        <v>0</v>
      </c>
      <c r="AA93" s="47" t="n">
        <f aca="false">MIN(Z93,Sorted!$G$7)</f>
        <v>0</v>
      </c>
      <c r="AB93" s="47" t="n">
        <v>0</v>
      </c>
      <c r="AC93" s="47" t="n">
        <f aca="false">ROUND(Z93-AA93-AB93,2)</f>
        <v>0</v>
      </c>
      <c r="AD93" s="47" t="n">
        <f aca="false">ROUND(AG92*(1+Sorted!$H$8),2)</f>
        <v>0</v>
      </c>
      <c r="AE93" s="47" t="n">
        <f aca="false">MIN(AD93,Sorted!$G$8)</f>
        <v>0</v>
      </c>
      <c r="AF93" s="47" t="n">
        <v>0</v>
      </c>
      <c r="AG93" s="47" t="n">
        <f aca="false">ROUND(AD93-AE93-AF93,2)</f>
        <v>0</v>
      </c>
      <c r="AH93" s="47" t="n">
        <f aca="false">ROUND(AK92*(1+Sorted!$H$9),2)</f>
        <v>0</v>
      </c>
      <c r="AI93" s="47" t="n">
        <f aca="false">MIN(AH93,Sorted!$G$9)</f>
        <v>0</v>
      </c>
      <c r="AJ93" s="47" t="n">
        <v>0</v>
      </c>
      <c r="AK93" s="47" t="n">
        <f aca="false">ROUND(AH93-AI93-AJ93,2)</f>
        <v>0</v>
      </c>
      <c r="AL93" s="47" t="n">
        <f aca="false">ROUND(AO92*(1+Sorted!$H$10),2)</f>
        <v>0</v>
      </c>
      <c r="AM93" s="47" t="n">
        <f aca="false">MIN(AL93,Sorted!$G$10)</f>
        <v>0</v>
      </c>
      <c r="AN93" s="47" t="n">
        <v>0</v>
      </c>
      <c r="AO93" s="47" t="n">
        <f aca="false">ROUND(AL93-AM93-AN93,2)</f>
        <v>0</v>
      </c>
      <c r="AP93" s="47" t="n">
        <f aca="false">ROUND(AS92*(1+Sorted!$H$11),2)</f>
        <v>0</v>
      </c>
      <c r="AQ93" s="47" t="n">
        <f aca="false">MIN(AP93,Sorted!$G$11)</f>
        <v>0</v>
      </c>
      <c r="AR93" s="47" t="n">
        <v>0</v>
      </c>
      <c r="AS93" s="47" t="n">
        <f aca="false">ROUND(AP93-AQ93-AR93,2)</f>
        <v>0</v>
      </c>
    </row>
    <row r="94" customFormat="false" ht="15" hidden="false" customHeight="false" outlineLevel="0" collapsed="false">
      <c r="A94" s="45" t="n">
        <v>91</v>
      </c>
      <c r="B94" s="46" t="n">
        <f aca="false">EDATE('My Debts'!$C$7,A94-1)</f>
        <v>49065</v>
      </c>
      <c r="C94" s="47" t="n">
        <v>0</v>
      </c>
      <c r="D94" s="47" t="n">
        <f aca="false">(F94+J94+N94+R94+V94+Z94+AD94+AH94+AL94+AP94)-(I94+M94+Q94+U94+Y94+AC94+AG94+AK94+AO94+AS94)</f>
        <v>0</v>
      </c>
      <c r="E94" s="48" t="n">
        <f aca="false">I94+M94+Q94+U94+Y94+AC94+AG94+AK94+AO94+AS94</f>
        <v>0</v>
      </c>
      <c r="F94" s="47" t="n">
        <f aca="false">ROUND(I93*(1+Sorted!$H$2),2)</f>
        <v>0</v>
      </c>
      <c r="G94" s="47" t="n">
        <f aca="false">MIN(F94,Sorted!$G$2)</f>
        <v>0</v>
      </c>
      <c r="H94" s="47" t="n">
        <v>0</v>
      </c>
      <c r="I94" s="47" t="n">
        <f aca="false">ROUND(F94-G94-H94,2)</f>
        <v>0</v>
      </c>
      <c r="J94" s="47" t="n">
        <f aca="false">ROUND(M93*(1+Sorted!$H$3),2)</f>
        <v>0</v>
      </c>
      <c r="K94" s="47" t="n">
        <f aca="false">MIN(J94,Sorted!$G$3)</f>
        <v>0</v>
      </c>
      <c r="L94" s="47" t="n">
        <v>0</v>
      </c>
      <c r="M94" s="47" t="n">
        <f aca="false">ROUND(J94-K94-L94,2)</f>
        <v>0</v>
      </c>
      <c r="N94" s="47" t="n">
        <f aca="false">ROUND(Q93*(1+Sorted!$H$4),2)</f>
        <v>0</v>
      </c>
      <c r="O94" s="47" t="n">
        <f aca="false">MIN(N94,Sorted!$G$4)</f>
        <v>0</v>
      </c>
      <c r="P94" s="47" t="n">
        <v>0</v>
      </c>
      <c r="Q94" s="47" t="n">
        <f aca="false">ROUND(N94-O94-P94,2)</f>
        <v>0</v>
      </c>
      <c r="R94" s="47" t="n">
        <f aca="false">ROUND(U93*(1+Sorted!$H$5),2)</f>
        <v>0</v>
      </c>
      <c r="S94" s="47" t="n">
        <f aca="false">MIN(R94,Sorted!$G$5)</f>
        <v>0</v>
      </c>
      <c r="T94" s="47" t="n">
        <v>0</v>
      </c>
      <c r="U94" s="47" t="n">
        <f aca="false">ROUND(R94-S94-T94,2)</f>
        <v>0</v>
      </c>
      <c r="V94" s="47" t="n">
        <f aca="false">ROUND(Y93*(1+Sorted!$H$6),2)</f>
        <v>0</v>
      </c>
      <c r="W94" s="47" t="n">
        <f aca="false">MIN(V94,Sorted!$G$6)</f>
        <v>0</v>
      </c>
      <c r="X94" s="47" t="n">
        <v>0</v>
      </c>
      <c r="Y94" s="47" t="n">
        <f aca="false">ROUND(V94-W94-X94,2)</f>
        <v>0</v>
      </c>
      <c r="Z94" s="47" t="n">
        <f aca="false">ROUND(AC93*(1+Sorted!$H$7),2)</f>
        <v>0</v>
      </c>
      <c r="AA94" s="47" t="n">
        <f aca="false">MIN(Z94,Sorted!$G$7)</f>
        <v>0</v>
      </c>
      <c r="AB94" s="47" t="n">
        <v>0</v>
      </c>
      <c r="AC94" s="47" t="n">
        <f aca="false">ROUND(Z94-AA94-AB94,2)</f>
        <v>0</v>
      </c>
      <c r="AD94" s="47" t="n">
        <f aca="false">ROUND(AG93*(1+Sorted!$H$8),2)</f>
        <v>0</v>
      </c>
      <c r="AE94" s="47" t="n">
        <f aca="false">MIN(AD94,Sorted!$G$8)</f>
        <v>0</v>
      </c>
      <c r="AF94" s="47" t="n">
        <v>0</v>
      </c>
      <c r="AG94" s="47" t="n">
        <f aca="false">ROUND(AD94-AE94-AF94,2)</f>
        <v>0</v>
      </c>
      <c r="AH94" s="47" t="n">
        <f aca="false">ROUND(AK93*(1+Sorted!$H$9),2)</f>
        <v>0</v>
      </c>
      <c r="AI94" s="47" t="n">
        <f aca="false">MIN(AH94,Sorted!$G$9)</f>
        <v>0</v>
      </c>
      <c r="AJ94" s="47" t="n">
        <v>0</v>
      </c>
      <c r="AK94" s="47" t="n">
        <f aca="false">ROUND(AH94-AI94-AJ94,2)</f>
        <v>0</v>
      </c>
      <c r="AL94" s="47" t="n">
        <f aca="false">ROUND(AO93*(1+Sorted!$H$10),2)</f>
        <v>0</v>
      </c>
      <c r="AM94" s="47" t="n">
        <f aca="false">MIN(AL94,Sorted!$G$10)</f>
        <v>0</v>
      </c>
      <c r="AN94" s="47" t="n">
        <v>0</v>
      </c>
      <c r="AO94" s="47" t="n">
        <f aca="false">ROUND(AL94-AM94-AN94,2)</f>
        <v>0</v>
      </c>
      <c r="AP94" s="47" t="n">
        <f aca="false">ROUND(AS93*(1+Sorted!$H$11),2)</f>
        <v>0</v>
      </c>
      <c r="AQ94" s="47" t="n">
        <f aca="false">MIN(AP94,Sorted!$G$11)</f>
        <v>0</v>
      </c>
      <c r="AR94" s="47" t="n">
        <v>0</v>
      </c>
      <c r="AS94" s="47" t="n">
        <f aca="false">ROUND(AP94-AQ94-AR94,2)</f>
        <v>0</v>
      </c>
    </row>
    <row r="95" customFormat="false" ht="15" hidden="false" customHeight="false" outlineLevel="0" collapsed="false">
      <c r="A95" s="45" t="n">
        <v>92</v>
      </c>
      <c r="B95" s="46" t="n">
        <f aca="false">EDATE('My Debts'!$C$7,A95-1)</f>
        <v>49096</v>
      </c>
      <c r="C95" s="47" t="n">
        <v>0</v>
      </c>
      <c r="D95" s="47" t="n">
        <f aca="false">(F95+J95+N95+R95+V95+Z95+AD95+AH95+AL95+AP95)-(I95+M95+Q95+U95+Y95+AC95+AG95+AK95+AO95+AS95)</f>
        <v>0</v>
      </c>
      <c r="E95" s="48" t="n">
        <f aca="false">I95+M95+Q95+U95+Y95+AC95+AG95+AK95+AO95+AS95</f>
        <v>0</v>
      </c>
      <c r="F95" s="47" t="n">
        <f aca="false">ROUND(I94*(1+Sorted!$H$2),2)</f>
        <v>0</v>
      </c>
      <c r="G95" s="47" t="n">
        <f aca="false">MIN(F95,Sorted!$G$2)</f>
        <v>0</v>
      </c>
      <c r="H95" s="47" t="n">
        <v>0</v>
      </c>
      <c r="I95" s="47" t="n">
        <f aca="false">ROUND(F95-G95-H95,2)</f>
        <v>0</v>
      </c>
      <c r="J95" s="47" t="n">
        <f aca="false">ROUND(M94*(1+Sorted!$H$3),2)</f>
        <v>0</v>
      </c>
      <c r="K95" s="47" t="n">
        <f aca="false">MIN(J95,Sorted!$G$3)</f>
        <v>0</v>
      </c>
      <c r="L95" s="47" t="n">
        <v>0</v>
      </c>
      <c r="M95" s="47" t="n">
        <f aca="false">ROUND(J95-K95-L95,2)</f>
        <v>0</v>
      </c>
      <c r="N95" s="47" t="n">
        <f aca="false">ROUND(Q94*(1+Sorted!$H$4),2)</f>
        <v>0</v>
      </c>
      <c r="O95" s="47" t="n">
        <f aca="false">MIN(N95,Sorted!$G$4)</f>
        <v>0</v>
      </c>
      <c r="P95" s="47" t="n">
        <v>0</v>
      </c>
      <c r="Q95" s="47" t="n">
        <f aca="false">ROUND(N95-O95-P95,2)</f>
        <v>0</v>
      </c>
      <c r="R95" s="47" t="n">
        <f aca="false">ROUND(U94*(1+Sorted!$H$5),2)</f>
        <v>0</v>
      </c>
      <c r="S95" s="47" t="n">
        <f aca="false">MIN(R95,Sorted!$G$5)</f>
        <v>0</v>
      </c>
      <c r="T95" s="47" t="n">
        <v>0</v>
      </c>
      <c r="U95" s="47" t="n">
        <f aca="false">ROUND(R95-S95-T95,2)</f>
        <v>0</v>
      </c>
      <c r="V95" s="47" t="n">
        <f aca="false">ROUND(Y94*(1+Sorted!$H$6),2)</f>
        <v>0</v>
      </c>
      <c r="W95" s="47" t="n">
        <f aca="false">MIN(V95,Sorted!$G$6)</f>
        <v>0</v>
      </c>
      <c r="X95" s="47" t="n">
        <v>0</v>
      </c>
      <c r="Y95" s="47" t="n">
        <f aca="false">ROUND(V95-W95-X95,2)</f>
        <v>0</v>
      </c>
      <c r="Z95" s="47" t="n">
        <f aca="false">ROUND(AC94*(1+Sorted!$H$7),2)</f>
        <v>0</v>
      </c>
      <c r="AA95" s="47" t="n">
        <f aca="false">MIN(Z95,Sorted!$G$7)</f>
        <v>0</v>
      </c>
      <c r="AB95" s="47" t="n">
        <v>0</v>
      </c>
      <c r="AC95" s="47" t="n">
        <f aca="false">ROUND(Z95-AA95-AB95,2)</f>
        <v>0</v>
      </c>
      <c r="AD95" s="47" t="n">
        <f aca="false">ROUND(AG94*(1+Sorted!$H$8),2)</f>
        <v>0</v>
      </c>
      <c r="AE95" s="47" t="n">
        <f aca="false">MIN(AD95,Sorted!$G$8)</f>
        <v>0</v>
      </c>
      <c r="AF95" s="47" t="n">
        <v>0</v>
      </c>
      <c r="AG95" s="47" t="n">
        <f aca="false">ROUND(AD95-AE95-AF95,2)</f>
        <v>0</v>
      </c>
      <c r="AH95" s="47" t="n">
        <f aca="false">ROUND(AK94*(1+Sorted!$H$9),2)</f>
        <v>0</v>
      </c>
      <c r="AI95" s="47" t="n">
        <f aca="false">MIN(AH95,Sorted!$G$9)</f>
        <v>0</v>
      </c>
      <c r="AJ95" s="47" t="n">
        <v>0</v>
      </c>
      <c r="AK95" s="47" t="n">
        <f aca="false">ROUND(AH95-AI95-AJ95,2)</f>
        <v>0</v>
      </c>
      <c r="AL95" s="47" t="n">
        <f aca="false">ROUND(AO94*(1+Sorted!$H$10),2)</f>
        <v>0</v>
      </c>
      <c r="AM95" s="47" t="n">
        <f aca="false">MIN(AL95,Sorted!$G$10)</f>
        <v>0</v>
      </c>
      <c r="AN95" s="47" t="n">
        <v>0</v>
      </c>
      <c r="AO95" s="47" t="n">
        <f aca="false">ROUND(AL95-AM95-AN95,2)</f>
        <v>0</v>
      </c>
      <c r="AP95" s="47" t="n">
        <f aca="false">ROUND(AS94*(1+Sorted!$H$11),2)</f>
        <v>0</v>
      </c>
      <c r="AQ95" s="47" t="n">
        <f aca="false">MIN(AP95,Sorted!$G$11)</f>
        <v>0</v>
      </c>
      <c r="AR95" s="47" t="n">
        <v>0</v>
      </c>
      <c r="AS95" s="47" t="n">
        <f aca="false">ROUND(AP95-AQ95-AR95,2)</f>
        <v>0</v>
      </c>
    </row>
    <row r="96" customFormat="false" ht="15" hidden="false" customHeight="false" outlineLevel="0" collapsed="false">
      <c r="A96" s="45" t="n">
        <v>93</v>
      </c>
      <c r="B96" s="46" t="n">
        <f aca="false">EDATE('My Debts'!$C$7,A96-1)</f>
        <v>49126</v>
      </c>
      <c r="C96" s="47" t="n">
        <v>0</v>
      </c>
      <c r="D96" s="47" t="n">
        <f aca="false">(F96+J96+N96+R96+V96+Z96+AD96+AH96+AL96+AP96)-(I96+M96+Q96+U96+Y96+AC96+AG96+AK96+AO96+AS96)</f>
        <v>0</v>
      </c>
      <c r="E96" s="48" t="n">
        <f aca="false">I96+M96+Q96+U96+Y96+AC96+AG96+AK96+AO96+AS96</f>
        <v>0</v>
      </c>
      <c r="F96" s="47" t="n">
        <f aca="false">ROUND(I95*(1+Sorted!$H$2),2)</f>
        <v>0</v>
      </c>
      <c r="G96" s="47" t="n">
        <f aca="false">MIN(F96,Sorted!$G$2)</f>
        <v>0</v>
      </c>
      <c r="H96" s="47" t="n">
        <v>0</v>
      </c>
      <c r="I96" s="47" t="n">
        <f aca="false">ROUND(F96-G96-H96,2)</f>
        <v>0</v>
      </c>
      <c r="J96" s="47" t="n">
        <f aca="false">ROUND(M95*(1+Sorted!$H$3),2)</f>
        <v>0</v>
      </c>
      <c r="K96" s="47" t="n">
        <f aca="false">MIN(J96,Sorted!$G$3)</f>
        <v>0</v>
      </c>
      <c r="L96" s="47" t="n">
        <v>0</v>
      </c>
      <c r="M96" s="47" t="n">
        <f aca="false">ROUND(J96-K96-L96,2)</f>
        <v>0</v>
      </c>
      <c r="N96" s="47" t="n">
        <f aca="false">ROUND(Q95*(1+Sorted!$H$4),2)</f>
        <v>0</v>
      </c>
      <c r="O96" s="47" t="n">
        <f aca="false">MIN(N96,Sorted!$G$4)</f>
        <v>0</v>
      </c>
      <c r="P96" s="47" t="n">
        <v>0</v>
      </c>
      <c r="Q96" s="47" t="n">
        <f aca="false">ROUND(N96-O96-P96,2)</f>
        <v>0</v>
      </c>
      <c r="R96" s="47" t="n">
        <f aca="false">ROUND(U95*(1+Sorted!$H$5),2)</f>
        <v>0</v>
      </c>
      <c r="S96" s="47" t="n">
        <f aca="false">MIN(R96,Sorted!$G$5)</f>
        <v>0</v>
      </c>
      <c r="T96" s="47" t="n">
        <v>0</v>
      </c>
      <c r="U96" s="47" t="n">
        <f aca="false">ROUND(R96-S96-T96,2)</f>
        <v>0</v>
      </c>
      <c r="V96" s="47" t="n">
        <f aca="false">ROUND(Y95*(1+Sorted!$H$6),2)</f>
        <v>0</v>
      </c>
      <c r="W96" s="47" t="n">
        <f aca="false">MIN(V96,Sorted!$G$6)</f>
        <v>0</v>
      </c>
      <c r="X96" s="47" t="n">
        <v>0</v>
      </c>
      <c r="Y96" s="47" t="n">
        <f aca="false">ROUND(V96-W96-X96,2)</f>
        <v>0</v>
      </c>
      <c r="Z96" s="47" t="n">
        <f aca="false">ROUND(AC95*(1+Sorted!$H$7),2)</f>
        <v>0</v>
      </c>
      <c r="AA96" s="47" t="n">
        <f aca="false">MIN(Z96,Sorted!$G$7)</f>
        <v>0</v>
      </c>
      <c r="AB96" s="47" t="n">
        <v>0</v>
      </c>
      <c r="AC96" s="47" t="n">
        <f aca="false">ROUND(Z96-AA96-AB96,2)</f>
        <v>0</v>
      </c>
      <c r="AD96" s="47" t="n">
        <f aca="false">ROUND(AG95*(1+Sorted!$H$8),2)</f>
        <v>0</v>
      </c>
      <c r="AE96" s="47" t="n">
        <f aca="false">MIN(AD96,Sorted!$G$8)</f>
        <v>0</v>
      </c>
      <c r="AF96" s="47" t="n">
        <v>0</v>
      </c>
      <c r="AG96" s="47" t="n">
        <f aca="false">ROUND(AD96-AE96-AF96,2)</f>
        <v>0</v>
      </c>
      <c r="AH96" s="47" t="n">
        <f aca="false">ROUND(AK95*(1+Sorted!$H$9),2)</f>
        <v>0</v>
      </c>
      <c r="AI96" s="47" t="n">
        <f aca="false">MIN(AH96,Sorted!$G$9)</f>
        <v>0</v>
      </c>
      <c r="AJ96" s="47" t="n">
        <v>0</v>
      </c>
      <c r="AK96" s="47" t="n">
        <f aca="false">ROUND(AH96-AI96-AJ96,2)</f>
        <v>0</v>
      </c>
      <c r="AL96" s="47" t="n">
        <f aca="false">ROUND(AO95*(1+Sorted!$H$10),2)</f>
        <v>0</v>
      </c>
      <c r="AM96" s="47" t="n">
        <f aca="false">MIN(AL96,Sorted!$G$10)</f>
        <v>0</v>
      </c>
      <c r="AN96" s="47" t="n">
        <v>0</v>
      </c>
      <c r="AO96" s="47" t="n">
        <f aca="false">ROUND(AL96-AM96-AN96,2)</f>
        <v>0</v>
      </c>
      <c r="AP96" s="47" t="n">
        <f aca="false">ROUND(AS95*(1+Sorted!$H$11),2)</f>
        <v>0</v>
      </c>
      <c r="AQ96" s="47" t="n">
        <f aca="false">MIN(AP96,Sorted!$G$11)</f>
        <v>0</v>
      </c>
      <c r="AR96" s="47" t="n">
        <v>0</v>
      </c>
      <c r="AS96" s="47" t="n">
        <f aca="false">ROUND(AP96-AQ96-AR96,2)</f>
        <v>0</v>
      </c>
    </row>
    <row r="97" customFormat="false" ht="15" hidden="false" customHeight="false" outlineLevel="0" collapsed="false">
      <c r="A97" s="45" t="n">
        <v>94</v>
      </c>
      <c r="B97" s="46" t="n">
        <f aca="false">EDATE('My Debts'!$C$7,A97-1)</f>
        <v>49157</v>
      </c>
      <c r="C97" s="47" t="n">
        <v>0</v>
      </c>
      <c r="D97" s="47" t="n">
        <f aca="false">(F97+J97+N97+R97+V97+Z97+AD97+AH97+AL97+AP97)-(I97+M97+Q97+U97+Y97+AC97+AG97+AK97+AO97+AS97)</f>
        <v>0</v>
      </c>
      <c r="E97" s="48" t="n">
        <f aca="false">I97+M97+Q97+U97+Y97+AC97+AG97+AK97+AO97+AS97</f>
        <v>0</v>
      </c>
      <c r="F97" s="47" t="n">
        <f aca="false">ROUND(I96*(1+Sorted!$H$2),2)</f>
        <v>0</v>
      </c>
      <c r="G97" s="47" t="n">
        <f aca="false">MIN(F97,Sorted!$G$2)</f>
        <v>0</v>
      </c>
      <c r="H97" s="47" t="n">
        <v>0</v>
      </c>
      <c r="I97" s="47" t="n">
        <f aca="false">ROUND(F97-G97-H97,2)</f>
        <v>0</v>
      </c>
      <c r="J97" s="47" t="n">
        <f aca="false">ROUND(M96*(1+Sorted!$H$3),2)</f>
        <v>0</v>
      </c>
      <c r="K97" s="47" t="n">
        <f aca="false">MIN(J97,Sorted!$G$3)</f>
        <v>0</v>
      </c>
      <c r="L97" s="47" t="n">
        <v>0</v>
      </c>
      <c r="M97" s="47" t="n">
        <f aca="false">ROUND(J97-K97-L97,2)</f>
        <v>0</v>
      </c>
      <c r="N97" s="47" t="n">
        <f aca="false">ROUND(Q96*(1+Sorted!$H$4),2)</f>
        <v>0</v>
      </c>
      <c r="O97" s="47" t="n">
        <f aca="false">MIN(N97,Sorted!$G$4)</f>
        <v>0</v>
      </c>
      <c r="P97" s="47" t="n">
        <v>0</v>
      </c>
      <c r="Q97" s="47" t="n">
        <f aca="false">ROUND(N97-O97-P97,2)</f>
        <v>0</v>
      </c>
      <c r="R97" s="47" t="n">
        <f aca="false">ROUND(U96*(1+Sorted!$H$5),2)</f>
        <v>0</v>
      </c>
      <c r="S97" s="47" t="n">
        <f aca="false">MIN(R97,Sorted!$G$5)</f>
        <v>0</v>
      </c>
      <c r="T97" s="47" t="n">
        <v>0</v>
      </c>
      <c r="U97" s="47" t="n">
        <f aca="false">ROUND(R97-S97-T97,2)</f>
        <v>0</v>
      </c>
      <c r="V97" s="47" t="n">
        <f aca="false">ROUND(Y96*(1+Sorted!$H$6),2)</f>
        <v>0</v>
      </c>
      <c r="W97" s="47" t="n">
        <f aca="false">MIN(V97,Sorted!$G$6)</f>
        <v>0</v>
      </c>
      <c r="X97" s="47" t="n">
        <v>0</v>
      </c>
      <c r="Y97" s="47" t="n">
        <f aca="false">ROUND(V97-W97-X97,2)</f>
        <v>0</v>
      </c>
      <c r="Z97" s="47" t="n">
        <f aca="false">ROUND(AC96*(1+Sorted!$H$7),2)</f>
        <v>0</v>
      </c>
      <c r="AA97" s="47" t="n">
        <f aca="false">MIN(Z97,Sorted!$G$7)</f>
        <v>0</v>
      </c>
      <c r="AB97" s="47" t="n">
        <v>0</v>
      </c>
      <c r="AC97" s="47" t="n">
        <f aca="false">ROUND(Z97-AA97-AB97,2)</f>
        <v>0</v>
      </c>
      <c r="AD97" s="47" t="n">
        <f aca="false">ROUND(AG96*(1+Sorted!$H$8),2)</f>
        <v>0</v>
      </c>
      <c r="AE97" s="47" t="n">
        <f aca="false">MIN(AD97,Sorted!$G$8)</f>
        <v>0</v>
      </c>
      <c r="AF97" s="47" t="n">
        <v>0</v>
      </c>
      <c r="AG97" s="47" t="n">
        <f aca="false">ROUND(AD97-AE97-AF97,2)</f>
        <v>0</v>
      </c>
      <c r="AH97" s="47" t="n">
        <f aca="false">ROUND(AK96*(1+Sorted!$H$9),2)</f>
        <v>0</v>
      </c>
      <c r="AI97" s="47" t="n">
        <f aca="false">MIN(AH97,Sorted!$G$9)</f>
        <v>0</v>
      </c>
      <c r="AJ97" s="47" t="n">
        <v>0</v>
      </c>
      <c r="AK97" s="47" t="n">
        <f aca="false">ROUND(AH97-AI97-AJ97,2)</f>
        <v>0</v>
      </c>
      <c r="AL97" s="47" t="n">
        <f aca="false">ROUND(AO96*(1+Sorted!$H$10),2)</f>
        <v>0</v>
      </c>
      <c r="AM97" s="47" t="n">
        <f aca="false">MIN(AL97,Sorted!$G$10)</f>
        <v>0</v>
      </c>
      <c r="AN97" s="47" t="n">
        <v>0</v>
      </c>
      <c r="AO97" s="47" t="n">
        <f aca="false">ROUND(AL97-AM97-AN97,2)</f>
        <v>0</v>
      </c>
      <c r="AP97" s="47" t="n">
        <f aca="false">ROUND(AS96*(1+Sorted!$H$11),2)</f>
        <v>0</v>
      </c>
      <c r="AQ97" s="47" t="n">
        <f aca="false">MIN(AP97,Sorted!$G$11)</f>
        <v>0</v>
      </c>
      <c r="AR97" s="47" t="n">
        <v>0</v>
      </c>
      <c r="AS97" s="47" t="n">
        <f aca="false">ROUND(AP97-AQ97-AR97,2)</f>
        <v>0</v>
      </c>
    </row>
    <row r="98" customFormat="false" ht="15" hidden="false" customHeight="false" outlineLevel="0" collapsed="false">
      <c r="A98" s="45" t="n">
        <v>95</v>
      </c>
      <c r="B98" s="46" t="n">
        <f aca="false">EDATE('My Debts'!$C$7,A98-1)</f>
        <v>49188</v>
      </c>
      <c r="C98" s="47" t="n">
        <v>0</v>
      </c>
      <c r="D98" s="47" t="n">
        <f aca="false">(F98+J98+N98+R98+V98+Z98+AD98+AH98+AL98+AP98)-(I98+M98+Q98+U98+Y98+AC98+AG98+AK98+AO98+AS98)</f>
        <v>0</v>
      </c>
      <c r="E98" s="48" t="n">
        <f aca="false">I98+M98+Q98+U98+Y98+AC98+AG98+AK98+AO98+AS98</f>
        <v>0</v>
      </c>
      <c r="F98" s="47" t="n">
        <f aca="false">ROUND(I97*(1+Sorted!$H$2),2)</f>
        <v>0</v>
      </c>
      <c r="G98" s="47" t="n">
        <f aca="false">MIN(F98,Sorted!$G$2)</f>
        <v>0</v>
      </c>
      <c r="H98" s="47" t="n">
        <v>0</v>
      </c>
      <c r="I98" s="47" t="n">
        <f aca="false">ROUND(F98-G98-H98,2)</f>
        <v>0</v>
      </c>
      <c r="J98" s="47" t="n">
        <f aca="false">ROUND(M97*(1+Sorted!$H$3),2)</f>
        <v>0</v>
      </c>
      <c r="K98" s="47" t="n">
        <f aca="false">MIN(J98,Sorted!$G$3)</f>
        <v>0</v>
      </c>
      <c r="L98" s="47" t="n">
        <v>0</v>
      </c>
      <c r="M98" s="47" t="n">
        <f aca="false">ROUND(J98-K98-L98,2)</f>
        <v>0</v>
      </c>
      <c r="N98" s="47" t="n">
        <f aca="false">ROUND(Q97*(1+Sorted!$H$4),2)</f>
        <v>0</v>
      </c>
      <c r="O98" s="47" t="n">
        <f aca="false">MIN(N98,Sorted!$G$4)</f>
        <v>0</v>
      </c>
      <c r="P98" s="47" t="n">
        <v>0</v>
      </c>
      <c r="Q98" s="47" t="n">
        <f aca="false">ROUND(N98-O98-P98,2)</f>
        <v>0</v>
      </c>
      <c r="R98" s="47" t="n">
        <f aca="false">ROUND(U97*(1+Sorted!$H$5),2)</f>
        <v>0</v>
      </c>
      <c r="S98" s="47" t="n">
        <f aca="false">MIN(R98,Sorted!$G$5)</f>
        <v>0</v>
      </c>
      <c r="T98" s="47" t="n">
        <v>0</v>
      </c>
      <c r="U98" s="47" t="n">
        <f aca="false">ROUND(R98-S98-T98,2)</f>
        <v>0</v>
      </c>
      <c r="V98" s="47" t="n">
        <f aca="false">ROUND(Y97*(1+Sorted!$H$6),2)</f>
        <v>0</v>
      </c>
      <c r="W98" s="47" t="n">
        <f aca="false">MIN(V98,Sorted!$G$6)</f>
        <v>0</v>
      </c>
      <c r="X98" s="47" t="n">
        <v>0</v>
      </c>
      <c r="Y98" s="47" t="n">
        <f aca="false">ROUND(V98-W98-X98,2)</f>
        <v>0</v>
      </c>
      <c r="Z98" s="47" t="n">
        <f aca="false">ROUND(AC97*(1+Sorted!$H$7),2)</f>
        <v>0</v>
      </c>
      <c r="AA98" s="47" t="n">
        <f aca="false">MIN(Z98,Sorted!$G$7)</f>
        <v>0</v>
      </c>
      <c r="AB98" s="47" t="n">
        <v>0</v>
      </c>
      <c r="AC98" s="47" t="n">
        <f aca="false">ROUND(Z98-AA98-AB98,2)</f>
        <v>0</v>
      </c>
      <c r="AD98" s="47" t="n">
        <f aca="false">ROUND(AG97*(1+Sorted!$H$8),2)</f>
        <v>0</v>
      </c>
      <c r="AE98" s="47" t="n">
        <f aca="false">MIN(AD98,Sorted!$G$8)</f>
        <v>0</v>
      </c>
      <c r="AF98" s="47" t="n">
        <v>0</v>
      </c>
      <c r="AG98" s="47" t="n">
        <f aca="false">ROUND(AD98-AE98-AF98,2)</f>
        <v>0</v>
      </c>
      <c r="AH98" s="47" t="n">
        <f aca="false">ROUND(AK97*(1+Sorted!$H$9),2)</f>
        <v>0</v>
      </c>
      <c r="AI98" s="47" t="n">
        <f aca="false">MIN(AH98,Sorted!$G$9)</f>
        <v>0</v>
      </c>
      <c r="AJ98" s="47" t="n">
        <v>0</v>
      </c>
      <c r="AK98" s="47" t="n">
        <f aca="false">ROUND(AH98-AI98-AJ98,2)</f>
        <v>0</v>
      </c>
      <c r="AL98" s="47" t="n">
        <f aca="false">ROUND(AO97*(1+Sorted!$H$10),2)</f>
        <v>0</v>
      </c>
      <c r="AM98" s="47" t="n">
        <f aca="false">MIN(AL98,Sorted!$G$10)</f>
        <v>0</v>
      </c>
      <c r="AN98" s="47" t="n">
        <v>0</v>
      </c>
      <c r="AO98" s="47" t="n">
        <f aca="false">ROUND(AL98-AM98-AN98,2)</f>
        <v>0</v>
      </c>
      <c r="AP98" s="47" t="n">
        <f aca="false">ROUND(AS97*(1+Sorted!$H$11),2)</f>
        <v>0</v>
      </c>
      <c r="AQ98" s="47" t="n">
        <f aca="false">MIN(AP98,Sorted!$G$11)</f>
        <v>0</v>
      </c>
      <c r="AR98" s="47" t="n">
        <v>0</v>
      </c>
      <c r="AS98" s="47" t="n">
        <f aca="false">ROUND(AP98-AQ98-AR98,2)</f>
        <v>0</v>
      </c>
    </row>
    <row r="99" customFormat="false" ht="15" hidden="false" customHeight="false" outlineLevel="0" collapsed="false">
      <c r="A99" s="45" t="n">
        <v>96</v>
      </c>
      <c r="B99" s="46" t="n">
        <f aca="false">EDATE('My Debts'!$C$7,A99-1)</f>
        <v>49218</v>
      </c>
      <c r="C99" s="47" t="n">
        <v>0</v>
      </c>
      <c r="D99" s="47" t="n">
        <f aca="false">(F99+J99+N99+R99+V99+Z99+AD99+AH99+AL99+AP99)-(I99+M99+Q99+U99+Y99+AC99+AG99+AK99+AO99+AS99)</f>
        <v>0</v>
      </c>
      <c r="E99" s="48" t="n">
        <f aca="false">I99+M99+Q99+U99+Y99+AC99+AG99+AK99+AO99+AS99</f>
        <v>0</v>
      </c>
      <c r="F99" s="47" t="n">
        <f aca="false">ROUND(I98*(1+Sorted!$H$2),2)</f>
        <v>0</v>
      </c>
      <c r="G99" s="47" t="n">
        <f aca="false">MIN(F99,Sorted!$G$2)</f>
        <v>0</v>
      </c>
      <c r="H99" s="47" t="n">
        <v>0</v>
      </c>
      <c r="I99" s="47" t="n">
        <f aca="false">ROUND(F99-G99-H99,2)</f>
        <v>0</v>
      </c>
      <c r="J99" s="47" t="n">
        <f aca="false">ROUND(M98*(1+Sorted!$H$3),2)</f>
        <v>0</v>
      </c>
      <c r="K99" s="47" t="n">
        <f aca="false">MIN(J99,Sorted!$G$3)</f>
        <v>0</v>
      </c>
      <c r="L99" s="47" t="n">
        <v>0</v>
      </c>
      <c r="M99" s="47" t="n">
        <f aca="false">ROUND(J99-K99-L99,2)</f>
        <v>0</v>
      </c>
      <c r="N99" s="47" t="n">
        <f aca="false">ROUND(Q98*(1+Sorted!$H$4),2)</f>
        <v>0</v>
      </c>
      <c r="O99" s="47" t="n">
        <f aca="false">MIN(N99,Sorted!$G$4)</f>
        <v>0</v>
      </c>
      <c r="P99" s="47" t="n">
        <v>0</v>
      </c>
      <c r="Q99" s="47" t="n">
        <f aca="false">ROUND(N99-O99-P99,2)</f>
        <v>0</v>
      </c>
      <c r="R99" s="47" t="n">
        <f aca="false">ROUND(U98*(1+Sorted!$H$5),2)</f>
        <v>0</v>
      </c>
      <c r="S99" s="47" t="n">
        <f aca="false">MIN(R99,Sorted!$G$5)</f>
        <v>0</v>
      </c>
      <c r="T99" s="47" t="n">
        <v>0</v>
      </c>
      <c r="U99" s="47" t="n">
        <f aca="false">ROUND(R99-S99-T99,2)</f>
        <v>0</v>
      </c>
      <c r="V99" s="47" t="n">
        <f aca="false">ROUND(Y98*(1+Sorted!$H$6),2)</f>
        <v>0</v>
      </c>
      <c r="W99" s="47" t="n">
        <f aca="false">MIN(V99,Sorted!$G$6)</f>
        <v>0</v>
      </c>
      <c r="X99" s="47" t="n">
        <v>0</v>
      </c>
      <c r="Y99" s="47" t="n">
        <f aca="false">ROUND(V99-W99-X99,2)</f>
        <v>0</v>
      </c>
      <c r="Z99" s="47" t="n">
        <f aca="false">ROUND(AC98*(1+Sorted!$H$7),2)</f>
        <v>0</v>
      </c>
      <c r="AA99" s="47" t="n">
        <f aca="false">MIN(Z99,Sorted!$G$7)</f>
        <v>0</v>
      </c>
      <c r="AB99" s="47" t="n">
        <v>0</v>
      </c>
      <c r="AC99" s="47" t="n">
        <f aca="false">ROUND(Z99-AA99-AB99,2)</f>
        <v>0</v>
      </c>
      <c r="AD99" s="47" t="n">
        <f aca="false">ROUND(AG98*(1+Sorted!$H$8),2)</f>
        <v>0</v>
      </c>
      <c r="AE99" s="47" t="n">
        <f aca="false">MIN(AD99,Sorted!$G$8)</f>
        <v>0</v>
      </c>
      <c r="AF99" s="47" t="n">
        <v>0</v>
      </c>
      <c r="AG99" s="47" t="n">
        <f aca="false">ROUND(AD99-AE99-AF99,2)</f>
        <v>0</v>
      </c>
      <c r="AH99" s="47" t="n">
        <f aca="false">ROUND(AK98*(1+Sorted!$H$9),2)</f>
        <v>0</v>
      </c>
      <c r="AI99" s="47" t="n">
        <f aca="false">MIN(AH99,Sorted!$G$9)</f>
        <v>0</v>
      </c>
      <c r="AJ99" s="47" t="n">
        <v>0</v>
      </c>
      <c r="AK99" s="47" t="n">
        <f aca="false">ROUND(AH99-AI99-AJ99,2)</f>
        <v>0</v>
      </c>
      <c r="AL99" s="47" t="n">
        <f aca="false">ROUND(AO98*(1+Sorted!$H$10),2)</f>
        <v>0</v>
      </c>
      <c r="AM99" s="47" t="n">
        <f aca="false">MIN(AL99,Sorted!$G$10)</f>
        <v>0</v>
      </c>
      <c r="AN99" s="47" t="n">
        <v>0</v>
      </c>
      <c r="AO99" s="47" t="n">
        <f aca="false">ROUND(AL99-AM99-AN99,2)</f>
        <v>0</v>
      </c>
      <c r="AP99" s="47" t="n">
        <f aca="false">ROUND(AS98*(1+Sorted!$H$11),2)</f>
        <v>0</v>
      </c>
      <c r="AQ99" s="47" t="n">
        <f aca="false">MIN(AP99,Sorted!$G$11)</f>
        <v>0</v>
      </c>
      <c r="AR99" s="47" t="n">
        <v>0</v>
      </c>
      <c r="AS99" s="47" t="n">
        <f aca="false">ROUND(AP99-AQ99-AR99,2)</f>
        <v>0</v>
      </c>
    </row>
    <row r="100" customFormat="false" ht="15" hidden="false" customHeight="false" outlineLevel="0" collapsed="false">
      <c r="A100" s="45" t="n">
        <v>97</v>
      </c>
      <c r="B100" s="46" t="n">
        <f aca="false">EDATE('My Debts'!$C$7,A100-1)</f>
        <v>49249</v>
      </c>
      <c r="C100" s="47" t="n">
        <v>0</v>
      </c>
      <c r="D100" s="47" t="n">
        <f aca="false">(F100+J100+N100+R100+V100+Z100+AD100+AH100+AL100+AP100)-(I100+M100+Q100+U100+Y100+AC100+AG100+AK100+AO100+AS100)</f>
        <v>0</v>
      </c>
      <c r="E100" s="48" t="n">
        <f aca="false">I100+M100+Q100+U100+Y100+AC100+AG100+AK100+AO100+AS100</f>
        <v>0</v>
      </c>
      <c r="F100" s="47" t="n">
        <f aca="false">ROUND(I99*(1+Sorted!$H$2),2)</f>
        <v>0</v>
      </c>
      <c r="G100" s="47" t="n">
        <f aca="false">MIN(F100,Sorted!$G$2)</f>
        <v>0</v>
      </c>
      <c r="H100" s="47" t="n">
        <v>0</v>
      </c>
      <c r="I100" s="47" t="n">
        <f aca="false">ROUND(F100-G100-H100,2)</f>
        <v>0</v>
      </c>
      <c r="J100" s="47" t="n">
        <f aca="false">ROUND(M99*(1+Sorted!$H$3),2)</f>
        <v>0</v>
      </c>
      <c r="K100" s="47" t="n">
        <f aca="false">MIN(J100,Sorted!$G$3)</f>
        <v>0</v>
      </c>
      <c r="L100" s="47" t="n">
        <v>0</v>
      </c>
      <c r="M100" s="47" t="n">
        <f aca="false">ROUND(J100-K100-L100,2)</f>
        <v>0</v>
      </c>
      <c r="N100" s="47" t="n">
        <f aca="false">ROUND(Q99*(1+Sorted!$H$4),2)</f>
        <v>0</v>
      </c>
      <c r="O100" s="47" t="n">
        <f aca="false">MIN(N100,Sorted!$G$4)</f>
        <v>0</v>
      </c>
      <c r="P100" s="47" t="n">
        <v>0</v>
      </c>
      <c r="Q100" s="47" t="n">
        <f aca="false">ROUND(N100-O100-P100,2)</f>
        <v>0</v>
      </c>
      <c r="R100" s="47" t="n">
        <f aca="false">ROUND(U99*(1+Sorted!$H$5),2)</f>
        <v>0</v>
      </c>
      <c r="S100" s="47" t="n">
        <f aca="false">MIN(R100,Sorted!$G$5)</f>
        <v>0</v>
      </c>
      <c r="T100" s="47" t="n">
        <v>0</v>
      </c>
      <c r="U100" s="47" t="n">
        <f aca="false">ROUND(R100-S100-T100,2)</f>
        <v>0</v>
      </c>
      <c r="V100" s="47" t="n">
        <f aca="false">ROUND(Y99*(1+Sorted!$H$6),2)</f>
        <v>0</v>
      </c>
      <c r="W100" s="47" t="n">
        <f aca="false">MIN(V100,Sorted!$G$6)</f>
        <v>0</v>
      </c>
      <c r="X100" s="47" t="n">
        <v>0</v>
      </c>
      <c r="Y100" s="47" t="n">
        <f aca="false">ROUND(V100-W100-X100,2)</f>
        <v>0</v>
      </c>
      <c r="Z100" s="47" t="n">
        <f aca="false">ROUND(AC99*(1+Sorted!$H$7),2)</f>
        <v>0</v>
      </c>
      <c r="AA100" s="47" t="n">
        <f aca="false">MIN(Z100,Sorted!$G$7)</f>
        <v>0</v>
      </c>
      <c r="AB100" s="47" t="n">
        <v>0</v>
      </c>
      <c r="AC100" s="47" t="n">
        <f aca="false">ROUND(Z100-AA100-AB100,2)</f>
        <v>0</v>
      </c>
      <c r="AD100" s="47" t="n">
        <f aca="false">ROUND(AG99*(1+Sorted!$H$8),2)</f>
        <v>0</v>
      </c>
      <c r="AE100" s="47" t="n">
        <f aca="false">MIN(AD100,Sorted!$G$8)</f>
        <v>0</v>
      </c>
      <c r="AF100" s="47" t="n">
        <v>0</v>
      </c>
      <c r="AG100" s="47" t="n">
        <f aca="false">ROUND(AD100-AE100-AF100,2)</f>
        <v>0</v>
      </c>
      <c r="AH100" s="47" t="n">
        <f aca="false">ROUND(AK99*(1+Sorted!$H$9),2)</f>
        <v>0</v>
      </c>
      <c r="AI100" s="47" t="n">
        <f aca="false">MIN(AH100,Sorted!$G$9)</f>
        <v>0</v>
      </c>
      <c r="AJ100" s="47" t="n">
        <v>0</v>
      </c>
      <c r="AK100" s="47" t="n">
        <f aca="false">ROUND(AH100-AI100-AJ100,2)</f>
        <v>0</v>
      </c>
      <c r="AL100" s="47" t="n">
        <f aca="false">ROUND(AO99*(1+Sorted!$H$10),2)</f>
        <v>0</v>
      </c>
      <c r="AM100" s="47" t="n">
        <f aca="false">MIN(AL100,Sorted!$G$10)</f>
        <v>0</v>
      </c>
      <c r="AN100" s="47" t="n">
        <v>0</v>
      </c>
      <c r="AO100" s="47" t="n">
        <f aca="false">ROUND(AL100-AM100-AN100,2)</f>
        <v>0</v>
      </c>
      <c r="AP100" s="47" t="n">
        <f aca="false">ROUND(AS99*(1+Sorted!$H$11),2)</f>
        <v>0</v>
      </c>
      <c r="AQ100" s="47" t="n">
        <f aca="false">MIN(AP100,Sorted!$G$11)</f>
        <v>0</v>
      </c>
      <c r="AR100" s="47" t="n">
        <v>0</v>
      </c>
      <c r="AS100" s="47" t="n">
        <f aca="false">ROUND(AP100-AQ100-AR100,2)</f>
        <v>0</v>
      </c>
    </row>
    <row r="101" customFormat="false" ht="15" hidden="false" customHeight="false" outlineLevel="0" collapsed="false">
      <c r="A101" s="45" t="n">
        <v>98</v>
      </c>
      <c r="B101" s="46" t="n">
        <f aca="false">EDATE('My Debts'!$C$7,A101-1)</f>
        <v>49279</v>
      </c>
      <c r="C101" s="47" t="n">
        <v>0</v>
      </c>
      <c r="D101" s="47" t="n">
        <f aca="false">(F101+J101+N101+R101+V101+Z101+AD101+AH101+AL101+AP101)-(I101+M101+Q101+U101+Y101+AC101+AG101+AK101+AO101+AS101)</f>
        <v>0</v>
      </c>
      <c r="E101" s="48" t="n">
        <f aca="false">I101+M101+Q101+U101+Y101+AC101+AG101+AK101+AO101+AS101</f>
        <v>0</v>
      </c>
      <c r="F101" s="47" t="n">
        <f aca="false">ROUND(I100*(1+Sorted!$H$2),2)</f>
        <v>0</v>
      </c>
      <c r="G101" s="47" t="n">
        <f aca="false">MIN(F101,Sorted!$G$2)</f>
        <v>0</v>
      </c>
      <c r="H101" s="47" t="n">
        <v>0</v>
      </c>
      <c r="I101" s="47" t="n">
        <f aca="false">ROUND(F101-G101-H101,2)</f>
        <v>0</v>
      </c>
      <c r="J101" s="47" t="n">
        <f aca="false">ROUND(M100*(1+Sorted!$H$3),2)</f>
        <v>0</v>
      </c>
      <c r="K101" s="47" t="n">
        <f aca="false">MIN(J101,Sorted!$G$3)</f>
        <v>0</v>
      </c>
      <c r="L101" s="47" t="n">
        <v>0</v>
      </c>
      <c r="M101" s="47" t="n">
        <f aca="false">ROUND(J101-K101-L101,2)</f>
        <v>0</v>
      </c>
      <c r="N101" s="47" t="n">
        <f aca="false">ROUND(Q100*(1+Sorted!$H$4),2)</f>
        <v>0</v>
      </c>
      <c r="O101" s="47" t="n">
        <f aca="false">MIN(N101,Sorted!$G$4)</f>
        <v>0</v>
      </c>
      <c r="P101" s="47" t="n">
        <v>0</v>
      </c>
      <c r="Q101" s="47" t="n">
        <f aca="false">ROUND(N101-O101-P101,2)</f>
        <v>0</v>
      </c>
      <c r="R101" s="47" t="n">
        <f aca="false">ROUND(U100*(1+Sorted!$H$5),2)</f>
        <v>0</v>
      </c>
      <c r="S101" s="47" t="n">
        <f aca="false">MIN(R101,Sorted!$G$5)</f>
        <v>0</v>
      </c>
      <c r="T101" s="47" t="n">
        <v>0</v>
      </c>
      <c r="U101" s="47" t="n">
        <f aca="false">ROUND(R101-S101-T101,2)</f>
        <v>0</v>
      </c>
      <c r="V101" s="47" t="n">
        <f aca="false">ROUND(Y100*(1+Sorted!$H$6),2)</f>
        <v>0</v>
      </c>
      <c r="W101" s="47" t="n">
        <f aca="false">MIN(V101,Sorted!$G$6)</f>
        <v>0</v>
      </c>
      <c r="X101" s="47" t="n">
        <v>0</v>
      </c>
      <c r="Y101" s="47" t="n">
        <f aca="false">ROUND(V101-W101-X101,2)</f>
        <v>0</v>
      </c>
      <c r="Z101" s="47" t="n">
        <f aca="false">ROUND(AC100*(1+Sorted!$H$7),2)</f>
        <v>0</v>
      </c>
      <c r="AA101" s="47" t="n">
        <f aca="false">MIN(Z101,Sorted!$G$7)</f>
        <v>0</v>
      </c>
      <c r="AB101" s="47" t="n">
        <v>0</v>
      </c>
      <c r="AC101" s="47" t="n">
        <f aca="false">ROUND(Z101-AA101-AB101,2)</f>
        <v>0</v>
      </c>
      <c r="AD101" s="47" t="n">
        <f aca="false">ROUND(AG100*(1+Sorted!$H$8),2)</f>
        <v>0</v>
      </c>
      <c r="AE101" s="47" t="n">
        <f aca="false">MIN(AD101,Sorted!$G$8)</f>
        <v>0</v>
      </c>
      <c r="AF101" s="47" t="n">
        <v>0</v>
      </c>
      <c r="AG101" s="47" t="n">
        <f aca="false">ROUND(AD101-AE101-AF101,2)</f>
        <v>0</v>
      </c>
      <c r="AH101" s="47" t="n">
        <f aca="false">ROUND(AK100*(1+Sorted!$H$9),2)</f>
        <v>0</v>
      </c>
      <c r="AI101" s="47" t="n">
        <f aca="false">MIN(AH101,Sorted!$G$9)</f>
        <v>0</v>
      </c>
      <c r="AJ101" s="47" t="n">
        <v>0</v>
      </c>
      <c r="AK101" s="47" t="n">
        <f aca="false">ROUND(AH101-AI101-AJ101,2)</f>
        <v>0</v>
      </c>
      <c r="AL101" s="47" t="n">
        <f aca="false">ROUND(AO100*(1+Sorted!$H$10),2)</f>
        <v>0</v>
      </c>
      <c r="AM101" s="47" t="n">
        <f aca="false">MIN(AL101,Sorted!$G$10)</f>
        <v>0</v>
      </c>
      <c r="AN101" s="47" t="n">
        <v>0</v>
      </c>
      <c r="AO101" s="47" t="n">
        <f aca="false">ROUND(AL101-AM101-AN101,2)</f>
        <v>0</v>
      </c>
      <c r="AP101" s="47" t="n">
        <f aca="false">ROUND(AS100*(1+Sorted!$H$11),2)</f>
        <v>0</v>
      </c>
      <c r="AQ101" s="47" t="n">
        <f aca="false">MIN(AP101,Sorted!$G$11)</f>
        <v>0</v>
      </c>
      <c r="AR101" s="47" t="n">
        <v>0</v>
      </c>
      <c r="AS101" s="47" t="n">
        <f aca="false">ROUND(AP101-AQ101-AR101,2)</f>
        <v>0</v>
      </c>
    </row>
    <row r="102" customFormat="false" ht="15" hidden="false" customHeight="false" outlineLevel="0" collapsed="false">
      <c r="A102" s="45" t="n">
        <v>99</v>
      </c>
      <c r="B102" s="46" t="n">
        <f aca="false">EDATE('My Debts'!$C$7,A102-1)</f>
        <v>49310</v>
      </c>
      <c r="C102" s="47" t="n">
        <v>0</v>
      </c>
      <c r="D102" s="47" t="n">
        <f aca="false">(F102+J102+N102+R102+V102+Z102+AD102+AH102+AL102+AP102)-(I102+M102+Q102+U102+Y102+AC102+AG102+AK102+AO102+AS102)</f>
        <v>0</v>
      </c>
      <c r="E102" s="48" t="n">
        <f aca="false">I102+M102+Q102+U102+Y102+AC102+AG102+AK102+AO102+AS102</f>
        <v>0</v>
      </c>
      <c r="F102" s="47" t="n">
        <f aca="false">ROUND(I101*(1+Sorted!$H$2),2)</f>
        <v>0</v>
      </c>
      <c r="G102" s="47" t="n">
        <f aca="false">MIN(F102,Sorted!$G$2)</f>
        <v>0</v>
      </c>
      <c r="H102" s="47" t="n">
        <v>0</v>
      </c>
      <c r="I102" s="47" t="n">
        <f aca="false">ROUND(F102-G102-H102,2)</f>
        <v>0</v>
      </c>
      <c r="J102" s="47" t="n">
        <f aca="false">ROUND(M101*(1+Sorted!$H$3),2)</f>
        <v>0</v>
      </c>
      <c r="K102" s="47" t="n">
        <f aca="false">MIN(J102,Sorted!$G$3)</f>
        <v>0</v>
      </c>
      <c r="L102" s="47" t="n">
        <v>0</v>
      </c>
      <c r="M102" s="47" t="n">
        <f aca="false">ROUND(J102-K102-L102,2)</f>
        <v>0</v>
      </c>
      <c r="N102" s="47" t="n">
        <f aca="false">ROUND(Q101*(1+Sorted!$H$4),2)</f>
        <v>0</v>
      </c>
      <c r="O102" s="47" t="n">
        <f aca="false">MIN(N102,Sorted!$G$4)</f>
        <v>0</v>
      </c>
      <c r="P102" s="47" t="n">
        <v>0</v>
      </c>
      <c r="Q102" s="47" t="n">
        <f aca="false">ROUND(N102-O102-P102,2)</f>
        <v>0</v>
      </c>
      <c r="R102" s="47" t="n">
        <f aca="false">ROUND(U101*(1+Sorted!$H$5),2)</f>
        <v>0</v>
      </c>
      <c r="S102" s="47" t="n">
        <f aca="false">MIN(R102,Sorted!$G$5)</f>
        <v>0</v>
      </c>
      <c r="T102" s="47" t="n">
        <v>0</v>
      </c>
      <c r="U102" s="47" t="n">
        <f aca="false">ROUND(R102-S102-T102,2)</f>
        <v>0</v>
      </c>
      <c r="V102" s="47" t="n">
        <f aca="false">ROUND(Y101*(1+Sorted!$H$6),2)</f>
        <v>0</v>
      </c>
      <c r="W102" s="47" t="n">
        <f aca="false">MIN(V102,Sorted!$G$6)</f>
        <v>0</v>
      </c>
      <c r="X102" s="47" t="n">
        <v>0</v>
      </c>
      <c r="Y102" s="47" t="n">
        <f aca="false">ROUND(V102-W102-X102,2)</f>
        <v>0</v>
      </c>
      <c r="Z102" s="47" t="n">
        <f aca="false">ROUND(AC101*(1+Sorted!$H$7),2)</f>
        <v>0</v>
      </c>
      <c r="AA102" s="47" t="n">
        <f aca="false">MIN(Z102,Sorted!$G$7)</f>
        <v>0</v>
      </c>
      <c r="AB102" s="47" t="n">
        <v>0</v>
      </c>
      <c r="AC102" s="47" t="n">
        <f aca="false">ROUND(Z102-AA102-AB102,2)</f>
        <v>0</v>
      </c>
      <c r="AD102" s="47" t="n">
        <f aca="false">ROUND(AG101*(1+Sorted!$H$8),2)</f>
        <v>0</v>
      </c>
      <c r="AE102" s="47" t="n">
        <f aca="false">MIN(AD102,Sorted!$G$8)</f>
        <v>0</v>
      </c>
      <c r="AF102" s="47" t="n">
        <v>0</v>
      </c>
      <c r="AG102" s="47" t="n">
        <f aca="false">ROUND(AD102-AE102-AF102,2)</f>
        <v>0</v>
      </c>
      <c r="AH102" s="47" t="n">
        <f aca="false">ROUND(AK101*(1+Sorted!$H$9),2)</f>
        <v>0</v>
      </c>
      <c r="AI102" s="47" t="n">
        <f aca="false">MIN(AH102,Sorted!$G$9)</f>
        <v>0</v>
      </c>
      <c r="AJ102" s="47" t="n">
        <v>0</v>
      </c>
      <c r="AK102" s="47" t="n">
        <f aca="false">ROUND(AH102-AI102-AJ102,2)</f>
        <v>0</v>
      </c>
      <c r="AL102" s="47" t="n">
        <f aca="false">ROUND(AO101*(1+Sorted!$H$10),2)</f>
        <v>0</v>
      </c>
      <c r="AM102" s="47" t="n">
        <f aca="false">MIN(AL102,Sorted!$G$10)</f>
        <v>0</v>
      </c>
      <c r="AN102" s="47" t="n">
        <v>0</v>
      </c>
      <c r="AO102" s="47" t="n">
        <f aca="false">ROUND(AL102-AM102-AN102,2)</f>
        <v>0</v>
      </c>
      <c r="AP102" s="47" t="n">
        <f aca="false">ROUND(AS101*(1+Sorted!$H$11),2)</f>
        <v>0</v>
      </c>
      <c r="AQ102" s="47" t="n">
        <f aca="false">MIN(AP102,Sorted!$G$11)</f>
        <v>0</v>
      </c>
      <c r="AR102" s="47" t="n">
        <v>0</v>
      </c>
      <c r="AS102" s="47" t="n">
        <f aca="false">ROUND(AP102-AQ102-AR102,2)</f>
        <v>0</v>
      </c>
    </row>
    <row r="103" customFormat="false" ht="15" hidden="false" customHeight="false" outlineLevel="0" collapsed="false">
      <c r="A103" s="45" t="n">
        <v>100</v>
      </c>
      <c r="B103" s="46" t="n">
        <f aca="false">EDATE('My Debts'!$C$7,A103-1)</f>
        <v>49341</v>
      </c>
      <c r="C103" s="47" t="n">
        <v>0</v>
      </c>
      <c r="D103" s="47" t="n">
        <f aca="false">(F103+J103+N103+R103+V103+Z103+AD103+AH103+AL103+AP103)-(I103+M103+Q103+U103+Y103+AC103+AG103+AK103+AO103+AS103)</f>
        <v>0</v>
      </c>
      <c r="E103" s="48" t="n">
        <f aca="false">I103+M103+Q103+U103+Y103+AC103+AG103+AK103+AO103+AS103</f>
        <v>0</v>
      </c>
      <c r="F103" s="47" t="n">
        <f aca="false">ROUND(I102*(1+Sorted!$H$2),2)</f>
        <v>0</v>
      </c>
      <c r="G103" s="47" t="n">
        <f aca="false">MIN(F103,Sorted!$G$2)</f>
        <v>0</v>
      </c>
      <c r="H103" s="47" t="n">
        <v>0</v>
      </c>
      <c r="I103" s="47" t="n">
        <f aca="false">ROUND(F103-G103-H103,2)</f>
        <v>0</v>
      </c>
      <c r="J103" s="47" t="n">
        <f aca="false">ROUND(M102*(1+Sorted!$H$3),2)</f>
        <v>0</v>
      </c>
      <c r="K103" s="47" t="n">
        <f aca="false">MIN(J103,Sorted!$G$3)</f>
        <v>0</v>
      </c>
      <c r="L103" s="47" t="n">
        <v>0</v>
      </c>
      <c r="M103" s="47" t="n">
        <f aca="false">ROUND(J103-K103-L103,2)</f>
        <v>0</v>
      </c>
      <c r="N103" s="47" t="n">
        <f aca="false">ROUND(Q102*(1+Sorted!$H$4),2)</f>
        <v>0</v>
      </c>
      <c r="O103" s="47" t="n">
        <f aca="false">MIN(N103,Sorted!$G$4)</f>
        <v>0</v>
      </c>
      <c r="P103" s="47" t="n">
        <v>0</v>
      </c>
      <c r="Q103" s="47" t="n">
        <f aca="false">ROUND(N103-O103-P103,2)</f>
        <v>0</v>
      </c>
      <c r="R103" s="47" t="n">
        <f aca="false">ROUND(U102*(1+Sorted!$H$5),2)</f>
        <v>0</v>
      </c>
      <c r="S103" s="47" t="n">
        <f aca="false">MIN(R103,Sorted!$G$5)</f>
        <v>0</v>
      </c>
      <c r="T103" s="47" t="n">
        <v>0</v>
      </c>
      <c r="U103" s="47" t="n">
        <f aca="false">ROUND(R103-S103-T103,2)</f>
        <v>0</v>
      </c>
      <c r="V103" s="47" t="n">
        <f aca="false">ROUND(Y102*(1+Sorted!$H$6),2)</f>
        <v>0</v>
      </c>
      <c r="W103" s="47" t="n">
        <f aca="false">MIN(V103,Sorted!$G$6)</f>
        <v>0</v>
      </c>
      <c r="X103" s="47" t="n">
        <v>0</v>
      </c>
      <c r="Y103" s="47" t="n">
        <f aca="false">ROUND(V103-W103-X103,2)</f>
        <v>0</v>
      </c>
      <c r="Z103" s="47" t="n">
        <f aca="false">ROUND(AC102*(1+Sorted!$H$7),2)</f>
        <v>0</v>
      </c>
      <c r="AA103" s="47" t="n">
        <f aca="false">MIN(Z103,Sorted!$G$7)</f>
        <v>0</v>
      </c>
      <c r="AB103" s="47" t="n">
        <v>0</v>
      </c>
      <c r="AC103" s="47" t="n">
        <f aca="false">ROUND(Z103-AA103-AB103,2)</f>
        <v>0</v>
      </c>
      <c r="AD103" s="47" t="n">
        <f aca="false">ROUND(AG102*(1+Sorted!$H$8),2)</f>
        <v>0</v>
      </c>
      <c r="AE103" s="47" t="n">
        <f aca="false">MIN(AD103,Sorted!$G$8)</f>
        <v>0</v>
      </c>
      <c r="AF103" s="47" t="n">
        <v>0</v>
      </c>
      <c r="AG103" s="47" t="n">
        <f aca="false">ROUND(AD103-AE103-AF103,2)</f>
        <v>0</v>
      </c>
      <c r="AH103" s="47" t="n">
        <f aca="false">ROUND(AK102*(1+Sorted!$H$9),2)</f>
        <v>0</v>
      </c>
      <c r="AI103" s="47" t="n">
        <f aca="false">MIN(AH103,Sorted!$G$9)</f>
        <v>0</v>
      </c>
      <c r="AJ103" s="47" t="n">
        <v>0</v>
      </c>
      <c r="AK103" s="47" t="n">
        <f aca="false">ROUND(AH103-AI103-AJ103,2)</f>
        <v>0</v>
      </c>
      <c r="AL103" s="47" t="n">
        <f aca="false">ROUND(AO102*(1+Sorted!$H$10),2)</f>
        <v>0</v>
      </c>
      <c r="AM103" s="47" t="n">
        <f aca="false">MIN(AL103,Sorted!$G$10)</f>
        <v>0</v>
      </c>
      <c r="AN103" s="47" t="n">
        <v>0</v>
      </c>
      <c r="AO103" s="47" t="n">
        <f aca="false">ROUND(AL103-AM103-AN103,2)</f>
        <v>0</v>
      </c>
      <c r="AP103" s="47" t="n">
        <f aca="false">ROUND(AS102*(1+Sorted!$H$11),2)</f>
        <v>0</v>
      </c>
      <c r="AQ103" s="47" t="n">
        <f aca="false">MIN(AP103,Sorted!$G$11)</f>
        <v>0</v>
      </c>
      <c r="AR103" s="47" t="n">
        <v>0</v>
      </c>
      <c r="AS103" s="47" t="n">
        <f aca="false">ROUND(AP103-AQ103-AR103,2)</f>
        <v>0</v>
      </c>
    </row>
    <row r="104" customFormat="false" ht="15" hidden="false" customHeight="false" outlineLevel="0" collapsed="false">
      <c r="A104" s="45" t="n">
        <v>101</v>
      </c>
      <c r="B104" s="46" t="n">
        <f aca="false">EDATE('My Debts'!$C$7,A104-1)</f>
        <v>49369</v>
      </c>
      <c r="C104" s="47" t="n">
        <v>0</v>
      </c>
      <c r="D104" s="47" t="n">
        <f aca="false">(F104+J104+N104+R104+V104+Z104+AD104+AH104+AL104+AP104)-(I104+M104+Q104+U104+Y104+AC104+AG104+AK104+AO104+AS104)</f>
        <v>0</v>
      </c>
      <c r="E104" s="48" t="n">
        <f aca="false">I104+M104+Q104+U104+Y104+AC104+AG104+AK104+AO104+AS104</f>
        <v>0</v>
      </c>
      <c r="F104" s="47" t="n">
        <f aca="false">ROUND(I103*(1+Sorted!$H$2),2)</f>
        <v>0</v>
      </c>
      <c r="G104" s="47" t="n">
        <f aca="false">MIN(F104,Sorted!$G$2)</f>
        <v>0</v>
      </c>
      <c r="H104" s="47" t="n">
        <v>0</v>
      </c>
      <c r="I104" s="47" t="n">
        <f aca="false">ROUND(F104-G104-H104,2)</f>
        <v>0</v>
      </c>
      <c r="J104" s="47" t="n">
        <f aca="false">ROUND(M103*(1+Sorted!$H$3),2)</f>
        <v>0</v>
      </c>
      <c r="K104" s="47" t="n">
        <f aca="false">MIN(J104,Sorted!$G$3)</f>
        <v>0</v>
      </c>
      <c r="L104" s="47" t="n">
        <v>0</v>
      </c>
      <c r="M104" s="47" t="n">
        <f aca="false">ROUND(J104-K104-L104,2)</f>
        <v>0</v>
      </c>
      <c r="N104" s="47" t="n">
        <f aca="false">ROUND(Q103*(1+Sorted!$H$4),2)</f>
        <v>0</v>
      </c>
      <c r="O104" s="47" t="n">
        <f aca="false">MIN(N104,Sorted!$G$4)</f>
        <v>0</v>
      </c>
      <c r="P104" s="47" t="n">
        <v>0</v>
      </c>
      <c r="Q104" s="47" t="n">
        <f aca="false">ROUND(N104-O104-P104,2)</f>
        <v>0</v>
      </c>
      <c r="R104" s="47" t="n">
        <f aca="false">ROUND(U103*(1+Sorted!$H$5),2)</f>
        <v>0</v>
      </c>
      <c r="S104" s="47" t="n">
        <f aca="false">MIN(R104,Sorted!$G$5)</f>
        <v>0</v>
      </c>
      <c r="T104" s="47" t="n">
        <v>0</v>
      </c>
      <c r="U104" s="47" t="n">
        <f aca="false">ROUND(R104-S104-T104,2)</f>
        <v>0</v>
      </c>
      <c r="V104" s="47" t="n">
        <f aca="false">ROUND(Y103*(1+Sorted!$H$6),2)</f>
        <v>0</v>
      </c>
      <c r="W104" s="47" t="n">
        <f aca="false">MIN(V104,Sorted!$G$6)</f>
        <v>0</v>
      </c>
      <c r="X104" s="47" t="n">
        <v>0</v>
      </c>
      <c r="Y104" s="47" t="n">
        <f aca="false">ROUND(V104-W104-X104,2)</f>
        <v>0</v>
      </c>
      <c r="Z104" s="47" t="n">
        <f aca="false">ROUND(AC103*(1+Sorted!$H$7),2)</f>
        <v>0</v>
      </c>
      <c r="AA104" s="47" t="n">
        <f aca="false">MIN(Z104,Sorted!$G$7)</f>
        <v>0</v>
      </c>
      <c r="AB104" s="47" t="n">
        <v>0</v>
      </c>
      <c r="AC104" s="47" t="n">
        <f aca="false">ROUND(Z104-AA104-AB104,2)</f>
        <v>0</v>
      </c>
      <c r="AD104" s="47" t="n">
        <f aca="false">ROUND(AG103*(1+Sorted!$H$8),2)</f>
        <v>0</v>
      </c>
      <c r="AE104" s="47" t="n">
        <f aca="false">MIN(AD104,Sorted!$G$8)</f>
        <v>0</v>
      </c>
      <c r="AF104" s="47" t="n">
        <v>0</v>
      </c>
      <c r="AG104" s="47" t="n">
        <f aca="false">ROUND(AD104-AE104-AF104,2)</f>
        <v>0</v>
      </c>
      <c r="AH104" s="47" t="n">
        <f aca="false">ROUND(AK103*(1+Sorted!$H$9),2)</f>
        <v>0</v>
      </c>
      <c r="AI104" s="47" t="n">
        <f aca="false">MIN(AH104,Sorted!$G$9)</f>
        <v>0</v>
      </c>
      <c r="AJ104" s="47" t="n">
        <v>0</v>
      </c>
      <c r="AK104" s="47" t="n">
        <f aca="false">ROUND(AH104-AI104-AJ104,2)</f>
        <v>0</v>
      </c>
      <c r="AL104" s="47" t="n">
        <f aca="false">ROUND(AO103*(1+Sorted!$H$10),2)</f>
        <v>0</v>
      </c>
      <c r="AM104" s="47" t="n">
        <f aca="false">MIN(AL104,Sorted!$G$10)</f>
        <v>0</v>
      </c>
      <c r="AN104" s="47" t="n">
        <v>0</v>
      </c>
      <c r="AO104" s="47" t="n">
        <f aca="false">ROUND(AL104-AM104-AN104,2)</f>
        <v>0</v>
      </c>
      <c r="AP104" s="47" t="n">
        <f aca="false">ROUND(AS103*(1+Sorted!$H$11),2)</f>
        <v>0</v>
      </c>
      <c r="AQ104" s="47" t="n">
        <f aca="false">MIN(AP104,Sorted!$G$11)</f>
        <v>0</v>
      </c>
      <c r="AR104" s="47" t="n">
        <v>0</v>
      </c>
      <c r="AS104" s="47" t="n">
        <f aca="false">ROUND(AP104-AQ104-AR104,2)</f>
        <v>0</v>
      </c>
    </row>
    <row r="105" customFormat="false" ht="15" hidden="false" customHeight="false" outlineLevel="0" collapsed="false">
      <c r="A105" s="45" t="n">
        <v>102</v>
      </c>
      <c r="B105" s="46" t="n">
        <f aca="false">EDATE('My Debts'!$C$7,A105-1)</f>
        <v>49400</v>
      </c>
      <c r="C105" s="47" t="n">
        <v>0</v>
      </c>
      <c r="D105" s="47" t="n">
        <f aca="false">(F105+J105+N105+R105+V105+Z105+AD105+AH105+AL105+AP105)-(I105+M105+Q105+U105+Y105+AC105+AG105+AK105+AO105+AS105)</f>
        <v>0</v>
      </c>
      <c r="E105" s="48" t="n">
        <f aca="false">I105+M105+Q105+U105+Y105+AC105+AG105+AK105+AO105+AS105</f>
        <v>0</v>
      </c>
      <c r="F105" s="47" t="n">
        <f aca="false">ROUND(I104*(1+Sorted!$H$2),2)</f>
        <v>0</v>
      </c>
      <c r="G105" s="47" t="n">
        <f aca="false">MIN(F105,Sorted!$G$2)</f>
        <v>0</v>
      </c>
      <c r="H105" s="47" t="n">
        <v>0</v>
      </c>
      <c r="I105" s="47" t="n">
        <f aca="false">ROUND(F105-G105-H105,2)</f>
        <v>0</v>
      </c>
      <c r="J105" s="47" t="n">
        <f aca="false">ROUND(M104*(1+Sorted!$H$3),2)</f>
        <v>0</v>
      </c>
      <c r="K105" s="47" t="n">
        <f aca="false">MIN(J105,Sorted!$G$3)</f>
        <v>0</v>
      </c>
      <c r="L105" s="47" t="n">
        <v>0</v>
      </c>
      <c r="M105" s="47" t="n">
        <f aca="false">ROUND(J105-K105-L105,2)</f>
        <v>0</v>
      </c>
      <c r="N105" s="47" t="n">
        <f aca="false">ROUND(Q104*(1+Sorted!$H$4),2)</f>
        <v>0</v>
      </c>
      <c r="O105" s="47" t="n">
        <f aca="false">MIN(N105,Sorted!$G$4)</f>
        <v>0</v>
      </c>
      <c r="P105" s="47" t="n">
        <v>0</v>
      </c>
      <c r="Q105" s="47" t="n">
        <f aca="false">ROUND(N105-O105-P105,2)</f>
        <v>0</v>
      </c>
      <c r="R105" s="47" t="n">
        <f aca="false">ROUND(U104*(1+Sorted!$H$5),2)</f>
        <v>0</v>
      </c>
      <c r="S105" s="47" t="n">
        <f aca="false">MIN(R105,Sorted!$G$5)</f>
        <v>0</v>
      </c>
      <c r="T105" s="47" t="n">
        <v>0</v>
      </c>
      <c r="U105" s="47" t="n">
        <f aca="false">ROUND(R105-S105-T105,2)</f>
        <v>0</v>
      </c>
      <c r="V105" s="47" t="n">
        <f aca="false">ROUND(Y104*(1+Sorted!$H$6),2)</f>
        <v>0</v>
      </c>
      <c r="W105" s="47" t="n">
        <f aca="false">MIN(V105,Sorted!$G$6)</f>
        <v>0</v>
      </c>
      <c r="X105" s="47" t="n">
        <v>0</v>
      </c>
      <c r="Y105" s="47" t="n">
        <f aca="false">ROUND(V105-W105-X105,2)</f>
        <v>0</v>
      </c>
      <c r="Z105" s="47" t="n">
        <f aca="false">ROUND(AC104*(1+Sorted!$H$7),2)</f>
        <v>0</v>
      </c>
      <c r="AA105" s="47" t="n">
        <f aca="false">MIN(Z105,Sorted!$G$7)</f>
        <v>0</v>
      </c>
      <c r="AB105" s="47" t="n">
        <v>0</v>
      </c>
      <c r="AC105" s="47" t="n">
        <f aca="false">ROUND(Z105-AA105-AB105,2)</f>
        <v>0</v>
      </c>
      <c r="AD105" s="47" t="n">
        <f aca="false">ROUND(AG104*(1+Sorted!$H$8),2)</f>
        <v>0</v>
      </c>
      <c r="AE105" s="47" t="n">
        <f aca="false">MIN(AD105,Sorted!$G$8)</f>
        <v>0</v>
      </c>
      <c r="AF105" s="47" t="n">
        <v>0</v>
      </c>
      <c r="AG105" s="47" t="n">
        <f aca="false">ROUND(AD105-AE105-AF105,2)</f>
        <v>0</v>
      </c>
      <c r="AH105" s="47" t="n">
        <f aca="false">ROUND(AK104*(1+Sorted!$H$9),2)</f>
        <v>0</v>
      </c>
      <c r="AI105" s="47" t="n">
        <f aca="false">MIN(AH105,Sorted!$G$9)</f>
        <v>0</v>
      </c>
      <c r="AJ105" s="47" t="n">
        <v>0</v>
      </c>
      <c r="AK105" s="47" t="n">
        <f aca="false">ROUND(AH105-AI105-AJ105,2)</f>
        <v>0</v>
      </c>
      <c r="AL105" s="47" t="n">
        <f aca="false">ROUND(AO104*(1+Sorted!$H$10),2)</f>
        <v>0</v>
      </c>
      <c r="AM105" s="47" t="n">
        <f aca="false">MIN(AL105,Sorted!$G$10)</f>
        <v>0</v>
      </c>
      <c r="AN105" s="47" t="n">
        <v>0</v>
      </c>
      <c r="AO105" s="47" t="n">
        <f aca="false">ROUND(AL105-AM105-AN105,2)</f>
        <v>0</v>
      </c>
      <c r="AP105" s="47" t="n">
        <f aca="false">ROUND(AS104*(1+Sorted!$H$11),2)</f>
        <v>0</v>
      </c>
      <c r="AQ105" s="47" t="n">
        <f aca="false">MIN(AP105,Sorted!$G$11)</f>
        <v>0</v>
      </c>
      <c r="AR105" s="47" t="n">
        <v>0</v>
      </c>
      <c r="AS105" s="47" t="n">
        <f aca="false">ROUND(AP105-AQ105-AR105,2)</f>
        <v>0</v>
      </c>
    </row>
    <row r="106" customFormat="false" ht="15" hidden="false" customHeight="false" outlineLevel="0" collapsed="false">
      <c r="A106" s="45" t="n">
        <v>103</v>
      </c>
      <c r="B106" s="46" t="n">
        <f aca="false">EDATE('My Debts'!$C$7,A106-1)</f>
        <v>49430</v>
      </c>
      <c r="C106" s="47" t="n">
        <v>0</v>
      </c>
      <c r="D106" s="47" t="n">
        <f aca="false">(F106+J106+N106+R106+V106+Z106+AD106+AH106+AL106+AP106)-(I106+M106+Q106+U106+Y106+AC106+AG106+AK106+AO106+AS106)</f>
        <v>0</v>
      </c>
      <c r="E106" s="48" t="n">
        <f aca="false">I106+M106+Q106+U106+Y106+AC106+AG106+AK106+AO106+AS106</f>
        <v>0</v>
      </c>
      <c r="F106" s="47" t="n">
        <f aca="false">ROUND(I105*(1+Sorted!$H$2),2)</f>
        <v>0</v>
      </c>
      <c r="G106" s="47" t="n">
        <f aca="false">MIN(F106,Sorted!$G$2)</f>
        <v>0</v>
      </c>
      <c r="H106" s="47" t="n">
        <v>0</v>
      </c>
      <c r="I106" s="47" t="n">
        <f aca="false">ROUND(F106-G106-H106,2)</f>
        <v>0</v>
      </c>
      <c r="J106" s="47" t="n">
        <f aca="false">ROUND(M105*(1+Sorted!$H$3),2)</f>
        <v>0</v>
      </c>
      <c r="K106" s="47" t="n">
        <f aca="false">MIN(J106,Sorted!$G$3)</f>
        <v>0</v>
      </c>
      <c r="L106" s="47" t="n">
        <v>0</v>
      </c>
      <c r="M106" s="47" t="n">
        <f aca="false">ROUND(J106-K106-L106,2)</f>
        <v>0</v>
      </c>
      <c r="N106" s="47" t="n">
        <f aca="false">ROUND(Q105*(1+Sorted!$H$4),2)</f>
        <v>0</v>
      </c>
      <c r="O106" s="47" t="n">
        <f aca="false">MIN(N106,Sorted!$G$4)</f>
        <v>0</v>
      </c>
      <c r="P106" s="47" t="n">
        <v>0</v>
      </c>
      <c r="Q106" s="47" t="n">
        <f aca="false">ROUND(N106-O106-P106,2)</f>
        <v>0</v>
      </c>
      <c r="R106" s="47" t="n">
        <f aca="false">ROUND(U105*(1+Sorted!$H$5),2)</f>
        <v>0</v>
      </c>
      <c r="S106" s="47" t="n">
        <f aca="false">MIN(R106,Sorted!$G$5)</f>
        <v>0</v>
      </c>
      <c r="T106" s="47" t="n">
        <v>0</v>
      </c>
      <c r="U106" s="47" t="n">
        <f aca="false">ROUND(R106-S106-T106,2)</f>
        <v>0</v>
      </c>
      <c r="V106" s="47" t="n">
        <f aca="false">ROUND(Y105*(1+Sorted!$H$6),2)</f>
        <v>0</v>
      </c>
      <c r="W106" s="47" t="n">
        <f aca="false">MIN(V106,Sorted!$G$6)</f>
        <v>0</v>
      </c>
      <c r="X106" s="47" t="n">
        <v>0</v>
      </c>
      <c r="Y106" s="47" t="n">
        <f aca="false">ROUND(V106-W106-X106,2)</f>
        <v>0</v>
      </c>
      <c r="Z106" s="47" t="n">
        <f aca="false">ROUND(AC105*(1+Sorted!$H$7),2)</f>
        <v>0</v>
      </c>
      <c r="AA106" s="47" t="n">
        <f aca="false">MIN(Z106,Sorted!$G$7)</f>
        <v>0</v>
      </c>
      <c r="AB106" s="47" t="n">
        <v>0</v>
      </c>
      <c r="AC106" s="47" t="n">
        <f aca="false">ROUND(Z106-AA106-AB106,2)</f>
        <v>0</v>
      </c>
      <c r="AD106" s="47" t="n">
        <f aca="false">ROUND(AG105*(1+Sorted!$H$8),2)</f>
        <v>0</v>
      </c>
      <c r="AE106" s="47" t="n">
        <f aca="false">MIN(AD106,Sorted!$G$8)</f>
        <v>0</v>
      </c>
      <c r="AF106" s="47" t="n">
        <v>0</v>
      </c>
      <c r="AG106" s="47" t="n">
        <f aca="false">ROUND(AD106-AE106-AF106,2)</f>
        <v>0</v>
      </c>
      <c r="AH106" s="47" t="n">
        <f aca="false">ROUND(AK105*(1+Sorted!$H$9),2)</f>
        <v>0</v>
      </c>
      <c r="AI106" s="47" t="n">
        <f aca="false">MIN(AH106,Sorted!$G$9)</f>
        <v>0</v>
      </c>
      <c r="AJ106" s="47" t="n">
        <v>0</v>
      </c>
      <c r="AK106" s="47" t="n">
        <f aca="false">ROUND(AH106-AI106-AJ106,2)</f>
        <v>0</v>
      </c>
      <c r="AL106" s="47" t="n">
        <f aca="false">ROUND(AO105*(1+Sorted!$H$10),2)</f>
        <v>0</v>
      </c>
      <c r="AM106" s="47" t="n">
        <f aca="false">MIN(AL106,Sorted!$G$10)</f>
        <v>0</v>
      </c>
      <c r="AN106" s="47" t="n">
        <v>0</v>
      </c>
      <c r="AO106" s="47" t="n">
        <f aca="false">ROUND(AL106-AM106-AN106,2)</f>
        <v>0</v>
      </c>
      <c r="AP106" s="47" t="n">
        <f aca="false">ROUND(AS105*(1+Sorted!$H$11),2)</f>
        <v>0</v>
      </c>
      <c r="AQ106" s="47" t="n">
        <f aca="false">MIN(AP106,Sorted!$G$11)</f>
        <v>0</v>
      </c>
      <c r="AR106" s="47" t="n">
        <v>0</v>
      </c>
      <c r="AS106" s="47" t="n">
        <f aca="false">ROUND(AP106-AQ106-AR106,2)</f>
        <v>0</v>
      </c>
    </row>
    <row r="107" customFormat="false" ht="15" hidden="false" customHeight="false" outlineLevel="0" collapsed="false">
      <c r="A107" s="45" t="n">
        <v>104</v>
      </c>
      <c r="B107" s="46" t="n">
        <f aca="false">EDATE('My Debts'!$C$7,A107-1)</f>
        <v>49461</v>
      </c>
      <c r="C107" s="47" t="n">
        <v>0</v>
      </c>
      <c r="D107" s="47" t="n">
        <f aca="false">(F107+J107+N107+R107+V107+Z107+AD107+AH107+AL107+AP107)-(I107+M107+Q107+U107+Y107+AC107+AG107+AK107+AO107+AS107)</f>
        <v>0</v>
      </c>
      <c r="E107" s="48" t="n">
        <f aca="false">I107+M107+Q107+U107+Y107+AC107+AG107+AK107+AO107+AS107</f>
        <v>0</v>
      </c>
      <c r="F107" s="47" t="n">
        <f aca="false">ROUND(I106*(1+Sorted!$H$2),2)</f>
        <v>0</v>
      </c>
      <c r="G107" s="47" t="n">
        <f aca="false">MIN(F107,Sorted!$G$2)</f>
        <v>0</v>
      </c>
      <c r="H107" s="47" t="n">
        <v>0</v>
      </c>
      <c r="I107" s="47" t="n">
        <f aca="false">ROUND(F107-G107-H107,2)</f>
        <v>0</v>
      </c>
      <c r="J107" s="47" t="n">
        <f aca="false">ROUND(M106*(1+Sorted!$H$3),2)</f>
        <v>0</v>
      </c>
      <c r="K107" s="47" t="n">
        <f aca="false">MIN(J107,Sorted!$G$3)</f>
        <v>0</v>
      </c>
      <c r="L107" s="47" t="n">
        <v>0</v>
      </c>
      <c r="M107" s="47" t="n">
        <f aca="false">ROUND(J107-K107-L107,2)</f>
        <v>0</v>
      </c>
      <c r="N107" s="47" t="n">
        <f aca="false">ROUND(Q106*(1+Sorted!$H$4),2)</f>
        <v>0</v>
      </c>
      <c r="O107" s="47" t="n">
        <f aca="false">MIN(N107,Sorted!$G$4)</f>
        <v>0</v>
      </c>
      <c r="P107" s="47" t="n">
        <v>0</v>
      </c>
      <c r="Q107" s="47" t="n">
        <f aca="false">ROUND(N107-O107-P107,2)</f>
        <v>0</v>
      </c>
      <c r="R107" s="47" t="n">
        <f aca="false">ROUND(U106*(1+Sorted!$H$5),2)</f>
        <v>0</v>
      </c>
      <c r="S107" s="47" t="n">
        <f aca="false">MIN(R107,Sorted!$G$5)</f>
        <v>0</v>
      </c>
      <c r="T107" s="47" t="n">
        <v>0</v>
      </c>
      <c r="U107" s="47" t="n">
        <f aca="false">ROUND(R107-S107-T107,2)</f>
        <v>0</v>
      </c>
      <c r="V107" s="47" t="n">
        <f aca="false">ROUND(Y106*(1+Sorted!$H$6),2)</f>
        <v>0</v>
      </c>
      <c r="W107" s="47" t="n">
        <f aca="false">MIN(V107,Sorted!$G$6)</f>
        <v>0</v>
      </c>
      <c r="X107" s="47" t="n">
        <v>0</v>
      </c>
      <c r="Y107" s="47" t="n">
        <f aca="false">ROUND(V107-W107-X107,2)</f>
        <v>0</v>
      </c>
      <c r="Z107" s="47" t="n">
        <f aca="false">ROUND(AC106*(1+Sorted!$H$7),2)</f>
        <v>0</v>
      </c>
      <c r="AA107" s="47" t="n">
        <f aca="false">MIN(Z107,Sorted!$G$7)</f>
        <v>0</v>
      </c>
      <c r="AB107" s="47" t="n">
        <v>0</v>
      </c>
      <c r="AC107" s="47" t="n">
        <f aca="false">ROUND(Z107-AA107-AB107,2)</f>
        <v>0</v>
      </c>
      <c r="AD107" s="47" t="n">
        <f aca="false">ROUND(AG106*(1+Sorted!$H$8),2)</f>
        <v>0</v>
      </c>
      <c r="AE107" s="47" t="n">
        <f aca="false">MIN(AD107,Sorted!$G$8)</f>
        <v>0</v>
      </c>
      <c r="AF107" s="47" t="n">
        <v>0</v>
      </c>
      <c r="AG107" s="47" t="n">
        <f aca="false">ROUND(AD107-AE107-AF107,2)</f>
        <v>0</v>
      </c>
      <c r="AH107" s="47" t="n">
        <f aca="false">ROUND(AK106*(1+Sorted!$H$9),2)</f>
        <v>0</v>
      </c>
      <c r="AI107" s="47" t="n">
        <f aca="false">MIN(AH107,Sorted!$G$9)</f>
        <v>0</v>
      </c>
      <c r="AJ107" s="47" t="n">
        <v>0</v>
      </c>
      <c r="AK107" s="47" t="n">
        <f aca="false">ROUND(AH107-AI107-AJ107,2)</f>
        <v>0</v>
      </c>
      <c r="AL107" s="47" t="n">
        <f aca="false">ROUND(AO106*(1+Sorted!$H$10),2)</f>
        <v>0</v>
      </c>
      <c r="AM107" s="47" t="n">
        <f aca="false">MIN(AL107,Sorted!$G$10)</f>
        <v>0</v>
      </c>
      <c r="AN107" s="47" t="n">
        <v>0</v>
      </c>
      <c r="AO107" s="47" t="n">
        <f aca="false">ROUND(AL107-AM107-AN107,2)</f>
        <v>0</v>
      </c>
      <c r="AP107" s="47" t="n">
        <f aca="false">ROUND(AS106*(1+Sorted!$H$11),2)</f>
        <v>0</v>
      </c>
      <c r="AQ107" s="47" t="n">
        <f aca="false">MIN(AP107,Sorted!$G$11)</f>
        <v>0</v>
      </c>
      <c r="AR107" s="47" t="n">
        <v>0</v>
      </c>
      <c r="AS107" s="47" t="n">
        <f aca="false">ROUND(AP107-AQ107-AR107,2)</f>
        <v>0</v>
      </c>
    </row>
    <row r="108" customFormat="false" ht="15" hidden="false" customHeight="false" outlineLevel="0" collapsed="false">
      <c r="A108" s="45" t="n">
        <v>105</v>
      </c>
      <c r="B108" s="46" t="n">
        <f aca="false">EDATE('My Debts'!$C$7,A108-1)</f>
        <v>49491</v>
      </c>
      <c r="C108" s="47" t="n">
        <v>0</v>
      </c>
      <c r="D108" s="47" t="n">
        <f aca="false">(F108+J108+N108+R108+V108+Z108+AD108+AH108+AL108+AP108)-(I108+M108+Q108+U108+Y108+AC108+AG108+AK108+AO108+AS108)</f>
        <v>0</v>
      </c>
      <c r="E108" s="48" t="n">
        <f aca="false">I108+M108+Q108+U108+Y108+AC108+AG108+AK108+AO108+AS108</f>
        <v>0</v>
      </c>
      <c r="F108" s="47" t="n">
        <f aca="false">ROUND(I107*(1+Sorted!$H$2),2)</f>
        <v>0</v>
      </c>
      <c r="G108" s="47" t="n">
        <f aca="false">MIN(F108,Sorted!$G$2)</f>
        <v>0</v>
      </c>
      <c r="H108" s="47" t="n">
        <v>0</v>
      </c>
      <c r="I108" s="47" t="n">
        <f aca="false">ROUND(F108-G108-H108,2)</f>
        <v>0</v>
      </c>
      <c r="J108" s="47" t="n">
        <f aca="false">ROUND(M107*(1+Sorted!$H$3),2)</f>
        <v>0</v>
      </c>
      <c r="K108" s="47" t="n">
        <f aca="false">MIN(J108,Sorted!$G$3)</f>
        <v>0</v>
      </c>
      <c r="L108" s="47" t="n">
        <v>0</v>
      </c>
      <c r="M108" s="47" t="n">
        <f aca="false">ROUND(J108-K108-L108,2)</f>
        <v>0</v>
      </c>
      <c r="N108" s="47" t="n">
        <f aca="false">ROUND(Q107*(1+Sorted!$H$4),2)</f>
        <v>0</v>
      </c>
      <c r="O108" s="47" t="n">
        <f aca="false">MIN(N108,Sorted!$G$4)</f>
        <v>0</v>
      </c>
      <c r="P108" s="47" t="n">
        <v>0</v>
      </c>
      <c r="Q108" s="47" t="n">
        <f aca="false">ROUND(N108-O108-P108,2)</f>
        <v>0</v>
      </c>
      <c r="R108" s="47" t="n">
        <f aca="false">ROUND(U107*(1+Sorted!$H$5),2)</f>
        <v>0</v>
      </c>
      <c r="S108" s="47" t="n">
        <f aca="false">MIN(R108,Sorted!$G$5)</f>
        <v>0</v>
      </c>
      <c r="T108" s="47" t="n">
        <v>0</v>
      </c>
      <c r="U108" s="47" t="n">
        <f aca="false">ROUND(R108-S108-T108,2)</f>
        <v>0</v>
      </c>
      <c r="V108" s="47" t="n">
        <f aca="false">ROUND(Y107*(1+Sorted!$H$6),2)</f>
        <v>0</v>
      </c>
      <c r="W108" s="47" t="n">
        <f aca="false">MIN(V108,Sorted!$G$6)</f>
        <v>0</v>
      </c>
      <c r="X108" s="47" t="n">
        <v>0</v>
      </c>
      <c r="Y108" s="47" t="n">
        <f aca="false">ROUND(V108-W108-X108,2)</f>
        <v>0</v>
      </c>
      <c r="Z108" s="47" t="n">
        <f aca="false">ROUND(AC107*(1+Sorted!$H$7),2)</f>
        <v>0</v>
      </c>
      <c r="AA108" s="47" t="n">
        <f aca="false">MIN(Z108,Sorted!$G$7)</f>
        <v>0</v>
      </c>
      <c r="AB108" s="47" t="n">
        <v>0</v>
      </c>
      <c r="AC108" s="47" t="n">
        <f aca="false">ROUND(Z108-AA108-AB108,2)</f>
        <v>0</v>
      </c>
      <c r="AD108" s="47" t="n">
        <f aca="false">ROUND(AG107*(1+Sorted!$H$8),2)</f>
        <v>0</v>
      </c>
      <c r="AE108" s="47" t="n">
        <f aca="false">MIN(AD108,Sorted!$G$8)</f>
        <v>0</v>
      </c>
      <c r="AF108" s="47" t="n">
        <v>0</v>
      </c>
      <c r="AG108" s="47" t="n">
        <f aca="false">ROUND(AD108-AE108-AF108,2)</f>
        <v>0</v>
      </c>
      <c r="AH108" s="47" t="n">
        <f aca="false">ROUND(AK107*(1+Sorted!$H$9),2)</f>
        <v>0</v>
      </c>
      <c r="AI108" s="47" t="n">
        <f aca="false">MIN(AH108,Sorted!$G$9)</f>
        <v>0</v>
      </c>
      <c r="AJ108" s="47" t="n">
        <v>0</v>
      </c>
      <c r="AK108" s="47" t="n">
        <f aca="false">ROUND(AH108-AI108-AJ108,2)</f>
        <v>0</v>
      </c>
      <c r="AL108" s="47" t="n">
        <f aca="false">ROUND(AO107*(1+Sorted!$H$10),2)</f>
        <v>0</v>
      </c>
      <c r="AM108" s="47" t="n">
        <f aca="false">MIN(AL108,Sorted!$G$10)</f>
        <v>0</v>
      </c>
      <c r="AN108" s="47" t="n">
        <v>0</v>
      </c>
      <c r="AO108" s="47" t="n">
        <f aca="false">ROUND(AL108-AM108-AN108,2)</f>
        <v>0</v>
      </c>
      <c r="AP108" s="47" t="n">
        <f aca="false">ROUND(AS107*(1+Sorted!$H$11),2)</f>
        <v>0</v>
      </c>
      <c r="AQ108" s="47" t="n">
        <f aca="false">MIN(AP108,Sorted!$G$11)</f>
        <v>0</v>
      </c>
      <c r="AR108" s="47" t="n">
        <v>0</v>
      </c>
      <c r="AS108" s="47" t="n">
        <f aca="false">ROUND(AP108-AQ108-AR108,2)</f>
        <v>0</v>
      </c>
    </row>
    <row r="109" customFormat="false" ht="15" hidden="false" customHeight="false" outlineLevel="0" collapsed="false">
      <c r="A109" s="45" t="n">
        <v>106</v>
      </c>
      <c r="B109" s="46" t="n">
        <f aca="false">EDATE('My Debts'!$C$7,A109-1)</f>
        <v>49522</v>
      </c>
      <c r="C109" s="47" t="n">
        <v>0</v>
      </c>
      <c r="D109" s="47" t="n">
        <f aca="false">(F109+J109+N109+R109+V109+Z109+AD109+AH109+AL109+AP109)-(I109+M109+Q109+U109+Y109+AC109+AG109+AK109+AO109+AS109)</f>
        <v>0</v>
      </c>
      <c r="E109" s="48" t="n">
        <f aca="false">I109+M109+Q109+U109+Y109+AC109+AG109+AK109+AO109+AS109</f>
        <v>0</v>
      </c>
      <c r="F109" s="47" t="n">
        <f aca="false">ROUND(I108*(1+Sorted!$H$2),2)</f>
        <v>0</v>
      </c>
      <c r="G109" s="47" t="n">
        <f aca="false">MIN(F109,Sorted!$G$2)</f>
        <v>0</v>
      </c>
      <c r="H109" s="47" t="n">
        <v>0</v>
      </c>
      <c r="I109" s="47" t="n">
        <f aca="false">ROUND(F109-G109-H109,2)</f>
        <v>0</v>
      </c>
      <c r="J109" s="47" t="n">
        <f aca="false">ROUND(M108*(1+Sorted!$H$3),2)</f>
        <v>0</v>
      </c>
      <c r="K109" s="47" t="n">
        <f aca="false">MIN(J109,Sorted!$G$3)</f>
        <v>0</v>
      </c>
      <c r="L109" s="47" t="n">
        <v>0</v>
      </c>
      <c r="M109" s="47" t="n">
        <f aca="false">ROUND(J109-K109-L109,2)</f>
        <v>0</v>
      </c>
      <c r="N109" s="47" t="n">
        <f aca="false">ROUND(Q108*(1+Sorted!$H$4),2)</f>
        <v>0</v>
      </c>
      <c r="O109" s="47" t="n">
        <f aca="false">MIN(N109,Sorted!$G$4)</f>
        <v>0</v>
      </c>
      <c r="P109" s="47" t="n">
        <v>0</v>
      </c>
      <c r="Q109" s="47" t="n">
        <f aca="false">ROUND(N109-O109-P109,2)</f>
        <v>0</v>
      </c>
      <c r="R109" s="47" t="n">
        <f aca="false">ROUND(U108*(1+Sorted!$H$5),2)</f>
        <v>0</v>
      </c>
      <c r="S109" s="47" t="n">
        <f aca="false">MIN(R109,Sorted!$G$5)</f>
        <v>0</v>
      </c>
      <c r="T109" s="47" t="n">
        <v>0</v>
      </c>
      <c r="U109" s="47" t="n">
        <f aca="false">ROUND(R109-S109-T109,2)</f>
        <v>0</v>
      </c>
      <c r="V109" s="47" t="n">
        <f aca="false">ROUND(Y108*(1+Sorted!$H$6),2)</f>
        <v>0</v>
      </c>
      <c r="W109" s="47" t="n">
        <f aca="false">MIN(V109,Sorted!$G$6)</f>
        <v>0</v>
      </c>
      <c r="X109" s="47" t="n">
        <v>0</v>
      </c>
      <c r="Y109" s="47" t="n">
        <f aca="false">ROUND(V109-W109-X109,2)</f>
        <v>0</v>
      </c>
      <c r="Z109" s="47" t="n">
        <f aca="false">ROUND(AC108*(1+Sorted!$H$7),2)</f>
        <v>0</v>
      </c>
      <c r="AA109" s="47" t="n">
        <f aca="false">MIN(Z109,Sorted!$G$7)</f>
        <v>0</v>
      </c>
      <c r="AB109" s="47" t="n">
        <v>0</v>
      </c>
      <c r="AC109" s="47" t="n">
        <f aca="false">ROUND(Z109-AA109-AB109,2)</f>
        <v>0</v>
      </c>
      <c r="AD109" s="47" t="n">
        <f aca="false">ROUND(AG108*(1+Sorted!$H$8),2)</f>
        <v>0</v>
      </c>
      <c r="AE109" s="47" t="n">
        <f aca="false">MIN(AD109,Sorted!$G$8)</f>
        <v>0</v>
      </c>
      <c r="AF109" s="47" t="n">
        <v>0</v>
      </c>
      <c r="AG109" s="47" t="n">
        <f aca="false">ROUND(AD109-AE109-AF109,2)</f>
        <v>0</v>
      </c>
      <c r="AH109" s="47" t="n">
        <f aca="false">ROUND(AK108*(1+Sorted!$H$9),2)</f>
        <v>0</v>
      </c>
      <c r="AI109" s="47" t="n">
        <f aca="false">MIN(AH109,Sorted!$G$9)</f>
        <v>0</v>
      </c>
      <c r="AJ109" s="47" t="n">
        <v>0</v>
      </c>
      <c r="AK109" s="47" t="n">
        <f aca="false">ROUND(AH109-AI109-AJ109,2)</f>
        <v>0</v>
      </c>
      <c r="AL109" s="47" t="n">
        <f aca="false">ROUND(AO108*(1+Sorted!$H$10),2)</f>
        <v>0</v>
      </c>
      <c r="AM109" s="47" t="n">
        <f aca="false">MIN(AL109,Sorted!$G$10)</f>
        <v>0</v>
      </c>
      <c r="AN109" s="47" t="n">
        <v>0</v>
      </c>
      <c r="AO109" s="47" t="n">
        <f aca="false">ROUND(AL109-AM109-AN109,2)</f>
        <v>0</v>
      </c>
      <c r="AP109" s="47" t="n">
        <f aca="false">ROUND(AS108*(1+Sorted!$H$11),2)</f>
        <v>0</v>
      </c>
      <c r="AQ109" s="47" t="n">
        <f aca="false">MIN(AP109,Sorted!$G$11)</f>
        <v>0</v>
      </c>
      <c r="AR109" s="47" t="n">
        <v>0</v>
      </c>
      <c r="AS109" s="47" t="n">
        <f aca="false">ROUND(AP109-AQ109-AR109,2)</f>
        <v>0</v>
      </c>
    </row>
    <row r="110" customFormat="false" ht="15" hidden="false" customHeight="false" outlineLevel="0" collapsed="false">
      <c r="A110" s="45" t="n">
        <v>107</v>
      </c>
      <c r="B110" s="46" t="n">
        <f aca="false">EDATE('My Debts'!$C$7,A110-1)</f>
        <v>49553</v>
      </c>
      <c r="C110" s="47" t="n">
        <v>0</v>
      </c>
      <c r="D110" s="47" t="n">
        <f aca="false">(F110+J110+N110+R110+V110+Z110+AD110+AH110+AL110+AP110)-(I110+M110+Q110+U110+Y110+AC110+AG110+AK110+AO110+AS110)</f>
        <v>0</v>
      </c>
      <c r="E110" s="48" t="n">
        <f aca="false">I110+M110+Q110+U110+Y110+AC110+AG110+AK110+AO110+AS110</f>
        <v>0</v>
      </c>
      <c r="F110" s="47" t="n">
        <f aca="false">ROUND(I109*(1+Sorted!$H$2),2)</f>
        <v>0</v>
      </c>
      <c r="G110" s="47" t="n">
        <f aca="false">MIN(F110,Sorted!$G$2)</f>
        <v>0</v>
      </c>
      <c r="H110" s="47" t="n">
        <v>0</v>
      </c>
      <c r="I110" s="47" t="n">
        <f aca="false">ROUND(F110-G110-H110,2)</f>
        <v>0</v>
      </c>
      <c r="J110" s="47" t="n">
        <f aca="false">ROUND(M109*(1+Sorted!$H$3),2)</f>
        <v>0</v>
      </c>
      <c r="K110" s="47" t="n">
        <f aca="false">MIN(J110,Sorted!$G$3)</f>
        <v>0</v>
      </c>
      <c r="L110" s="47" t="n">
        <v>0</v>
      </c>
      <c r="M110" s="47" t="n">
        <f aca="false">ROUND(J110-K110-L110,2)</f>
        <v>0</v>
      </c>
      <c r="N110" s="47" t="n">
        <f aca="false">ROUND(Q109*(1+Sorted!$H$4),2)</f>
        <v>0</v>
      </c>
      <c r="O110" s="47" t="n">
        <f aca="false">MIN(N110,Sorted!$G$4)</f>
        <v>0</v>
      </c>
      <c r="P110" s="47" t="n">
        <v>0</v>
      </c>
      <c r="Q110" s="47" t="n">
        <f aca="false">ROUND(N110-O110-P110,2)</f>
        <v>0</v>
      </c>
      <c r="R110" s="47" t="n">
        <f aca="false">ROUND(U109*(1+Sorted!$H$5),2)</f>
        <v>0</v>
      </c>
      <c r="S110" s="47" t="n">
        <f aca="false">MIN(R110,Sorted!$G$5)</f>
        <v>0</v>
      </c>
      <c r="T110" s="47" t="n">
        <v>0</v>
      </c>
      <c r="U110" s="47" t="n">
        <f aca="false">ROUND(R110-S110-T110,2)</f>
        <v>0</v>
      </c>
      <c r="V110" s="47" t="n">
        <f aca="false">ROUND(Y109*(1+Sorted!$H$6),2)</f>
        <v>0</v>
      </c>
      <c r="W110" s="47" t="n">
        <f aca="false">MIN(V110,Sorted!$G$6)</f>
        <v>0</v>
      </c>
      <c r="X110" s="47" t="n">
        <v>0</v>
      </c>
      <c r="Y110" s="47" t="n">
        <f aca="false">ROUND(V110-W110-X110,2)</f>
        <v>0</v>
      </c>
      <c r="Z110" s="47" t="n">
        <f aca="false">ROUND(AC109*(1+Sorted!$H$7),2)</f>
        <v>0</v>
      </c>
      <c r="AA110" s="47" t="n">
        <f aca="false">MIN(Z110,Sorted!$G$7)</f>
        <v>0</v>
      </c>
      <c r="AB110" s="47" t="n">
        <v>0</v>
      </c>
      <c r="AC110" s="47" t="n">
        <f aca="false">ROUND(Z110-AA110-AB110,2)</f>
        <v>0</v>
      </c>
      <c r="AD110" s="47" t="n">
        <f aca="false">ROUND(AG109*(1+Sorted!$H$8),2)</f>
        <v>0</v>
      </c>
      <c r="AE110" s="47" t="n">
        <f aca="false">MIN(AD110,Sorted!$G$8)</f>
        <v>0</v>
      </c>
      <c r="AF110" s="47" t="n">
        <v>0</v>
      </c>
      <c r="AG110" s="47" t="n">
        <f aca="false">ROUND(AD110-AE110-AF110,2)</f>
        <v>0</v>
      </c>
      <c r="AH110" s="47" t="n">
        <f aca="false">ROUND(AK109*(1+Sorted!$H$9),2)</f>
        <v>0</v>
      </c>
      <c r="AI110" s="47" t="n">
        <f aca="false">MIN(AH110,Sorted!$G$9)</f>
        <v>0</v>
      </c>
      <c r="AJ110" s="47" t="n">
        <v>0</v>
      </c>
      <c r="AK110" s="47" t="n">
        <f aca="false">ROUND(AH110-AI110-AJ110,2)</f>
        <v>0</v>
      </c>
      <c r="AL110" s="47" t="n">
        <f aca="false">ROUND(AO109*(1+Sorted!$H$10),2)</f>
        <v>0</v>
      </c>
      <c r="AM110" s="47" t="n">
        <f aca="false">MIN(AL110,Sorted!$G$10)</f>
        <v>0</v>
      </c>
      <c r="AN110" s="47" t="n">
        <v>0</v>
      </c>
      <c r="AO110" s="47" t="n">
        <f aca="false">ROUND(AL110-AM110-AN110,2)</f>
        <v>0</v>
      </c>
      <c r="AP110" s="47" t="n">
        <f aca="false">ROUND(AS109*(1+Sorted!$H$11),2)</f>
        <v>0</v>
      </c>
      <c r="AQ110" s="47" t="n">
        <f aca="false">MIN(AP110,Sorted!$G$11)</f>
        <v>0</v>
      </c>
      <c r="AR110" s="47" t="n">
        <v>0</v>
      </c>
      <c r="AS110" s="47" t="n">
        <f aca="false">ROUND(AP110-AQ110-AR110,2)</f>
        <v>0</v>
      </c>
    </row>
    <row r="111" customFormat="false" ht="15" hidden="false" customHeight="false" outlineLevel="0" collapsed="false">
      <c r="A111" s="45" t="n">
        <v>108</v>
      </c>
      <c r="B111" s="46" t="n">
        <f aca="false">EDATE('My Debts'!$C$7,A111-1)</f>
        <v>49583</v>
      </c>
      <c r="C111" s="47" t="n">
        <v>0</v>
      </c>
      <c r="D111" s="47" t="n">
        <f aca="false">(F111+J111+N111+R111+V111+Z111+AD111+AH111+AL111+AP111)-(I111+M111+Q111+U111+Y111+AC111+AG111+AK111+AO111+AS111)</f>
        <v>0</v>
      </c>
      <c r="E111" s="48" t="n">
        <f aca="false">I111+M111+Q111+U111+Y111+AC111+AG111+AK111+AO111+AS111</f>
        <v>0</v>
      </c>
      <c r="F111" s="47" t="n">
        <f aca="false">ROUND(I110*(1+Sorted!$H$2),2)</f>
        <v>0</v>
      </c>
      <c r="G111" s="47" t="n">
        <f aca="false">MIN(F111,Sorted!$G$2)</f>
        <v>0</v>
      </c>
      <c r="H111" s="47" t="n">
        <v>0</v>
      </c>
      <c r="I111" s="47" t="n">
        <f aca="false">ROUND(F111-G111-H111,2)</f>
        <v>0</v>
      </c>
      <c r="J111" s="47" t="n">
        <f aca="false">ROUND(M110*(1+Sorted!$H$3),2)</f>
        <v>0</v>
      </c>
      <c r="K111" s="47" t="n">
        <f aca="false">MIN(J111,Sorted!$G$3)</f>
        <v>0</v>
      </c>
      <c r="L111" s="47" t="n">
        <v>0</v>
      </c>
      <c r="M111" s="47" t="n">
        <f aca="false">ROUND(J111-K111-L111,2)</f>
        <v>0</v>
      </c>
      <c r="N111" s="47" t="n">
        <f aca="false">ROUND(Q110*(1+Sorted!$H$4),2)</f>
        <v>0</v>
      </c>
      <c r="O111" s="47" t="n">
        <f aca="false">MIN(N111,Sorted!$G$4)</f>
        <v>0</v>
      </c>
      <c r="P111" s="47" t="n">
        <v>0</v>
      </c>
      <c r="Q111" s="47" t="n">
        <f aca="false">ROUND(N111-O111-P111,2)</f>
        <v>0</v>
      </c>
      <c r="R111" s="47" t="n">
        <f aca="false">ROUND(U110*(1+Sorted!$H$5),2)</f>
        <v>0</v>
      </c>
      <c r="S111" s="47" t="n">
        <f aca="false">MIN(R111,Sorted!$G$5)</f>
        <v>0</v>
      </c>
      <c r="T111" s="47" t="n">
        <v>0</v>
      </c>
      <c r="U111" s="47" t="n">
        <f aca="false">ROUND(R111-S111-T111,2)</f>
        <v>0</v>
      </c>
      <c r="V111" s="47" t="n">
        <f aca="false">ROUND(Y110*(1+Sorted!$H$6),2)</f>
        <v>0</v>
      </c>
      <c r="W111" s="47" t="n">
        <f aca="false">MIN(V111,Sorted!$G$6)</f>
        <v>0</v>
      </c>
      <c r="X111" s="47" t="n">
        <v>0</v>
      </c>
      <c r="Y111" s="47" t="n">
        <f aca="false">ROUND(V111-W111-X111,2)</f>
        <v>0</v>
      </c>
      <c r="Z111" s="47" t="n">
        <f aca="false">ROUND(AC110*(1+Sorted!$H$7),2)</f>
        <v>0</v>
      </c>
      <c r="AA111" s="47" t="n">
        <f aca="false">MIN(Z111,Sorted!$G$7)</f>
        <v>0</v>
      </c>
      <c r="AB111" s="47" t="n">
        <v>0</v>
      </c>
      <c r="AC111" s="47" t="n">
        <f aca="false">ROUND(Z111-AA111-AB111,2)</f>
        <v>0</v>
      </c>
      <c r="AD111" s="47" t="n">
        <f aca="false">ROUND(AG110*(1+Sorted!$H$8),2)</f>
        <v>0</v>
      </c>
      <c r="AE111" s="47" t="n">
        <f aca="false">MIN(AD111,Sorted!$G$8)</f>
        <v>0</v>
      </c>
      <c r="AF111" s="47" t="n">
        <v>0</v>
      </c>
      <c r="AG111" s="47" t="n">
        <f aca="false">ROUND(AD111-AE111-AF111,2)</f>
        <v>0</v>
      </c>
      <c r="AH111" s="47" t="n">
        <f aca="false">ROUND(AK110*(1+Sorted!$H$9),2)</f>
        <v>0</v>
      </c>
      <c r="AI111" s="47" t="n">
        <f aca="false">MIN(AH111,Sorted!$G$9)</f>
        <v>0</v>
      </c>
      <c r="AJ111" s="47" t="n">
        <v>0</v>
      </c>
      <c r="AK111" s="47" t="n">
        <f aca="false">ROUND(AH111-AI111-AJ111,2)</f>
        <v>0</v>
      </c>
      <c r="AL111" s="47" t="n">
        <f aca="false">ROUND(AO110*(1+Sorted!$H$10),2)</f>
        <v>0</v>
      </c>
      <c r="AM111" s="47" t="n">
        <f aca="false">MIN(AL111,Sorted!$G$10)</f>
        <v>0</v>
      </c>
      <c r="AN111" s="47" t="n">
        <v>0</v>
      </c>
      <c r="AO111" s="47" t="n">
        <f aca="false">ROUND(AL111-AM111-AN111,2)</f>
        <v>0</v>
      </c>
      <c r="AP111" s="47" t="n">
        <f aca="false">ROUND(AS110*(1+Sorted!$H$11),2)</f>
        <v>0</v>
      </c>
      <c r="AQ111" s="47" t="n">
        <f aca="false">MIN(AP111,Sorted!$G$11)</f>
        <v>0</v>
      </c>
      <c r="AR111" s="47" t="n">
        <v>0</v>
      </c>
      <c r="AS111" s="47" t="n">
        <f aca="false">ROUND(AP111-AQ111-AR111,2)</f>
        <v>0</v>
      </c>
    </row>
    <row r="112" customFormat="false" ht="15" hidden="false" customHeight="false" outlineLevel="0" collapsed="false">
      <c r="A112" s="45" t="n">
        <v>109</v>
      </c>
      <c r="B112" s="46" t="n">
        <f aca="false">EDATE('My Debts'!$C$7,A112-1)</f>
        <v>49614</v>
      </c>
      <c r="C112" s="47" t="n">
        <v>0</v>
      </c>
      <c r="D112" s="47" t="n">
        <f aca="false">(F112+J112+N112+R112+V112+Z112+AD112+AH112+AL112+AP112)-(I112+M112+Q112+U112+Y112+AC112+AG112+AK112+AO112+AS112)</f>
        <v>0</v>
      </c>
      <c r="E112" s="48" t="n">
        <f aca="false">I112+M112+Q112+U112+Y112+AC112+AG112+AK112+AO112+AS112</f>
        <v>0</v>
      </c>
      <c r="F112" s="47" t="n">
        <f aca="false">ROUND(I111*(1+Sorted!$H$2),2)</f>
        <v>0</v>
      </c>
      <c r="G112" s="47" t="n">
        <f aca="false">MIN(F112,Sorted!$G$2)</f>
        <v>0</v>
      </c>
      <c r="H112" s="47" t="n">
        <v>0</v>
      </c>
      <c r="I112" s="47" t="n">
        <f aca="false">ROUND(F112-G112-H112,2)</f>
        <v>0</v>
      </c>
      <c r="J112" s="47" t="n">
        <f aca="false">ROUND(M111*(1+Sorted!$H$3),2)</f>
        <v>0</v>
      </c>
      <c r="K112" s="47" t="n">
        <f aca="false">MIN(J112,Sorted!$G$3)</f>
        <v>0</v>
      </c>
      <c r="L112" s="47" t="n">
        <v>0</v>
      </c>
      <c r="M112" s="47" t="n">
        <f aca="false">ROUND(J112-K112-L112,2)</f>
        <v>0</v>
      </c>
      <c r="N112" s="47" t="n">
        <f aca="false">ROUND(Q111*(1+Sorted!$H$4),2)</f>
        <v>0</v>
      </c>
      <c r="O112" s="47" t="n">
        <f aca="false">MIN(N112,Sorted!$G$4)</f>
        <v>0</v>
      </c>
      <c r="P112" s="47" t="n">
        <v>0</v>
      </c>
      <c r="Q112" s="47" t="n">
        <f aca="false">ROUND(N112-O112-P112,2)</f>
        <v>0</v>
      </c>
      <c r="R112" s="47" t="n">
        <f aca="false">ROUND(U111*(1+Sorted!$H$5),2)</f>
        <v>0</v>
      </c>
      <c r="S112" s="47" t="n">
        <f aca="false">MIN(R112,Sorted!$G$5)</f>
        <v>0</v>
      </c>
      <c r="T112" s="47" t="n">
        <v>0</v>
      </c>
      <c r="U112" s="47" t="n">
        <f aca="false">ROUND(R112-S112-T112,2)</f>
        <v>0</v>
      </c>
      <c r="V112" s="47" t="n">
        <f aca="false">ROUND(Y111*(1+Sorted!$H$6),2)</f>
        <v>0</v>
      </c>
      <c r="W112" s="47" t="n">
        <f aca="false">MIN(V112,Sorted!$G$6)</f>
        <v>0</v>
      </c>
      <c r="X112" s="47" t="n">
        <v>0</v>
      </c>
      <c r="Y112" s="47" t="n">
        <f aca="false">ROUND(V112-W112-X112,2)</f>
        <v>0</v>
      </c>
      <c r="Z112" s="47" t="n">
        <f aca="false">ROUND(AC111*(1+Sorted!$H$7),2)</f>
        <v>0</v>
      </c>
      <c r="AA112" s="47" t="n">
        <f aca="false">MIN(Z112,Sorted!$G$7)</f>
        <v>0</v>
      </c>
      <c r="AB112" s="47" t="n">
        <v>0</v>
      </c>
      <c r="AC112" s="47" t="n">
        <f aca="false">ROUND(Z112-AA112-AB112,2)</f>
        <v>0</v>
      </c>
      <c r="AD112" s="47" t="n">
        <f aca="false">ROUND(AG111*(1+Sorted!$H$8),2)</f>
        <v>0</v>
      </c>
      <c r="AE112" s="47" t="n">
        <f aca="false">MIN(AD112,Sorted!$G$8)</f>
        <v>0</v>
      </c>
      <c r="AF112" s="47" t="n">
        <v>0</v>
      </c>
      <c r="AG112" s="47" t="n">
        <f aca="false">ROUND(AD112-AE112-AF112,2)</f>
        <v>0</v>
      </c>
      <c r="AH112" s="47" t="n">
        <f aca="false">ROUND(AK111*(1+Sorted!$H$9),2)</f>
        <v>0</v>
      </c>
      <c r="AI112" s="47" t="n">
        <f aca="false">MIN(AH112,Sorted!$G$9)</f>
        <v>0</v>
      </c>
      <c r="AJ112" s="47" t="n">
        <v>0</v>
      </c>
      <c r="AK112" s="47" t="n">
        <f aca="false">ROUND(AH112-AI112-AJ112,2)</f>
        <v>0</v>
      </c>
      <c r="AL112" s="47" t="n">
        <f aca="false">ROUND(AO111*(1+Sorted!$H$10),2)</f>
        <v>0</v>
      </c>
      <c r="AM112" s="47" t="n">
        <f aca="false">MIN(AL112,Sorted!$G$10)</f>
        <v>0</v>
      </c>
      <c r="AN112" s="47" t="n">
        <v>0</v>
      </c>
      <c r="AO112" s="47" t="n">
        <f aca="false">ROUND(AL112-AM112-AN112,2)</f>
        <v>0</v>
      </c>
      <c r="AP112" s="47" t="n">
        <f aca="false">ROUND(AS111*(1+Sorted!$H$11),2)</f>
        <v>0</v>
      </c>
      <c r="AQ112" s="47" t="n">
        <f aca="false">MIN(AP112,Sorted!$G$11)</f>
        <v>0</v>
      </c>
      <c r="AR112" s="47" t="n">
        <v>0</v>
      </c>
      <c r="AS112" s="47" t="n">
        <f aca="false">ROUND(AP112-AQ112-AR112,2)</f>
        <v>0</v>
      </c>
    </row>
    <row r="113" customFormat="false" ht="15" hidden="false" customHeight="false" outlineLevel="0" collapsed="false">
      <c r="A113" s="45" t="n">
        <v>110</v>
      </c>
      <c r="B113" s="46" t="n">
        <f aca="false">EDATE('My Debts'!$C$7,A113-1)</f>
        <v>49644</v>
      </c>
      <c r="C113" s="47" t="n">
        <v>0</v>
      </c>
      <c r="D113" s="47" t="n">
        <f aca="false">(F113+J113+N113+R113+V113+Z113+AD113+AH113+AL113+AP113)-(I113+M113+Q113+U113+Y113+AC113+AG113+AK113+AO113+AS113)</f>
        <v>0</v>
      </c>
      <c r="E113" s="48" t="n">
        <f aca="false">I113+M113+Q113+U113+Y113+AC113+AG113+AK113+AO113+AS113</f>
        <v>0</v>
      </c>
      <c r="F113" s="47" t="n">
        <f aca="false">ROUND(I112*(1+Sorted!$H$2),2)</f>
        <v>0</v>
      </c>
      <c r="G113" s="47" t="n">
        <f aca="false">MIN(F113,Sorted!$G$2)</f>
        <v>0</v>
      </c>
      <c r="H113" s="47" t="n">
        <v>0</v>
      </c>
      <c r="I113" s="47" t="n">
        <f aca="false">ROUND(F113-G113-H113,2)</f>
        <v>0</v>
      </c>
      <c r="J113" s="47" t="n">
        <f aca="false">ROUND(M112*(1+Sorted!$H$3),2)</f>
        <v>0</v>
      </c>
      <c r="K113" s="47" t="n">
        <f aca="false">MIN(J113,Sorted!$G$3)</f>
        <v>0</v>
      </c>
      <c r="L113" s="47" t="n">
        <v>0</v>
      </c>
      <c r="M113" s="47" t="n">
        <f aca="false">ROUND(J113-K113-L113,2)</f>
        <v>0</v>
      </c>
      <c r="N113" s="47" t="n">
        <f aca="false">ROUND(Q112*(1+Sorted!$H$4),2)</f>
        <v>0</v>
      </c>
      <c r="O113" s="47" t="n">
        <f aca="false">MIN(N113,Sorted!$G$4)</f>
        <v>0</v>
      </c>
      <c r="P113" s="47" t="n">
        <v>0</v>
      </c>
      <c r="Q113" s="47" t="n">
        <f aca="false">ROUND(N113-O113-P113,2)</f>
        <v>0</v>
      </c>
      <c r="R113" s="47" t="n">
        <f aca="false">ROUND(U112*(1+Sorted!$H$5),2)</f>
        <v>0</v>
      </c>
      <c r="S113" s="47" t="n">
        <f aca="false">MIN(R113,Sorted!$G$5)</f>
        <v>0</v>
      </c>
      <c r="T113" s="47" t="n">
        <v>0</v>
      </c>
      <c r="U113" s="47" t="n">
        <f aca="false">ROUND(R113-S113-T113,2)</f>
        <v>0</v>
      </c>
      <c r="V113" s="47" t="n">
        <f aca="false">ROUND(Y112*(1+Sorted!$H$6),2)</f>
        <v>0</v>
      </c>
      <c r="W113" s="47" t="n">
        <f aca="false">MIN(V113,Sorted!$G$6)</f>
        <v>0</v>
      </c>
      <c r="X113" s="47" t="n">
        <v>0</v>
      </c>
      <c r="Y113" s="47" t="n">
        <f aca="false">ROUND(V113-W113-X113,2)</f>
        <v>0</v>
      </c>
      <c r="Z113" s="47" t="n">
        <f aca="false">ROUND(AC112*(1+Sorted!$H$7),2)</f>
        <v>0</v>
      </c>
      <c r="AA113" s="47" t="n">
        <f aca="false">MIN(Z113,Sorted!$G$7)</f>
        <v>0</v>
      </c>
      <c r="AB113" s="47" t="n">
        <v>0</v>
      </c>
      <c r="AC113" s="47" t="n">
        <f aca="false">ROUND(Z113-AA113-AB113,2)</f>
        <v>0</v>
      </c>
      <c r="AD113" s="47" t="n">
        <f aca="false">ROUND(AG112*(1+Sorted!$H$8),2)</f>
        <v>0</v>
      </c>
      <c r="AE113" s="47" t="n">
        <f aca="false">MIN(AD113,Sorted!$G$8)</f>
        <v>0</v>
      </c>
      <c r="AF113" s="47" t="n">
        <v>0</v>
      </c>
      <c r="AG113" s="47" t="n">
        <f aca="false">ROUND(AD113-AE113-AF113,2)</f>
        <v>0</v>
      </c>
      <c r="AH113" s="47" t="n">
        <f aca="false">ROUND(AK112*(1+Sorted!$H$9),2)</f>
        <v>0</v>
      </c>
      <c r="AI113" s="47" t="n">
        <f aca="false">MIN(AH113,Sorted!$G$9)</f>
        <v>0</v>
      </c>
      <c r="AJ113" s="47" t="n">
        <v>0</v>
      </c>
      <c r="AK113" s="47" t="n">
        <f aca="false">ROUND(AH113-AI113-AJ113,2)</f>
        <v>0</v>
      </c>
      <c r="AL113" s="47" t="n">
        <f aca="false">ROUND(AO112*(1+Sorted!$H$10),2)</f>
        <v>0</v>
      </c>
      <c r="AM113" s="47" t="n">
        <f aca="false">MIN(AL113,Sorted!$G$10)</f>
        <v>0</v>
      </c>
      <c r="AN113" s="47" t="n">
        <v>0</v>
      </c>
      <c r="AO113" s="47" t="n">
        <f aca="false">ROUND(AL113-AM113-AN113,2)</f>
        <v>0</v>
      </c>
      <c r="AP113" s="47" t="n">
        <f aca="false">ROUND(AS112*(1+Sorted!$H$11),2)</f>
        <v>0</v>
      </c>
      <c r="AQ113" s="47" t="n">
        <f aca="false">MIN(AP113,Sorted!$G$11)</f>
        <v>0</v>
      </c>
      <c r="AR113" s="47" t="n">
        <v>0</v>
      </c>
      <c r="AS113" s="47" t="n">
        <f aca="false">ROUND(AP113-AQ113-AR113,2)</f>
        <v>0</v>
      </c>
    </row>
    <row r="114" customFormat="false" ht="15" hidden="false" customHeight="false" outlineLevel="0" collapsed="false">
      <c r="A114" s="45" t="n">
        <v>111</v>
      </c>
      <c r="B114" s="46" t="n">
        <f aca="false">EDATE('My Debts'!$C$7,A114-1)</f>
        <v>49675</v>
      </c>
      <c r="C114" s="47" t="n">
        <v>0</v>
      </c>
      <c r="D114" s="47" t="n">
        <f aca="false">(F114+J114+N114+R114+V114+Z114+AD114+AH114+AL114+AP114)-(I114+M114+Q114+U114+Y114+AC114+AG114+AK114+AO114+AS114)</f>
        <v>0</v>
      </c>
      <c r="E114" s="48" t="n">
        <f aca="false">I114+M114+Q114+U114+Y114+AC114+AG114+AK114+AO114+AS114</f>
        <v>0</v>
      </c>
      <c r="F114" s="47" t="n">
        <f aca="false">ROUND(I113*(1+Sorted!$H$2),2)</f>
        <v>0</v>
      </c>
      <c r="G114" s="47" t="n">
        <f aca="false">MIN(F114,Sorted!$G$2)</f>
        <v>0</v>
      </c>
      <c r="H114" s="47" t="n">
        <v>0</v>
      </c>
      <c r="I114" s="47" t="n">
        <f aca="false">ROUND(F114-G114-H114,2)</f>
        <v>0</v>
      </c>
      <c r="J114" s="47" t="n">
        <f aca="false">ROUND(M113*(1+Sorted!$H$3),2)</f>
        <v>0</v>
      </c>
      <c r="K114" s="47" t="n">
        <f aca="false">MIN(J114,Sorted!$G$3)</f>
        <v>0</v>
      </c>
      <c r="L114" s="47" t="n">
        <v>0</v>
      </c>
      <c r="M114" s="47" t="n">
        <f aca="false">ROUND(J114-K114-L114,2)</f>
        <v>0</v>
      </c>
      <c r="N114" s="47" t="n">
        <f aca="false">ROUND(Q113*(1+Sorted!$H$4),2)</f>
        <v>0</v>
      </c>
      <c r="O114" s="47" t="n">
        <f aca="false">MIN(N114,Sorted!$G$4)</f>
        <v>0</v>
      </c>
      <c r="P114" s="47" t="n">
        <v>0</v>
      </c>
      <c r="Q114" s="47" t="n">
        <f aca="false">ROUND(N114-O114-P114,2)</f>
        <v>0</v>
      </c>
      <c r="R114" s="47" t="n">
        <f aca="false">ROUND(U113*(1+Sorted!$H$5),2)</f>
        <v>0</v>
      </c>
      <c r="S114" s="47" t="n">
        <f aca="false">MIN(R114,Sorted!$G$5)</f>
        <v>0</v>
      </c>
      <c r="T114" s="47" t="n">
        <v>0</v>
      </c>
      <c r="U114" s="47" t="n">
        <f aca="false">ROUND(R114-S114-T114,2)</f>
        <v>0</v>
      </c>
      <c r="V114" s="47" t="n">
        <f aca="false">ROUND(Y113*(1+Sorted!$H$6),2)</f>
        <v>0</v>
      </c>
      <c r="W114" s="47" t="n">
        <f aca="false">MIN(V114,Sorted!$G$6)</f>
        <v>0</v>
      </c>
      <c r="X114" s="47" t="n">
        <v>0</v>
      </c>
      <c r="Y114" s="47" t="n">
        <f aca="false">ROUND(V114-W114-X114,2)</f>
        <v>0</v>
      </c>
      <c r="Z114" s="47" t="n">
        <f aca="false">ROUND(AC113*(1+Sorted!$H$7),2)</f>
        <v>0</v>
      </c>
      <c r="AA114" s="47" t="n">
        <f aca="false">MIN(Z114,Sorted!$G$7)</f>
        <v>0</v>
      </c>
      <c r="AB114" s="47" t="n">
        <v>0</v>
      </c>
      <c r="AC114" s="47" t="n">
        <f aca="false">ROUND(Z114-AA114-AB114,2)</f>
        <v>0</v>
      </c>
      <c r="AD114" s="47" t="n">
        <f aca="false">ROUND(AG113*(1+Sorted!$H$8),2)</f>
        <v>0</v>
      </c>
      <c r="AE114" s="47" t="n">
        <f aca="false">MIN(AD114,Sorted!$G$8)</f>
        <v>0</v>
      </c>
      <c r="AF114" s="47" t="n">
        <v>0</v>
      </c>
      <c r="AG114" s="47" t="n">
        <f aca="false">ROUND(AD114-AE114-AF114,2)</f>
        <v>0</v>
      </c>
      <c r="AH114" s="47" t="n">
        <f aca="false">ROUND(AK113*(1+Sorted!$H$9),2)</f>
        <v>0</v>
      </c>
      <c r="AI114" s="47" t="n">
        <f aca="false">MIN(AH114,Sorted!$G$9)</f>
        <v>0</v>
      </c>
      <c r="AJ114" s="47" t="n">
        <v>0</v>
      </c>
      <c r="AK114" s="47" t="n">
        <f aca="false">ROUND(AH114-AI114-AJ114,2)</f>
        <v>0</v>
      </c>
      <c r="AL114" s="47" t="n">
        <f aca="false">ROUND(AO113*(1+Sorted!$H$10),2)</f>
        <v>0</v>
      </c>
      <c r="AM114" s="47" t="n">
        <f aca="false">MIN(AL114,Sorted!$G$10)</f>
        <v>0</v>
      </c>
      <c r="AN114" s="47" t="n">
        <v>0</v>
      </c>
      <c r="AO114" s="47" t="n">
        <f aca="false">ROUND(AL114-AM114-AN114,2)</f>
        <v>0</v>
      </c>
      <c r="AP114" s="47" t="n">
        <f aca="false">ROUND(AS113*(1+Sorted!$H$11),2)</f>
        <v>0</v>
      </c>
      <c r="AQ114" s="47" t="n">
        <f aca="false">MIN(AP114,Sorted!$G$11)</f>
        <v>0</v>
      </c>
      <c r="AR114" s="47" t="n">
        <v>0</v>
      </c>
      <c r="AS114" s="47" t="n">
        <f aca="false">ROUND(AP114-AQ114-AR114,2)</f>
        <v>0</v>
      </c>
    </row>
    <row r="115" customFormat="false" ht="15" hidden="false" customHeight="false" outlineLevel="0" collapsed="false">
      <c r="A115" s="45" t="n">
        <v>112</v>
      </c>
      <c r="B115" s="46" t="n">
        <f aca="false">EDATE('My Debts'!$C$7,A115-1)</f>
        <v>49706</v>
      </c>
      <c r="C115" s="47" t="n">
        <v>0</v>
      </c>
      <c r="D115" s="47" t="n">
        <f aca="false">(F115+J115+N115+R115+V115+Z115+AD115+AH115+AL115+AP115)-(I115+M115+Q115+U115+Y115+AC115+AG115+AK115+AO115+AS115)</f>
        <v>0</v>
      </c>
      <c r="E115" s="48" t="n">
        <f aca="false">I115+M115+Q115+U115+Y115+AC115+AG115+AK115+AO115+AS115</f>
        <v>0</v>
      </c>
      <c r="F115" s="47" t="n">
        <f aca="false">ROUND(I114*(1+Sorted!$H$2),2)</f>
        <v>0</v>
      </c>
      <c r="G115" s="47" t="n">
        <f aca="false">MIN(F115,Sorted!$G$2)</f>
        <v>0</v>
      </c>
      <c r="H115" s="47" t="n">
        <v>0</v>
      </c>
      <c r="I115" s="47" t="n">
        <f aca="false">ROUND(F115-G115-H115,2)</f>
        <v>0</v>
      </c>
      <c r="J115" s="47" t="n">
        <f aca="false">ROUND(M114*(1+Sorted!$H$3),2)</f>
        <v>0</v>
      </c>
      <c r="K115" s="47" t="n">
        <f aca="false">MIN(J115,Sorted!$G$3)</f>
        <v>0</v>
      </c>
      <c r="L115" s="47" t="n">
        <v>0</v>
      </c>
      <c r="M115" s="47" t="n">
        <f aca="false">ROUND(J115-K115-L115,2)</f>
        <v>0</v>
      </c>
      <c r="N115" s="47" t="n">
        <f aca="false">ROUND(Q114*(1+Sorted!$H$4),2)</f>
        <v>0</v>
      </c>
      <c r="O115" s="47" t="n">
        <f aca="false">MIN(N115,Sorted!$G$4)</f>
        <v>0</v>
      </c>
      <c r="P115" s="47" t="n">
        <v>0</v>
      </c>
      <c r="Q115" s="47" t="n">
        <f aca="false">ROUND(N115-O115-P115,2)</f>
        <v>0</v>
      </c>
      <c r="R115" s="47" t="n">
        <f aca="false">ROUND(U114*(1+Sorted!$H$5),2)</f>
        <v>0</v>
      </c>
      <c r="S115" s="47" t="n">
        <f aca="false">MIN(R115,Sorted!$G$5)</f>
        <v>0</v>
      </c>
      <c r="T115" s="47" t="n">
        <v>0</v>
      </c>
      <c r="U115" s="47" t="n">
        <f aca="false">ROUND(R115-S115-T115,2)</f>
        <v>0</v>
      </c>
      <c r="V115" s="47" t="n">
        <f aca="false">ROUND(Y114*(1+Sorted!$H$6),2)</f>
        <v>0</v>
      </c>
      <c r="W115" s="47" t="n">
        <f aca="false">MIN(V115,Sorted!$G$6)</f>
        <v>0</v>
      </c>
      <c r="X115" s="47" t="n">
        <v>0</v>
      </c>
      <c r="Y115" s="47" t="n">
        <f aca="false">ROUND(V115-W115-X115,2)</f>
        <v>0</v>
      </c>
      <c r="Z115" s="47" t="n">
        <f aca="false">ROUND(AC114*(1+Sorted!$H$7),2)</f>
        <v>0</v>
      </c>
      <c r="AA115" s="47" t="n">
        <f aca="false">MIN(Z115,Sorted!$G$7)</f>
        <v>0</v>
      </c>
      <c r="AB115" s="47" t="n">
        <v>0</v>
      </c>
      <c r="AC115" s="47" t="n">
        <f aca="false">ROUND(Z115-AA115-AB115,2)</f>
        <v>0</v>
      </c>
      <c r="AD115" s="47" t="n">
        <f aca="false">ROUND(AG114*(1+Sorted!$H$8),2)</f>
        <v>0</v>
      </c>
      <c r="AE115" s="47" t="n">
        <f aca="false">MIN(AD115,Sorted!$G$8)</f>
        <v>0</v>
      </c>
      <c r="AF115" s="47" t="n">
        <v>0</v>
      </c>
      <c r="AG115" s="47" t="n">
        <f aca="false">ROUND(AD115-AE115-AF115,2)</f>
        <v>0</v>
      </c>
      <c r="AH115" s="47" t="n">
        <f aca="false">ROUND(AK114*(1+Sorted!$H$9),2)</f>
        <v>0</v>
      </c>
      <c r="AI115" s="47" t="n">
        <f aca="false">MIN(AH115,Sorted!$G$9)</f>
        <v>0</v>
      </c>
      <c r="AJ115" s="47" t="n">
        <v>0</v>
      </c>
      <c r="AK115" s="47" t="n">
        <f aca="false">ROUND(AH115-AI115-AJ115,2)</f>
        <v>0</v>
      </c>
      <c r="AL115" s="47" t="n">
        <f aca="false">ROUND(AO114*(1+Sorted!$H$10),2)</f>
        <v>0</v>
      </c>
      <c r="AM115" s="47" t="n">
        <f aca="false">MIN(AL115,Sorted!$G$10)</f>
        <v>0</v>
      </c>
      <c r="AN115" s="47" t="n">
        <v>0</v>
      </c>
      <c r="AO115" s="47" t="n">
        <f aca="false">ROUND(AL115-AM115-AN115,2)</f>
        <v>0</v>
      </c>
      <c r="AP115" s="47" t="n">
        <f aca="false">ROUND(AS114*(1+Sorted!$H$11),2)</f>
        <v>0</v>
      </c>
      <c r="AQ115" s="47" t="n">
        <f aca="false">MIN(AP115,Sorted!$G$11)</f>
        <v>0</v>
      </c>
      <c r="AR115" s="47" t="n">
        <v>0</v>
      </c>
      <c r="AS115" s="47" t="n">
        <f aca="false">ROUND(AP115-AQ115-AR115,2)</f>
        <v>0</v>
      </c>
    </row>
    <row r="116" customFormat="false" ht="15" hidden="false" customHeight="false" outlineLevel="0" collapsed="false">
      <c r="A116" s="45" t="n">
        <v>113</v>
      </c>
      <c r="B116" s="46" t="n">
        <f aca="false">EDATE('My Debts'!$C$7,A116-1)</f>
        <v>49735</v>
      </c>
      <c r="C116" s="47" t="n">
        <v>0</v>
      </c>
      <c r="D116" s="47" t="n">
        <f aca="false">(F116+J116+N116+R116+V116+Z116+AD116+AH116+AL116+AP116)-(I116+M116+Q116+U116+Y116+AC116+AG116+AK116+AO116+AS116)</f>
        <v>0</v>
      </c>
      <c r="E116" s="48" t="n">
        <f aca="false">I116+M116+Q116+U116+Y116+AC116+AG116+AK116+AO116+AS116</f>
        <v>0</v>
      </c>
      <c r="F116" s="47" t="n">
        <f aca="false">ROUND(I115*(1+Sorted!$H$2),2)</f>
        <v>0</v>
      </c>
      <c r="G116" s="47" t="n">
        <f aca="false">MIN(F116,Sorted!$G$2)</f>
        <v>0</v>
      </c>
      <c r="H116" s="47" t="n">
        <v>0</v>
      </c>
      <c r="I116" s="47" t="n">
        <f aca="false">ROUND(F116-G116-H116,2)</f>
        <v>0</v>
      </c>
      <c r="J116" s="47" t="n">
        <f aca="false">ROUND(M115*(1+Sorted!$H$3),2)</f>
        <v>0</v>
      </c>
      <c r="K116" s="47" t="n">
        <f aca="false">MIN(J116,Sorted!$G$3)</f>
        <v>0</v>
      </c>
      <c r="L116" s="47" t="n">
        <v>0</v>
      </c>
      <c r="M116" s="47" t="n">
        <f aca="false">ROUND(J116-K116-L116,2)</f>
        <v>0</v>
      </c>
      <c r="N116" s="47" t="n">
        <f aca="false">ROUND(Q115*(1+Sorted!$H$4),2)</f>
        <v>0</v>
      </c>
      <c r="O116" s="47" t="n">
        <f aca="false">MIN(N116,Sorted!$G$4)</f>
        <v>0</v>
      </c>
      <c r="P116" s="47" t="n">
        <v>0</v>
      </c>
      <c r="Q116" s="47" t="n">
        <f aca="false">ROUND(N116-O116-P116,2)</f>
        <v>0</v>
      </c>
      <c r="R116" s="47" t="n">
        <f aca="false">ROUND(U115*(1+Sorted!$H$5),2)</f>
        <v>0</v>
      </c>
      <c r="S116" s="47" t="n">
        <f aca="false">MIN(R116,Sorted!$G$5)</f>
        <v>0</v>
      </c>
      <c r="T116" s="47" t="n">
        <v>0</v>
      </c>
      <c r="U116" s="47" t="n">
        <f aca="false">ROUND(R116-S116-T116,2)</f>
        <v>0</v>
      </c>
      <c r="V116" s="47" t="n">
        <f aca="false">ROUND(Y115*(1+Sorted!$H$6),2)</f>
        <v>0</v>
      </c>
      <c r="W116" s="47" t="n">
        <f aca="false">MIN(V116,Sorted!$G$6)</f>
        <v>0</v>
      </c>
      <c r="X116" s="47" t="n">
        <v>0</v>
      </c>
      <c r="Y116" s="47" t="n">
        <f aca="false">ROUND(V116-W116-X116,2)</f>
        <v>0</v>
      </c>
      <c r="Z116" s="47" t="n">
        <f aca="false">ROUND(AC115*(1+Sorted!$H$7),2)</f>
        <v>0</v>
      </c>
      <c r="AA116" s="47" t="n">
        <f aca="false">MIN(Z116,Sorted!$G$7)</f>
        <v>0</v>
      </c>
      <c r="AB116" s="47" t="n">
        <v>0</v>
      </c>
      <c r="AC116" s="47" t="n">
        <f aca="false">ROUND(Z116-AA116-AB116,2)</f>
        <v>0</v>
      </c>
      <c r="AD116" s="47" t="n">
        <f aca="false">ROUND(AG115*(1+Sorted!$H$8),2)</f>
        <v>0</v>
      </c>
      <c r="AE116" s="47" t="n">
        <f aca="false">MIN(AD116,Sorted!$G$8)</f>
        <v>0</v>
      </c>
      <c r="AF116" s="47" t="n">
        <v>0</v>
      </c>
      <c r="AG116" s="47" t="n">
        <f aca="false">ROUND(AD116-AE116-AF116,2)</f>
        <v>0</v>
      </c>
      <c r="AH116" s="47" t="n">
        <f aca="false">ROUND(AK115*(1+Sorted!$H$9),2)</f>
        <v>0</v>
      </c>
      <c r="AI116" s="47" t="n">
        <f aca="false">MIN(AH116,Sorted!$G$9)</f>
        <v>0</v>
      </c>
      <c r="AJ116" s="47" t="n">
        <v>0</v>
      </c>
      <c r="AK116" s="47" t="n">
        <f aca="false">ROUND(AH116-AI116-AJ116,2)</f>
        <v>0</v>
      </c>
      <c r="AL116" s="47" t="n">
        <f aca="false">ROUND(AO115*(1+Sorted!$H$10),2)</f>
        <v>0</v>
      </c>
      <c r="AM116" s="47" t="n">
        <f aca="false">MIN(AL116,Sorted!$G$10)</f>
        <v>0</v>
      </c>
      <c r="AN116" s="47" t="n">
        <v>0</v>
      </c>
      <c r="AO116" s="47" t="n">
        <f aca="false">ROUND(AL116-AM116-AN116,2)</f>
        <v>0</v>
      </c>
      <c r="AP116" s="47" t="n">
        <f aca="false">ROUND(AS115*(1+Sorted!$H$11),2)</f>
        <v>0</v>
      </c>
      <c r="AQ116" s="47" t="n">
        <f aca="false">MIN(AP116,Sorted!$G$11)</f>
        <v>0</v>
      </c>
      <c r="AR116" s="47" t="n">
        <v>0</v>
      </c>
      <c r="AS116" s="47" t="n">
        <f aca="false">ROUND(AP116-AQ116-AR116,2)</f>
        <v>0</v>
      </c>
    </row>
    <row r="117" customFormat="false" ht="15" hidden="false" customHeight="false" outlineLevel="0" collapsed="false">
      <c r="A117" s="45" t="n">
        <v>114</v>
      </c>
      <c r="B117" s="46" t="n">
        <f aca="false">EDATE('My Debts'!$C$7,A117-1)</f>
        <v>49766</v>
      </c>
      <c r="C117" s="47" t="n">
        <v>0</v>
      </c>
      <c r="D117" s="47" t="n">
        <f aca="false">(F117+J117+N117+R117+V117+Z117+AD117+AH117+AL117+AP117)-(I117+M117+Q117+U117+Y117+AC117+AG117+AK117+AO117+AS117)</f>
        <v>0</v>
      </c>
      <c r="E117" s="48" t="n">
        <f aca="false">I117+M117+Q117+U117+Y117+AC117+AG117+AK117+AO117+AS117</f>
        <v>0</v>
      </c>
      <c r="F117" s="47" t="n">
        <f aca="false">ROUND(I116*(1+Sorted!$H$2),2)</f>
        <v>0</v>
      </c>
      <c r="G117" s="47" t="n">
        <f aca="false">MIN(F117,Sorted!$G$2)</f>
        <v>0</v>
      </c>
      <c r="H117" s="47" t="n">
        <v>0</v>
      </c>
      <c r="I117" s="47" t="n">
        <f aca="false">ROUND(F117-G117-H117,2)</f>
        <v>0</v>
      </c>
      <c r="J117" s="47" t="n">
        <f aca="false">ROUND(M116*(1+Sorted!$H$3),2)</f>
        <v>0</v>
      </c>
      <c r="K117" s="47" t="n">
        <f aca="false">MIN(J117,Sorted!$G$3)</f>
        <v>0</v>
      </c>
      <c r="L117" s="47" t="n">
        <v>0</v>
      </c>
      <c r="M117" s="47" t="n">
        <f aca="false">ROUND(J117-K117-L117,2)</f>
        <v>0</v>
      </c>
      <c r="N117" s="47" t="n">
        <f aca="false">ROUND(Q116*(1+Sorted!$H$4),2)</f>
        <v>0</v>
      </c>
      <c r="O117" s="47" t="n">
        <f aca="false">MIN(N117,Sorted!$G$4)</f>
        <v>0</v>
      </c>
      <c r="P117" s="47" t="n">
        <v>0</v>
      </c>
      <c r="Q117" s="47" t="n">
        <f aca="false">ROUND(N117-O117-P117,2)</f>
        <v>0</v>
      </c>
      <c r="R117" s="47" t="n">
        <f aca="false">ROUND(U116*(1+Sorted!$H$5),2)</f>
        <v>0</v>
      </c>
      <c r="S117" s="47" t="n">
        <f aca="false">MIN(R117,Sorted!$G$5)</f>
        <v>0</v>
      </c>
      <c r="T117" s="47" t="n">
        <v>0</v>
      </c>
      <c r="U117" s="47" t="n">
        <f aca="false">ROUND(R117-S117-T117,2)</f>
        <v>0</v>
      </c>
      <c r="V117" s="47" t="n">
        <f aca="false">ROUND(Y116*(1+Sorted!$H$6),2)</f>
        <v>0</v>
      </c>
      <c r="W117" s="47" t="n">
        <f aca="false">MIN(V117,Sorted!$G$6)</f>
        <v>0</v>
      </c>
      <c r="X117" s="47" t="n">
        <v>0</v>
      </c>
      <c r="Y117" s="47" t="n">
        <f aca="false">ROUND(V117-W117-X117,2)</f>
        <v>0</v>
      </c>
      <c r="Z117" s="47" t="n">
        <f aca="false">ROUND(AC116*(1+Sorted!$H$7),2)</f>
        <v>0</v>
      </c>
      <c r="AA117" s="47" t="n">
        <f aca="false">MIN(Z117,Sorted!$G$7)</f>
        <v>0</v>
      </c>
      <c r="AB117" s="47" t="n">
        <v>0</v>
      </c>
      <c r="AC117" s="47" t="n">
        <f aca="false">ROUND(Z117-AA117-AB117,2)</f>
        <v>0</v>
      </c>
      <c r="AD117" s="47" t="n">
        <f aca="false">ROUND(AG116*(1+Sorted!$H$8),2)</f>
        <v>0</v>
      </c>
      <c r="AE117" s="47" t="n">
        <f aca="false">MIN(AD117,Sorted!$G$8)</f>
        <v>0</v>
      </c>
      <c r="AF117" s="47" t="n">
        <v>0</v>
      </c>
      <c r="AG117" s="47" t="n">
        <f aca="false">ROUND(AD117-AE117-AF117,2)</f>
        <v>0</v>
      </c>
      <c r="AH117" s="47" t="n">
        <f aca="false">ROUND(AK116*(1+Sorted!$H$9),2)</f>
        <v>0</v>
      </c>
      <c r="AI117" s="47" t="n">
        <f aca="false">MIN(AH117,Sorted!$G$9)</f>
        <v>0</v>
      </c>
      <c r="AJ117" s="47" t="n">
        <v>0</v>
      </c>
      <c r="AK117" s="47" t="n">
        <f aca="false">ROUND(AH117-AI117-AJ117,2)</f>
        <v>0</v>
      </c>
      <c r="AL117" s="47" t="n">
        <f aca="false">ROUND(AO116*(1+Sorted!$H$10),2)</f>
        <v>0</v>
      </c>
      <c r="AM117" s="47" t="n">
        <f aca="false">MIN(AL117,Sorted!$G$10)</f>
        <v>0</v>
      </c>
      <c r="AN117" s="47" t="n">
        <v>0</v>
      </c>
      <c r="AO117" s="47" t="n">
        <f aca="false">ROUND(AL117-AM117-AN117,2)</f>
        <v>0</v>
      </c>
      <c r="AP117" s="47" t="n">
        <f aca="false">ROUND(AS116*(1+Sorted!$H$11),2)</f>
        <v>0</v>
      </c>
      <c r="AQ117" s="47" t="n">
        <f aca="false">MIN(AP117,Sorted!$G$11)</f>
        <v>0</v>
      </c>
      <c r="AR117" s="47" t="n">
        <v>0</v>
      </c>
      <c r="AS117" s="47" t="n">
        <f aca="false">ROUND(AP117-AQ117-AR117,2)</f>
        <v>0</v>
      </c>
    </row>
    <row r="118" customFormat="false" ht="15" hidden="false" customHeight="false" outlineLevel="0" collapsed="false">
      <c r="A118" s="45" t="n">
        <v>115</v>
      </c>
      <c r="B118" s="46" t="n">
        <f aca="false">EDATE('My Debts'!$C$7,A118-1)</f>
        <v>49796</v>
      </c>
      <c r="C118" s="47" t="n">
        <v>0</v>
      </c>
      <c r="D118" s="47" t="n">
        <f aca="false">(F118+J118+N118+R118+V118+Z118+AD118+AH118+AL118+AP118)-(I118+M118+Q118+U118+Y118+AC118+AG118+AK118+AO118+AS118)</f>
        <v>0</v>
      </c>
      <c r="E118" s="48" t="n">
        <f aca="false">I118+M118+Q118+U118+Y118+AC118+AG118+AK118+AO118+AS118</f>
        <v>0</v>
      </c>
      <c r="F118" s="47" t="n">
        <f aca="false">ROUND(I117*(1+Sorted!$H$2),2)</f>
        <v>0</v>
      </c>
      <c r="G118" s="47" t="n">
        <f aca="false">MIN(F118,Sorted!$G$2)</f>
        <v>0</v>
      </c>
      <c r="H118" s="47" t="n">
        <v>0</v>
      </c>
      <c r="I118" s="47" t="n">
        <f aca="false">ROUND(F118-G118-H118,2)</f>
        <v>0</v>
      </c>
      <c r="J118" s="47" t="n">
        <f aca="false">ROUND(M117*(1+Sorted!$H$3),2)</f>
        <v>0</v>
      </c>
      <c r="K118" s="47" t="n">
        <f aca="false">MIN(J118,Sorted!$G$3)</f>
        <v>0</v>
      </c>
      <c r="L118" s="47" t="n">
        <v>0</v>
      </c>
      <c r="M118" s="47" t="n">
        <f aca="false">ROUND(J118-K118-L118,2)</f>
        <v>0</v>
      </c>
      <c r="N118" s="47" t="n">
        <f aca="false">ROUND(Q117*(1+Sorted!$H$4),2)</f>
        <v>0</v>
      </c>
      <c r="O118" s="47" t="n">
        <f aca="false">MIN(N118,Sorted!$G$4)</f>
        <v>0</v>
      </c>
      <c r="P118" s="47" t="n">
        <v>0</v>
      </c>
      <c r="Q118" s="47" t="n">
        <f aca="false">ROUND(N118-O118-P118,2)</f>
        <v>0</v>
      </c>
      <c r="R118" s="47" t="n">
        <f aca="false">ROUND(U117*(1+Sorted!$H$5),2)</f>
        <v>0</v>
      </c>
      <c r="S118" s="47" t="n">
        <f aca="false">MIN(R118,Sorted!$G$5)</f>
        <v>0</v>
      </c>
      <c r="T118" s="47" t="n">
        <v>0</v>
      </c>
      <c r="U118" s="47" t="n">
        <f aca="false">ROUND(R118-S118-T118,2)</f>
        <v>0</v>
      </c>
      <c r="V118" s="47" t="n">
        <f aca="false">ROUND(Y117*(1+Sorted!$H$6),2)</f>
        <v>0</v>
      </c>
      <c r="W118" s="47" t="n">
        <f aca="false">MIN(V118,Sorted!$G$6)</f>
        <v>0</v>
      </c>
      <c r="X118" s="47" t="n">
        <v>0</v>
      </c>
      <c r="Y118" s="47" t="n">
        <f aca="false">ROUND(V118-W118-X118,2)</f>
        <v>0</v>
      </c>
      <c r="Z118" s="47" t="n">
        <f aca="false">ROUND(AC117*(1+Sorted!$H$7),2)</f>
        <v>0</v>
      </c>
      <c r="AA118" s="47" t="n">
        <f aca="false">MIN(Z118,Sorted!$G$7)</f>
        <v>0</v>
      </c>
      <c r="AB118" s="47" t="n">
        <v>0</v>
      </c>
      <c r="AC118" s="47" t="n">
        <f aca="false">ROUND(Z118-AA118-AB118,2)</f>
        <v>0</v>
      </c>
      <c r="AD118" s="47" t="n">
        <f aca="false">ROUND(AG117*(1+Sorted!$H$8),2)</f>
        <v>0</v>
      </c>
      <c r="AE118" s="47" t="n">
        <f aca="false">MIN(AD118,Sorted!$G$8)</f>
        <v>0</v>
      </c>
      <c r="AF118" s="47" t="n">
        <v>0</v>
      </c>
      <c r="AG118" s="47" t="n">
        <f aca="false">ROUND(AD118-AE118-AF118,2)</f>
        <v>0</v>
      </c>
      <c r="AH118" s="47" t="n">
        <f aca="false">ROUND(AK117*(1+Sorted!$H$9),2)</f>
        <v>0</v>
      </c>
      <c r="AI118" s="47" t="n">
        <f aca="false">MIN(AH118,Sorted!$G$9)</f>
        <v>0</v>
      </c>
      <c r="AJ118" s="47" t="n">
        <v>0</v>
      </c>
      <c r="AK118" s="47" t="n">
        <f aca="false">ROUND(AH118-AI118-AJ118,2)</f>
        <v>0</v>
      </c>
      <c r="AL118" s="47" t="n">
        <f aca="false">ROUND(AO117*(1+Sorted!$H$10),2)</f>
        <v>0</v>
      </c>
      <c r="AM118" s="47" t="n">
        <f aca="false">MIN(AL118,Sorted!$G$10)</f>
        <v>0</v>
      </c>
      <c r="AN118" s="47" t="n">
        <v>0</v>
      </c>
      <c r="AO118" s="47" t="n">
        <f aca="false">ROUND(AL118-AM118-AN118,2)</f>
        <v>0</v>
      </c>
      <c r="AP118" s="47" t="n">
        <f aca="false">ROUND(AS117*(1+Sorted!$H$11),2)</f>
        <v>0</v>
      </c>
      <c r="AQ118" s="47" t="n">
        <f aca="false">MIN(AP118,Sorted!$G$11)</f>
        <v>0</v>
      </c>
      <c r="AR118" s="47" t="n">
        <v>0</v>
      </c>
      <c r="AS118" s="47" t="n">
        <f aca="false">ROUND(AP118-AQ118-AR118,2)</f>
        <v>0</v>
      </c>
    </row>
    <row r="119" customFormat="false" ht="15" hidden="false" customHeight="false" outlineLevel="0" collapsed="false">
      <c r="A119" s="45" t="n">
        <v>116</v>
      </c>
      <c r="B119" s="46" t="n">
        <f aca="false">EDATE('My Debts'!$C$7,A119-1)</f>
        <v>49827</v>
      </c>
      <c r="C119" s="47" t="n">
        <v>0</v>
      </c>
      <c r="D119" s="47" t="n">
        <f aca="false">(F119+J119+N119+R119+V119+Z119+AD119+AH119+AL119+AP119)-(I119+M119+Q119+U119+Y119+AC119+AG119+AK119+AO119+AS119)</f>
        <v>0</v>
      </c>
      <c r="E119" s="48" t="n">
        <f aca="false">I119+M119+Q119+U119+Y119+AC119+AG119+AK119+AO119+AS119</f>
        <v>0</v>
      </c>
      <c r="F119" s="47" t="n">
        <f aca="false">ROUND(I118*(1+Sorted!$H$2),2)</f>
        <v>0</v>
      </c>
      <c r="G119" s="47" t="n">
        <f aca="false">MIN(F119,Sorted!$G$2)</f>
        <v>0</v>
      </c>
      <c r="H119" s="47" t="n">
        <v>0</v>
      </c>
      <c r="I119" s="47" t="n">
        <f aca="false">ROUND(F119-G119-H119,2)</f>
        <v>0</v>
      </c>
      <c r="J119" s="47" t="n">
        <f aca="false">ROUND(M118*(1+Sorted!$H$3),2)</f>
        <v>0</v>
      </c>
      <c r="K119" s="47" t="n">
        <f aca="false">MIN(J119,Sorted!$G$3)</f>
        <v>0</v>
      </c>
      <c r="L119" s="47" t="n">
        <v>0</v>
      </c>
      <c r="M119" s="47" t="n">
        <f aca="false">ROUND(J119-K119-L119,2)</f>
        <v>0</v>
      </c>
      <c r="N119" s="47" t="n">
        <f aca="false">ROUND(Q118*(1+Sorted!$H$4),2)</f>
        <v>0</v>
      </c>
      <c r="O119" s="47" t="n">
        <f aca="false">MIN(N119,Sorted!$G$4)</f>
        <v>0</v>
      </c>
      <c r="P119" s="47" t="n">
        <v>0</v>
      </c>
      <c r="Q119" s="47" t="n">
        <f aca="false">ROUND(N119-O119-P119,2)</f>
        <v>0</v>
      </c>
      <c r="R119" s="47" t="n">
        <f aca="false">ROUND(U118*(1+Sorted!$H$5),2)</f>
        <v>0</v>
      </c>
      <c r="S119" s="47" t="n">
        <f aca="false">MIN(R119,Sorted!$G$5)</f>
        <v>0</v>
      </c>
      <c r="T119" s="47" t="n">
        <v>0</v>
      </c>
      <c r="U119" s="47" t="n">
        <f aca="false">ROUND(R119-S119-T119,2)</f>
        <v>0</v>
      </c>
      <c r="V119" s="47" t="n">
        <f aca="false">ROUND(Y118*(1+Sorted!$H$6),2)</f>
        <v>0</v>
      </c>
      <c r="W119" s="47" t="n">
        <f aca="false">MIN(V119,Sorted!$G$6)</f>
        <v>0</v>
      </c>
      <c r="X119" s="47" t="n">
        <v>0</v>
      </c>
      <c r="Y119" s="47" t="n">
        <f aca="false">ROUND(V119-W119-X119,2)</f>
        <v>0</v>
      </c>
      <c r="Z119" s="47" t="n">
        <f aca="false">ROUND(AC118*(1+Sorted!$H$7),2)</f>
        <v>0</v>
      </c>
      <c r="AA119" s="47" t="n">
        <f aca="false">MIN(Z119,Sorted!$G$7)</f>
        <v>0</v>
      </c>
      <c r="AB119" s="47" t="n">
        <v>0</v>
      </c>
      <c r="AC119" s="47" t="n">
        <f aca="false">ROUND(Z119-AA119-AB119,2)</f>
        <v>0</v>
      </c>
      <c r="AD119" s="47" t="n">
        <f aca="false">ROUND(AG118*(1+Sorted!$H$8),2)</f>
        <v>0</v>
      </c>
      <c r="AE119" s="47" t="n">
        <f aca="false">MIN(AD119,Sorted!$G$8)</f>
        <v>0</v>
      </c>
      <c r="AF119" s="47" t="n">
        <v>0</v>
      </c>
      <c r="AG119" s="47" t="n">
        <f aca="false">ROUND(AD119-AE119-AF119,2)</f>
        <v>0</v>
      </c>
      <c r="AH119" s="47" t="n">
        <f aca="false">ROUND(AK118*(1+Sorted!$H$9),2)</f>
        <v>0</v>
      </c>
      <c r="AI119" s="47" t="n">
        <f aca="false">MIN(AH119,Sorted!$G$9)</f>
        <v>0</v>
      </c>
      <c r="AJ119" s="47" t="n">
        <v>0</v>
      </c>
      <c r="AK119" s="47" t="n">
        <f aca="false">ROUND(AH119-AI119-AJ119,2)</f>
        <v>0</v>
      </c>
      <c r="AL119" s="47" t="n">
        <f aca="false">ROUND(AO118*(1+Sorted!$H$10),2)</f>
        <v>0</v>
      </c>
      <c r="AM119" s="47" t="n">
        <f aca="false">MIN(AL119,Sorted!$G$10)</f>
        <v>0</v>
      </c>
      <c r="AN119" s="47" t="n">
        <v>0</v>
      </c>
      <c r="AO119" s="47" t="n">
        <f aca="false">ROUND(AL119-AM119-AN119,2)</f>
        <v>0</v>
      </c>
      <c r="AP119" s="47" t="n">
        <f aca="false">ROUND(AS118*(1+Sorted!$H$11),2)</f>
        <v>0</v>
      </c>
      <c r="AQ119" s="47" t="n">
        <f aca="false">MIN(AP119,Sorted!$G$11)</f>
        <v>0</v>
      </c>
      <c r="AR119" s="47" t="n">
        <v>0</v>
      </c>
      <c r="AS119" s="47" t="n">
        <f aca="false">ROUND(AP119-AQ119-AR119,2)</f>
        <v>0</v>
      </c>
    </row>
    <row r="120" customFormat="false" ht="15" hidden="false" customHeight="false" outlineLevel="0" collapsed="false">
      <c r="A120" s="45" t="n">
        <v>117</v>
      </c>
      <c r="B120" s="46" t="n">
        <f aca="false">EDATE('My Debts'!$C$7,A120-1)</f>
        <v>49857</v>
      </c>
      <c r="C120" s="47" t="n">
        <v>0</v>
      </c>
      <c r="D120" s="47" t="n">
        <f aca="false">(F120+J120+N120+R120+V120+Z120+AD120+AH120+AL120+AP120)-(I120+M120+Q120+U120+Y120+AC120+AG120+AK120+AO120+AS120)</f>
        <v>0</v>
      </c>
      <c r="E120" s="48" t="n">
        <f aca="false">I120+M120+Q120+U120+Y120+AC120+AG120+AK120+AO120+AS120</f>
        <v>0</v>
      </c>
      <c r="F120" s="47" t="n">
        <f aca="false">ROUND(I119*(1+Sorted!$H$2),2)</f>
        <v>0</v>
      </c>
      <c r="G120" s="47" t="n">
        <f aca="false">MIN(F120,Sorted!$G$2)</f>
        <v>0</v>
      </c>
      <c r="H120" s="47" t="n">
        <v>0</v>
      </c>
      <c r="I120" s="47" t="n">
        <f aca="false">ROUND(F120-G120-H120,2)</f>
        <v>0</v>
      </c>
      <c r="J120" s="47" t="n">
        <f aca="false">ROUND(M119*(1+Sorted!$H$3),2)</f>
        <v>0</v>
      </c>
      <c r="K120" s="47" t="n">
        <f aca="false">MIN(J120,Sorted!$G$3)</f>
        <v>0</v>
      </c>
      <c r="L120" s="47" t="n">
        <v>0</v>
      </c>
      <c r="M120" s="47" t="n">
        <f aca="false">ROUND(J120-K120-L120,2)</f>
        <v>0</v>
      </c>
      <c r="N120" s="47" t="n">
        <f aca="false">ROUND(Q119*(1+Sorted!$H$4),2)</f>
        <v>0</v>
      </c>
      <c r="O120" s="47" t="n">
        <f aca="false">MIN(N120,Sorted!$G$4)</f>
        <v>0</v>
      </c>
      <c r="P120" s="47" t="n">
        <v>0</v>
      </c>
      <c r="Q120" s="47" t="n">
        <f aca="false">ROUND(N120-O120-P120,2)</f>
        <v>0</v>
      </c>
      <c r="R120" s="47" t="n">
        <f aca="false">ROUND(U119*(1+Sorted!$H$5),2)</f>
        <v>0</v>
      </c>
      <c r="S120" s="47" t="n">
        <f aca="false">MIN(R120,Sorted!$G$5)</f>
        <v>0</v>
      </c>
      <c r="T120" s="47" t="n">
        <v>0</v>
      </c>
      <c r="U120" s="47" t="n">
        <f aca="false">ROUND(R120-S120-T120,2)</f>
        <v>0</v>
      </c>
      <c r="V120" s="47" t="n">
        <f aca="false">ROUND(Y119*(1+Sorted!$H$6),2)</f>
        <v>0</v>
      </c>
      <c r="W120" s="47" t="n">
        <f aca="false">MIN(V120,Sorted!$G$6)</f>
        <v>0</v>
      </c>
      <c r="X120" s="47" t="n">
        <v>0</v>
      </c>
      <c r="Y120" s="47" t="n">
        <f aca="false">ROUND(V120-W120-X120,2)</f>
        <v>0</v>
      </c>
      <c r="Z120" s="47" t="n">
        <f aca="false">ROUND(AC119*(1+Sorted!$H$7),2)</f>
        <v>0</v>
      </c>
      <c r="AA120" s="47" t="n">
        <f aca="false">MIN(Z120,Sorted!$G$7)</f>
        <v>0</v>
      </c>
      <c r="AB120" s="47" t="n">
        <v>0</v>
      </c>
      <c r="AC120" s="47" t="n">
        <f aca="false">ROUND(Z120-AA120-AB120,2)</f>
        <v>0</v>
      </c>
      <c r="AD120" s="47" t="n">
        <f aca="false">ROUND(AG119*(1+Sorted!$H$8),2)</f>
        <v>0</v>
      </c>
      <c r="AE120" s="47" t="n">
        <f aca="false">MIN(AD120,Sorted!$G$8)</f>
        <v>0</v>
      </c>
      <c r="AF120" s="47" t="n">
        <v>0</v>
      </c>
      <c r="AG120" s="47" t="n">
        <f aca="false">ROUND(AD120-AE120-AF120,2)</f>
        <v>0</v>
      </c>
      <c r="AH120" s="47" t="n">
        <f aca="false">ROUND(AK119*(1+Sorted!$H$9),2)</f>
        <v>0</v>
      </c>
      <c r="AI120" s="47" t="n">
        <f aca="false">MIN(AH120,Sorted!$G$9)</f>
        <v>0</v>
      </c>
      <c r="AJ120" s="47" t="n">
        <v>0</v>
      </c>
      <c r="AK120" s="47" t="n">
        <f aca="false">ROUND(AH120-AI120-AJ120,2)</f>
        <v>0</v>
      </c>
      <c r="AL120" s="47" t="n">
        <f aca="false">ROUND(AO119*(1+Sorted!$H$10),2)</f>
        <v>0</v>
      </c>
      <c r="AM120" s="47" t="n">
        <f aca="false">MIN(AL120,Sorted!$G$10)</f>
        <v>0</v>
      </c>
      <c r="AN120" s="47" t="n">
        <v>0</v>
      </c>
      <c r="AO120" s="47" t="n">
        <f aca="false">ROUND(AL120-AM120-AN120,2)</f>
        <v>0</v>
      </c>
      <c r="AP120" s="47" t="n">
        <f aca="false">ROUND(AS119*(1+Sorted!$H$11),2)</f>
        <v>0</v>
      </c>
      <c r="AQ120" s="47" t="n">
        <f aca="false">MIN(AP120,Sorted!$G$11)</f>
        <v>0</v>
      </c>
      <c r="AR120" s="47" t="n">
        <v>0</v>
      </c>
      <c r="AS120" s="47" t="n">
        <f aca="false">ROUND(AP120-AQ120-AR120,2)</f>
        <v>0</v>
      </c>
    </row>
    <row r="121" customFormat="false" ht="15" hidden="false" customHeight="false" outlineLevel="0" collapsed="false">
      <c r="A121" s="45" t="n">
        <v>118</v>
      </c>
      <c r="B121" s="46" t="n">
        <f aca="false">EDATE('My Debts'!$C$7,A121-1)</f>
        <v>49888</v>
      </c>
      <c r="C121" s="47" t="n">
        <v>0</v>
      </c>
      <c r="D121" s="47" t="n">
        <f aca="false">(F121+J121+N121+R121+V121+Z121+AD121+AH121+AL121+AP121)-(I121+M121+Q121+U121+Y121+AC121+AG121+AK121+AO121+AS121)</f>
        <v>0</v>
      </c>
      <c r="E121" s="48" t="n">
        <f aca="false">I121+M121+Q121+U121+Y121+AC121+AG121+AK121+AO121+AS121</f>
        <v>0</v>
      </c>
      <c r="F121" s="47" t="n">
        <f aca="false">ROUND(I120*(1+Sorted!$H$2),2)</f>
        <v>0</v>
      </c>
      <c r="G121" s="47" t="n">
        <f aca="false">MIN(F121,Sorted!$G$2)</f>
        <v>0</v>
      </c>
      <c r="H121" s="47" t="n">
        <v>0</v>
      </c>
      <c r="I121" s="47" t="n">
        <f aca="false">ROUND(F121-G121-H121,2)</f>
        <v>0</v>
      </c>
      <c r="J121" s="47" t="n">
        <f aca="false">ROUND(M120*(1+Sorted!$H$3),2)</f>
        <v>0</v>
      </c>
      <c r="K121" s="47" t="n">
        <f aca="false">MIN(J121,Sorted!$G$3)</f>
        <v>0</v>
      </c>
      <c r="L121" s="47" t="n">
        <v>0</v>
      </c>
      <c r="M121" s="47" t="n">
        <f aca="false">ROUND(J121-K121-L121,2)</f>
        <v>0</v>
      </c>
      <c r="N121" s="47" t="n">
        <f aca="false">ROUND(Q120*(1+Sorted!$H$4),2)</f>
        <v>0</v>
      </c>
      <c r="O121" s="47" t="n">
        <f aca="false">MIN(N121,Sorted!$G$4)</f>
        <v>0</v>
      </c>
      <c r="P121" s="47" t="n">
        <v>0</v>
      </c>
      <c r="Q121" s="47" t="n">
        <f aca="false">ROUND(N121-O121-P121,2)</f>
        <v>0</v>
      </c>
      <c r="R121" s="47" t="n">
        <f aca="false">ROUND(U120*(1+Sorted!$H$5),2)</f>
        <v>0</v>
      </c>
      <c r="S121" s="47" t="n">
        <f aca="false">MIN(R121,Sorted!$G$5)</f>
        <v>0</v>
      </c>
      <c r="T121" s="47" t="n">
        <v>0</v>
      </c>
      <c r="U121" s="47" t="n">
        <f aca="false">ROUND(R121-S121-T121,2)</f>
        <v>0</v>
      </c>
      <c r="V121" s="47" t="n">
        <f aca="false">ROUND(Y120*(1+Sorted!$H$6),2)</f>
        <v>0</v>
      </c>
      <c r="W121" s="47" t="n">
        <f aca="false">MIN(V121,Sorted!$G$6)</f>
        <v>0</v>
      </c>
      <c r="X121" s="47" t="n">
        <v>0</v>
      </c>
      <c r="Y121" s="47" t="n">
        <f aca="false">ROUND(V121-W121-X121,2)</f>
        <v>0</v>
      </c>
      <c r="Z121" s="47" t="n">
        <f aca="false">ROUND(AC120*(1+Sorted!$H$7),2)</f>
        <v>0</v>
      </c>
      <c r="AA121" s="47" t="n">
        <f aca="false">MIN(Z121,Sorted!$G$7)</f>
        <v>0</v>
      </c>
      <c r="AB121" s="47" t="n">
        <v>0</v>
      </c>
      <c r="AC121" s="47" t="n">
        <f aca="false">ROUND(Z121-AA121-AB121,2)</f>
        <v>0</v>
      </c>
      <c r="AD121" s="47" t="n">
        <f aca="false">ROUND(AG120*(1+Sorted!$H$8),2)</f>
        <v>0</v>
      </c>
      <c r="AE121" s="47" t="n">
        <f aca="false">MIN(AD121,Sorted!$G$8)</f>
        <v>0</v>
      </c>
      <c r="AF121" s="47" t="n">
        <v>0</v>
      </c>
      <c r="AG121" s="47" t="n">
        <f aca="false">ROUND(AD121-AE121-AF121,2)</f>
        <v>0</v>
      </c>
      <c r="AH121" s="47" t="n">
        <f aca="false">ROUND(AK120*(1+Sorted!$H$9),2)</f>
        <v>0</v>
      </c>
      <c r="AI121" s="47" t="n">
        <f aca="false">MIN(AH121,Sorted!$G$9)</f>
        <v>0</v>
      </c>
      <c r="AJ121" s="47" t="n">
        <v>0</v>
      </c>
      <c r="AK121" s="47" t="n">
        <f aca="false">ROUND(AH121-AI121-AJ121,2)</f>
        <v>0</v>
      </c>
      <c r="AL121" s="47" t="n">
        <f aca="false">ROUND(AO120*(1+Sorted!$H$10),2)</f>
        <v>0</v>
      </c>
      <c r="AM121" s="47" t="n">
        <f aca="false">MIN(AL121,Sorted!$G$10)</f>
        <v>0</v>
      </c>
      <c r="AN121" s="47" t="n">
        <v>0</v>
      </c>
      <c r="AO121" s="47" t="n">
        <f aca="false">ROUND(AL121-AM121-AN121,2)</f>
        <v>0</v>
      </c>
      <c r="AP121" s="47" t="n">
        <f aca="false">ROUND(AS120*(1+Sorted!$H$11),2)</f>
        <v>0</v>
      </c>
      <c r="AQ121" s="47" t="n">
        <f aca="false">MIN(AP121,Sorted!$G$11)</f>
        <v>0</v>
      </c>
      <c r="AR121" s="47" t="n">
        <v>0</v>
      </c>
      <c r="AS121" s="47" t="n">
        <f aca="false">ROUND(AP121-AQ121-AR121,2)</f>
        <v>0</v>
      </c>
    </row>
    <row r="122" customFormat="false" ht="15" hidden="false" customHeight="false" outlineLevel="0" collapsed="false">
      <c r="A122" s="45" t="n">
        <v>119</v>
      </c>
      <c r="B122" s="46" t="n">
        <f aca="false">EDATE('My Debts'!$C$7,A122-1)</f>
        <v>49919</v>
      </c>
      <c r="C122" s="47" t="n">
        <v>0</v>
      </c>
      <c r="D122" s="47" t="n">
        <f aca="false">(F122+J122+N122+R122+V122+Z122+AD122+AH122+AL122+AP122)-(I122+M122+Q122+U122+Y122+AC122+AG122+AK122+AO122+AS122)</f>
        <v>0</v>
      </c>
      <c r="E122" s="48" t="n">
        <f aca="false">I122+M122+Q122+U122+Y122+AC122+AG122+AK122+AO122+AS122</f>
        <v>0</v>
      </c>
      <c r="F122" s="47" t="n">
        <f aca="false">ROUND(I121*(1+Sorted!$H$2),2)</f>
        <v>0</v>
      </c>
      <c r="G122" s="47" t="n">
        <f aca="false">MIN(F122,Sorted!$G$2)</f>
        <v>0</v>
      </c>
      <c r="H122" s="47" t="n">
        <v>0</v>
      </c>
      <c r="I122" s="47" t="n">
        <f aca="false">ROUND(F122-G122-H122,2)</f>
        <v>0</v>
      </c>
      <c r="J122" s="47" t="n">
        <f aca="false">ROUND(M121*(1+Sorted!$H$3),2)</f>
        <v>0</v>
      </c>
      <c r="K122" s="47" t="n">
        <f aca="false">MIN(J122,Sorted!$G$3)</f>
        <v>0</v>
      </c>
      <c r="L122" s="47" t="n">
        <v>0</v>
      </c>
      <c r="M122" s="47" t="n">
        <f aca="false">ROUND(J122-K122-L122,2)</f>
        <v>0</v>
      </c>
      <c r="N122" s="47" t="n">
        <f aca="false">ROUND(Q121*(1+Sorted!$H$4),2)</f>
        <v>0</v>
      </c>
      <c r="O122" s="47" t="n">
        <f aca="false">MIN(N122,Sorted!$G$4)</f>
        <v>0</v>
      </c>
      <c r="P122" s="47" t="n">
        <v>0</v>
      </c>
      <c r="Q122" s="47" t="n">
        <f aca="false">ROUND(N122-O122-P122,2)</f>
        <v>0</v>
      </c>
      <c r="R122" s="47" t="n">
        <f aca="false">ROUND(U121*(1+Sorted!$H$5),2)</f>
        <v>0</v>
      </c>
      <c r="S122" s="47" t="n">
        <f aca="false">MIN(R122,Sorted!$G$5)</f>
        <v>0</v>
      </c>
      <c r="T122" s="47" t="n">
        <v>0</v>
      </c>
      <c r="U122" s="47" t="n">
        <f aca="false">ROUND(R122-S122-T122,2)</f>
        <v>0</v>
      </c>
      <c r="V122" s="47" t="n">
        <f aca="false">ROUND(Y121*(1+Sorted!$H$6),2)</f>
        <v>0</v>
      </c>
      <c r="W122" s="47" t="n">
        <f aca="false">MIN(V122,Sorted!$G$6)</f>
        <v>0</v>
      </c>
      <c r="X122" s="47" t="n">
        <v>0</v>
      </c>
      <c r="Y122" s="47" t="n">
        <f aca="false">ROUND(V122-W122-X122,2)</f>
        <v>0</v>
      </c>
      <c r="Z122" s="47" t="n">
        <f aca="false">ROUND(AC121*(1+Sorted!$H$7),2)</f>
        <v>0</v>
      </c>
      <c r="AA122" s="47" t="n">
        <f aca="false">MIN(Z122,Sorted!$G$7)</f>
        <v>0</v>
      </c>
      <c r="AB122" s="47" t="n">
        <v>0</v>
      </c>
      <c r="AC122" s="47" t="n">
        <f aca="false">ROUND(Z122-AA122-AB122,2)</f>
        <v>0</v>
      </c>
      <c r="AD122" s="47" t="n">
        <f aca="false">ROUND(AG121*(1+Sorted!$H$8),2)</f>
        <v>0</v>
      </c>
      <c r="AE122" s="47" t="n">
        <f aca="false">MIN(AD122,Sorted!$G$8)</f>
        <v>0</v>
      </c>
      <c r="AF122" s="47" t="n">
        <v>0</v>
      </c>
      <c r="AG122" s="47" t="n">
        <f aca="false">ROUND(AD122-AE122-AF122,2)</f>
        <v>0</v>
      </c>
      <c r="AH122" s="47" t="n">
        <f aca="false">ROUND(AK121*(1+Sorted!$H$9),2)</f>
        <v>0</v>
      </c>
      <c r="AI122" s="47" t="n">
        <f aca="false">MIN(AH122,Sorted!$G$9)</f>
        <v>0</v>
      </c>
      <c r="AJ122" s="47" t="n">
        <v>0</v>
      </c>
      <c r="AK122" s="47" t="n">
        <f aca="false">ROUND(AH122-AI122-AJ122,2)</f>
        <v>0</v>
      </c>
      <c r="AL122" s="47" t="n">
        <f aca="false">ROUND(AO121*(1+Sorted!$H$10),2)</f>
        <v>0</v>
      </c>
      <c r="AM122" s="47" t="n">
        <f aca="false">MIN(AL122,Sorted!$G$10)</f>
        <v>0</v>
      </c>
      <c r="AN122" s="47" t="n">
        <v>0</v>
      </c>
      <c r="AO122" s="47" t="n">
        <f aca="false">ROUND(AL122-AM122-AN122,2)</f>
        <v>0</v>
      </c>
      <c r="AP122" s="47" t="n">
        <f aca="false">ROUND(AS121*(1+Sorted!$H$11),2)</f>
        <v>0</v>
      </c>
      <c r="AQ122" s="47" t="n">
        <f aca="false">MIN(AP122,Sorted!$G$11)</f>
        <v>0</v>
      </c>
      <c r="AR122" s="47" t="n">
        <v>0</v>
      </c>
      <c r="AS122" s="47" t="n">
        <f aca="false">ROUND(AP122-AQ122-AR122,2)</f>
        <v>0</v>
      </c>
    </row>
    <row r="123" customFormat="false" ht="15" hidden="false" customHeight="false" outlineLevel="0" collapsed="false">
      <c r="A123" s="45" t="n">
        <v>120</v>
      </c>
      <c r="B123" s="46" t="n">
        <f aca="false">EDATE('My Debts'!$C$7,A123-1)</f>
        <v>49949</v>
      </c>
      <c r="C123" s="47" t="n">
        <v>0</v>
      </c>
      <c r="D123" s="47" t="n">
        <f aca="false">(F123+J123+N123+R123+V123+Z123+AD123+AH123+AL123+AP123)-(I123+M123+Q123+U123+Y123+AC123+AG123+AK123+AO123+AS123)</f>
        <v>0</v>
      </c>
      <c r="E123" s="48" t="n">
        <f aca="false">I123+M123+Q123+U123+Y123+AC123+AG123+AK123+AO123+AS123</f>
        <v>0</v>
      </c>
      <c r="F123" s="47" t="n">
        <f aca="false">ROUND(I122*(1+Sorted!$H$2),2)</f>
        <v>0</v>
      </c>
      <c r="G123" s="47" t="n">
        <f aca="false">MIN(F123,Sorted!$G$2)</f>
        <v>0</v>
      </c>
      <c r="H123" s="47" t="n">
        <v>0</v>
      </c>
      <c r="I123" s="47" t="n">
        <f aca="false">ROUND(F123-G123-H123,2)</f>
        <v>0</v>
      </c>
      <c r="J123" s="47" t="n">
        <f aca="false">ROUND(M122*(1+Sorted!$H$3),2)</f>
        <v>0</v>
      </c>
      <c r="K123" s="47" t="n">
        <f aca="false">MIN(J123,Sorted!$G$3)</f>
        <v>0</v>
      </c>
      <c r="L123" s="47" t="n">
        <v>0</v>
      </c>
      <c r="M123" s="47" t="n">
        <f aca="false">ROUND(J123-K123-L123,2)</f>
        <v>0</v>
      </c>
      <c r="N123" s="47" t="n">
        <f aca="false">ROUND(Q122*(1+Sorted!$H$4),2)</f>
        <v>0</v>
      </c>
      <c r="O123" s="47" t="n">
        <f aca="false">MIN(N123,Sorted!$G$4)</f>
        <v>0</v>
      </c>
      <c r="P123" s="47" t="n">
        <v>0</v>
      </c>
      <c r="Q123" s="47" t="n">
        <f aca="false">ROUND(N123-O123-P123,2)</f>
        <v>0</v>
      </c>
      <c r="R123" s="47" t="n">
        <f aca="false">ROUND(U122*(1+Sorted!$H$5),2)</f>
        <v>0</v>
      </c>
      <c r="S123" s="47" t="n">
        <f aca="false">MIN(R123,Sorted!$G$5)</f>
        <v>0</v>
      </c>
      <c r="T123" s="47" t="n">
        <v>0</v>
      </c>
      <c r="U123" s="47" t="n">
        <f aca="false">ROUND(R123-S123-T123,2)</f>
        <v>0</v>
      </c>
      <c r="V123" s="47" t="n">
        <f aca="false">ROUND(Y122*(1+Sorted!$H$6),2)</f>
        <v>0</v>
      </c>
      <c r="W123" s="47" t="n">
        <f aca="false">MIN(V123,Sorted!$G$6)</f>
        <v>0</v>
      </c>
      <c r="X123" s="47" t="n">
        <v>0</v>
      </c>
      <c r="Y123" s="47" t="n">
        <f aca="false">ROUND(V123-W123-X123,2)</f>
        <v>0</v>
      </c>
      <c r="Z123" s="47" t="n">
        <f aca="false">ROUND(AC122*(1+Sorted!$H$7),2)</f>
        <v>0</v>
      </c>
      <c r="AA123" s="47" t="n">
        <f aca="false">MIN(Z123,Sorted!$G$7)</f>
        <v>0</v>
      </c>
      <c r="AB123" s="47" t="n">
        <v>0</v>
      </c>
      <c r="AC123" s="47" t="n">
        <f aca="false">ROUND(Z123-AA123-AB123,2)</f>
        <v>0</v>
      </c>
      <c r="AD123" s="47" t="n">
        <f aca="false">ROUND(AG122*(1+Sorted!$H$8),2)</f>
        <v>0</v>
      </c>
      <c r="AE123" s="47" t="n">
        <f aca="false">MIN(AD123,Sorted!$G$8)</f>
        <v>0</v>
      </c>
      <c r="AF123" s="47" t="n">
        <v>0</v>
      </c>
      <c r="AG123" s="47" t="n">
        <f aca="false">ROUND(AD123-AE123-AF123,2)</f>
        <v>0</v>
      </c>
      <c r="AH123" s="47" t="n">
        <f aca="false">ROUND(AK122*(1+Sorted!$H$9),2)</f>
        <v>0</v>
      </c>
      <c r="AI123" s="47" t="n">
        <f aca="false">MIN(AH123,Sorted!$G$9)</f>
        <v>0</v>
      </c>
      <c r="AJ123" s="47" t="n">
        <v>0</v>
      </c>
      <c r="AK123" s="47" t="n">
        <f aca="false">ROUND(AH123-AI123-AJ123,2)</f>
        <v>0</v>
      </c>
      <c r="AL123" s="47" t="n">
        <f aca="false">ROUND(AO122*(1+Sorted!$H$10),2)</f>
        <v>0</v>
      </c>
      <c r="AM123" s="47" t="n">
        <f aca="false">MIN(AL123,Sorted!$G$10)</f>
        <v>0</v>
      </c>
      <c r="AN123" s="47" t="n">
        <v>0</v>
      </c>
      <c r="AO123" s="47" t="n">
        <f aca="false">ROUND(AL123-AM123-AN123,2)</f>
        <v>0</v>
      </c>
      <c r="AP123" s="47" t="n">
        <f aca="false">ROUND(AS122*(1+Sorted!$H$11),2)</f>
        <v>0</v>
      </c>
      <c r="AQ123" s="47" t="n">
        <f aca="false">MIN(AP123,Sorted!$G$11)</f>
        <v>0</v>
      </c>
      <c r="AR123" s="47" t="n">
        <v>0</v>
      </c>
      <c r="AS123" s="47" t="n">
        <f aca="false">ROUND(AP123-AQ123-AR123,2)</f>
        <v>0</v>
      </c>
    </row>
    <row r="124" customFormat="false" ht="15" hidden="false" customHeight="false" outlineLevel="0" collapsed="false">
      <c r="A124" s="45" t="n">
        <v>121</v>
      </c>
      <c r="B124" s="46" t="n">
        <f aca="false">EDATE('My Debts'!$C$7,A124-1)</f>
        <v>49980</v>
      </c>
      <c r="C124" s="47" t="n">
        <v>0</v>
      </c>
      <c r="D124" s="47" t="n">
        <f aca="false">(F124+J124+N124+R124+V124+Z124+AD124+AH124+AL124+AP124)-(I124+M124+Q124+U124+Y124+AC124+AG124+AK124+AO124+AS124)</f>
        <v>0</v>
      </c>
      <c r="E124" s="48" t="n">
        <f aca="false">I124+M124+Q124+U124+Y124+AC124+AG124+AK124+AO124+AS124</f>
        <v>0</v>
      </c>
      <c r="F124" s="47" t="n">
        <f aca="false">ROUND(I123*(1+Sorted!$H$2),2)</f>
        <v>0</v>
      </c>
      <c r="G124" s="47" t="n">
        <f aca="false">MIN(F124,Sorted!$G$2)</f>
        <v>0</v>
      </c>
      <c r="H124" s="47" t="n">
        <v>0</v>
      </c>
      <c r="I124" s="47" t="n">
        <f aca="false">ROUND(F124-G124-H124,2)</f>
        <v>0</v>
      </c>
      <c r="J124" s="47" t="n">
        <f aca="false">ROUND(M123*(1+Sorted!$H$3),2)</f>
        <v>0</v>
      </c>
      <c r="K124" s="47" t="n">
        <f aca="false">MIN(J124,Sorted!$G$3)</f>
        <v>0</v>
      </c>
      <c r="L124" s="47" t="n">
        <v>0</v>
      </c>
      <c r="M124" s="47" t="n">
        <f aca="false">ROUND(J124-K124-L124,2)</f>
        <v>0</v>
      </c>
      <c r="N124" s="47" t="n">
        <f aca="false">ROUND(Q123*(1+Sorted!$H$4),2)</f>
        <v>0</v>
      </c>
      <c r="O124" s="47" t="n">
        <f aca="false">MIN(N124,Sorted!$G$4)</f>
        <v>0</v>
      </c>
      <c r="P124" s="47" t="n">
        <v>0</v>
      </c>
      <c r="Q124" s="47" t="n">
        <f aca="false">ROUND(N124-O124-P124,2)</f>
        <v>0</v>
      </c>
      <c r="R124" s="47" t="n">
        <f aca="false">ROUND(U123*(1+Sorted!$H$5),2)</f>
        <v>0</v>
      </c>
      <c r="S124" s="47" t="n">
        <f aca="false">MIN(R124,Sorted!$G$5)</f>
        <v>0</v>
      </c>
      <c r="T124" s="47" t="n">
        <v>0</v>
      </c>
      <c r="U124" s="47" t="n">
        <f aca="false">ROUND(R124-S124-T124,2)</f>
        <v>0</v>
      </c>
      <c r="V124" s="47" t="n">
        <f aca="false">ROUND(Y123*(1+Sorted!$H$6),2)</f>
        <v>0</v>
      </c>
      <c r="W124" s="47" t="n">
        <f aca="false">MIN(V124,Sorted!$G$6)</f>
        <v>0</v>
      </c>
      <c r="X124" s="47" t="n">
        <v>0</v>
      </c>
      <c r="Y124" s="47" t="n">
        <f aca="false">ROUND(V124-W124-X124,2)</f>
        <v>0</v>
      </c>
      <c r="Z124" s="47" t="n">
        <f aca="false">ROUND(AC123*(1+Sorted!$H$7),2)</f>
        <v>0</v>
      </c>
      <c r="AA124" s="47" t="n">
        <f aca="false">MIN(Z124,Sorted!$G$7)</f>
        <v>0</v>
      </c>
      <c r="AB124" s="47" t="n">
        <v>0</v>
      </c>
      <c r="AC124" s="47" t="n">
        <f aca="false">ROUND(Z124-AA124-AB124,2)</f>
        <v>0</v>
      </c>
      <c r="AD124" s="47" t="n">
        <f aca="false">ROUND(AG123*(1+Sorted!$H$8),2)</f>
        <v>0</v>
      </c>
      <c r="AE124" s="47" t="n">
        <f aca="false">MIN(AD124,Sorted!$G$8)</f>
        <v>0</v>
      </c>
      <c r="AF124" s="47" t="n">
        <v>0</v>
      </c>
      <c r="AG124" s="47" t="n">
        <f aca="false">ROUND(AD124-AE124-AF124,2)</f>
        <v>0</v>
      </c>
      <c r="AH124" s="47" t="n">
        <f aca="false">ROUND(AK123*(1+Sorted!$H$9),2)</f>
        <v>0</v>
      </c>
      <c r="AI124" s="47" t="n">
        <f aca="false">MIN(AH124,Sorted!$G$9)</f>
        <v>0</v>
      </c>
      <c r="AJ124" s="47" t="n">
        <v>0</v>
      </c>
      <c r="AK124" s="47" t="n">
        <f aca="false">ROUND(AH124-AI124-AJ124,2)</f>
        <v>0</v>
      </c>
      <c r="AL124" s="47" t="n">
        <f aca="false">ROUND(AO123*(1+Sorted!$H$10),2)</f>
        <v>0</v>
      </c>
      <c r="AM124" s="47" t="n">
        <f aca="false">MIN(AL124,Sorted!$G$10)</f>
        <v>0</v>
      </c>
      <c r="AN124" s="47" t="n">
        <v>0</v>
      </c>
      <c r="AO124" s="47" t="n">
        <f aca="false">ROUND(AL124-AM124-AN124,2)</f>
        <v>0</v>
      </c>
      <c r="AP124" s="47" t="n">
        <f aca="false">ROUND(AS123*(1+Sorted!$H$11),2)</f>
        <v>0</v>
      </c>
      <c r="AQ124" s="47" t="n">
        <f aca="false">MIN(AP124,Sorted!$G$11)</f>
        <v>0</v>
      </c>
      <c r="AR124" s="47" t="n">
        <v>0</v>
      </c>
      <c r="AS124" s="47" t="n">
        <f aca="false">ROUND(AP124-AQ124-AR124,2)</f>
        <v>0</v>
      </c>
    </row>
    <row r="125" customFormat="false" ht="15" hidden="false" customHeight="false" outlineLevel="0" collapsed="false">
      <c r="A125" s="45" t="n">
        <v>122</v>
      </c>
      <c r="B125" s="46" t="n">
        <f aca="false">EDATE('My Debts'!$C$7,A125-1)</f>
        <v>50010</v>
      </c>
      <c r="C125" s="47" t="n">
        <v>0</v>
      </c>
      <c r="D125" s="47" t="n">
        <f aca="false">(F125+J125+N125+R125+V125+Z125+AD125+AH125+AL125+AP125)-(I125+M125+Q125+U125+Y125+AC125+AG125+AK125+AO125+AS125)</f>
        <v>0</v>
      </c>
      <c r="E125" s="48" t="n">
        <f aca="false">I125+M125+Q125+U125+Y125+AC125+AG125+AK125+AO125+AS125</f>
        <v>0</v>
      </c>
      <c r="F125" s="47" t="n">
        <f aca="false">ROUND(I124*(1+Sorted!$H$2),2)</f>
        <v>0</v>
      </c>
      <c r="G125" s="47" t="n">
        <f aca="false">MIN(F125,Sorted!$G$2)</f>
        <v>0</v>
      </c>
      <c r="H125" s="47" t="n">
        <v>0</v>
      </c>
      <c r="I125" s="47" t="n">
        <f aca="false">ROUND(F125-G125-H125,2)</f>
        <v>0</v>
      </c>
      <c r="J125" s="47" t="n">
        <f aca="false">ROUND(M124*(1+Sorted!$H$3),2)</f>
        <v>0</v>
      </c>
      <c r="K125" s="47" t="n">
        <f aca="false">MIN(J125,Sorted!$G$3)</f>
        <v>0</v>
      </c>
      <c r="L125" s="47" t="n">
        <v>0</v>
      </c>
      <c r="M125" s="47" t="n">
        <f aca="false">ROUND(J125-K125-L125,2)</f>
        <v>0</v>
      </c>
      <c r="N125" s="47" t="n">
        <f aca="false">ROUND(Q124*(1+Sorted!$H$4),2)</f>
        <v>0</v>
      </c>
      <c r="O125" s="47" t="n">
        <f aca="false">MIN(N125,Sorted!$G$4)</f>
        <v>0</v>
      </c>
      <c r="P125" s="47" t="n">
        <v>0</v>
      </c>
      <c r="Q125" s="47" t="n">
        <f aca="false">ROUND(N125-O125-P125,2)</f>
        <v>0</v>
      </c>
      <c r="R125" s="47" t="n">
        <f aca="false">ROUND(U124*(1+Sorted!$H$5),2)</f>
        <v>0</v>
      </c>
      <c r="S125" s="47" t="n">
        <f aca="false">MIN(R125,Sorted!$G$5)</f>
        <v>0</v>
      </c>
      <c r="T125" s="47" t="n">
        <v>0</v>
      </c>
      <c r="U125" s="47" t="n">
        <f aca="false">ROUND(R125-S125-T125,2)</f>
        <v>0</v>
      </c>
      <c r="V125" s="47" t="n">
        <f aca="false">ROUND(Y124*(1+Sorted!$H$6),2)</f>
        <v>0</v>
      </c>
      <c r="W125" s="47" t="n">
        <f aca="false">MIN(V125,Sorted!$G$6)</f>
        <v>0</v>
      </c>
      <c r="X125" s="47" t="n">
        <v>0</v>
      </c>
      <c r="Y125" s="47" t="n">
        <f aca="false">ROUND(V125-W125-X125,2)</f>
        <v>0</v>
      </c>
      <c r="Z125" s="47" t="n">
        <f aca="false">ROUND(AC124*(1+Sorted!$H$7),2)</f>
        <v>0</v>
      </c>
      <c r="AA125" s="47" t="n">
        <f aca="false">MIN(Z125,Sorted!$G$7)</f>
        <v>0</v>
      </c>
      <c r="AB125" s="47" t="n">
        <v>0</v>
      </c>
      <c r="AC125" s="47" t="n">
        <f aca="false">ROUND(Z125-AA125-AB125,2)</f>
        <v>0</v>
      </c>
      <c r="AD125" s="47" t="n">
        <f aca="false">ROUND(AG124*(1+Sorted!$H$8),2)</f>
        <v>0</v>
      </c>
      <c r="AE125" s="47" t="n">
        <f aca="false">MIN(AD125,Sorted!$G$8)</f>
        <v>0</v>
      </c>
      <c r="AF125" s="47" t="n">
        <v>0</v>
      </c>
      <c r="AG125" s="47" t="n">
        <f aca="false">ROUND(AD125-AE125-AF125,2)</f>
        <v>0</v>
      </c>
      <c r="AH125" s="47" t="n">
        <f aca="false">ROUND(AK124*(1+Sorted!$H$9),2)</f>
        <v>0</v>
      </c>
      <c r="AI125" s="47" t="n">
        <f aca="false">MIN(AH125,Sorted!$G$9)</f>
        <v>0</v>
      </c>
      <c r="AJ125" s="47" t="n">
        <v>0</v>
      </c>
      <c r="AK125" s="47" t="n">
        <f aca="false">ROUND(AH125-AI125-AJ125,2)</f>
        <v>0</v>
      </c>
      <c r="AL125" s="47" t="n">
        <f aca="false">ROUND(AO124*(1+Sorted!$H$10),2)</f>
        <v>0</v>
      </c>
      <c r="AM125" s="47" t="n">
        <f aca="false">MIN(AL125,Sorted!$G$10)</f>
        <v>0</v>
      </c>
      <c r="AN125" s="47" t="n">
        <v>0</v>
      </c>
      <c r="AO125" s="47" t="n">
        <f aca="false">ROUND(AL125-AM125-AN125,2)</f>
        <v>0</v>
      </c>
      <c r="AP125" s="47" t="n">
        <f aca="false">ROUND(AS124*(1+Sorted!$H$11),2)</f>
        <v>0</v>
      </c>
      <c r="AQ125" s="47" t="n">
        <f aca="false">MIN(AP125,Sorted!$G$11)</f>
        <v>0</v>
      </c>
      <c r="AR125" s="47" t="n">
        <v>0</v>
      </c>
      <c r="AS125" s="47" t="n">
        <f aca="false">ROUND(AP125-AQ125-AR125,2)</f>
        <v>0</v>
      </c>
    </row>
    <row r="126" customFormat="false" ht="15" hidden="false" customHeight="false" outlineLevel="0" collapsed="false">
      <c r="A126" s="45" t="n">
        <v>123</v>
      </c>
      <c r="B126" s="46" t="n">
        <f aca="false">EDATE('My Debts'!$C$7,A126-1)</f>
        <v>50041</v>
      </c>
      <c r="C126" s="47" t="n">
        <v>0</v>
      </c>
      <c r="D126" s="47" t="n">
        <f aca="false">(F126+J126+N126+R126+V126+Z126+AD126+AH126+AL126+AP126)-(I126+M126+Q126+U126+Y126+AC126+AG126+AK126+AO126+AS126)</f>
        <v>0</v>
      </c>
      <c r="E126" s="48" t="n">
        <f aca="false">I126+M126+Q126+U126+Y126+AC126+AG126+AK126+AO126+AS126</f>
        <v>0</v>
      </c>
      <c r="F126" s="47" t="n">
        <f aca="false">ROUND(I125*(1+Sorted!$H$2),2)</f>
        <v>0</v>
      </c>
      <c r="G126" s="47" t="n">
        <f aca="false">MIN(F126,Sorted!$G$2)</f>
        <v>0</v>
      </c>
      <c r="H126" s="47" t="n">
        <v>0</v>
      </c>
      <c r="I126" s="47" t="n">
        <f aca="false">ROUND(F126-G126-H126,2)</f>
        <v>0</v>
      </c>
      <c r="J126" s="47" t="n">
        <f aca="false">ROUND(M125*(1+Sorted!$H$3),2)</f>
        <v>0</v>
      </c>
      <c r="K126" s="47" t="n">
        <f aca="false">MIN(J126,Sorted!$G$3)</f>
        <v>0</v>
      </c>
      <c r="L126" s="47" t="n">
        <v>0</v>
      </c>
      <c r="M126" s="47" t="n">
        <f aca="false">ROUND(J126-K126-L126,2)</f>
        <v>0</v>
      </c>
      <c r="N126" s="47" t="n">
        <f aca="false">ROUND(Q125*(1+Sorted!$H$4),2)</f>
        <v>0</v>
      </c>
      <c r="O126" s="47" t="n">
        <f aca="false">MIN(N126,Sorted!$G$4)</f>
        <v>0</v>
      </c>
      <c r="P126" s="47" t="n">
        <v>0</v>
      </c>
      <c r="Q126" s="47" t="n">
        <f aca="false">ROUND(N126-O126-P126,2)</f>
        <v>0</v>
      </c>
      <c r="R126" s="47" t="n">
        <f aca="false">ROUND(U125*(1+Sorted!$H$5),2)</f>
        <v>0</v>
      </c>
      <c r="S126" s="47" t="n">
        <f aca="false">MIN(R126,Sorted!$G$5)</f>
        <v>0</v>
      </c>
      <c r="T126" s="47" t="n">
        <v>0</v>
      </c>
      <c r="U126" s="47" t="n">
        <f aca="false">ROUND(R126-S126-T126,2)</f>
        <v>0</v>
      </c>
      <c r="V126" s="47" t="n">
        <f aca="false">ROUND(Y125*(1+Sorted!$H$6),2)</f>
        <v>0</v>
      </c>
      <c r="W126" s="47" t="n">
        <f aca="false">MIN(V126,Sorted!$G$6)</f>
        <v>0</v>
      </c>
      <c r="X126" s="47" t="n">
        <v>0</v>
      </c>
      <c r="Y126" s="47" t="n">
        <f aca="false">ROUND(V126-W126-X126,2)</f>
        <v>0</v>
      </c>
      <c r="Z126" s="47" t="n">
        <f aca="false">ROUND(AC125*(1+Sorted!$H$7),2)</f>
        <v>0</v>
      </c>
      <c r="AA126" s="47" t="n">
        <f aca="false">MIN(Z126,Sorted!$G$7)</f>
        <v>0</v>
      </c>
      <c r="AB126" s="47" t="n">
        <v>0</v>
      </c>
      <c r="AC126" s="47" t="n">
        <f aca="false">ROUND(Z126-AA126-AB126,2)</f>
        <v>0</v>
      </c>
      <c r="AD126" s="47" t="n">
        <f aca="false">ROUND(AG125*(1+Sorted!$H$8),2)</f>
        <v>0</v>
      </c>
      <c r="AE126" s="47" t="n">
        <f aca="false">MIN(AD126,Sorted!$G$8)</f>
        <v>0</v>
      </c>
      <c r="AF126" s="47" t="n">
        <v>0</v>
      </c>
      <c r="AG126" s="47" t="n">
        <f aca="false">ROUND(AD126-AE126-AF126,2)</f>
        <v>0</v>
      </c>
      <c r="AH126" s="47" t="n">
        <f aca="false">ROUND(AK125*(1+Sorted!$H$9),2)</f>
        <v>0</v>
      </c>
      <c r="AI126" s="47" t="n">
        <f aca="false">MIN(AH126,Sorted!$G$9)</f>
        <v>0</v>
      </c>
      <c r="AJ126" s="47" t="n">
        <v>0</v>
      </c>
      <c r="AK126" s="47" t="n">
        <f aca="false">ROUND(AH126-AI126-AJ126,2)</f>
        <v>0</v>
      </c>
      <c r="AL126" s="47" t="n">
        <f aca="false">ROUND(AO125*(1+Sorted!$H$10),2)</f>
        <v>0</v>
      </c>
      <c r="AM126" s="47" t="n">
        <f aca="false">MIN(AL126,Sorted!$G$10)</f>
        <v>0</v>
      </c>
      <c r="AN126" s="47" t="n">
        <v>0</v>
      </c>
      <c r="AO126" s="47" t="n">
        <f aca="false">ROUND(AL126-AM126-AN126,2)</f>
        <v>0</v>
      </c>
      <c r="AP126" s="47" t="n">
        <f aca="false">ROUND(AS125*(1+Sorted!$H$11),2)</f>
        <v>0</v>
      </c>
      <c r="AQ126" s="47" t="n">
        <f aca="false">MIN(AP126,Sorted!$G$11)</f>
        <v>0</v>
      </c>
      <c r="AR126" s="47" t="n">
        <v>0</v>
      </c>
      <c r="AS126" s="47" t="n">
        <f aca="false">ROUND(AP126-AQ126-AR126,2)</f>
        <v>0</v>
      </c>
    </row>
    <row r="127" customFormat="false" ht="15" hidden="false" customHeight="false" outlineLevel="0" collapsed="false">
      <c r="A127" s="45" t="n">
        <v>124</v>
      </c>
      <c r="B127" s="46" t="n">
        <f aca="false">EDATE('My Debts'!$C$7,A127-1)</f>
        <v>50072</v>
      </c>
      <c r="C127" s="47" t="n">
        <v>0</v>
      </c>
      <c r="D127" s="47" t="n">
        <f aca="false">(F127+J127+N127+R127+V127+Z127+AD127+AH127+AL127+AP127)-(I127+M127+Q127+U127+Y127+AC127+AG127+AK127+AO127+AS127)</f>
        <v>0</v>
      </c>
      <c r="E127" s="48" t="n">
        <f aca="false">I127+M127+Q127+U127+Y127+AC127+AG127+AK127+AO127+AS127</f>
        <v>0</v>
      </c>
      <c r="F127" s="47" t="n">
        <f aca="false">ROUND(I126*(1+Sorted!$H$2),2)</f>
        <v>0</v>
      </c>
      <c r="G127" s="47" t="n">
        <f aca="false">MIN(F127,Sorted!$G$2)</f>
        <v>0</v>
      </c>
      <c r="H127" s="47" t="n">
        <v>0</v>
      </c>
      <c r="I127" s="47" t="n">
        <f aca="false">ROUND(F127-G127-H127,2)</f>
        <v>0</v>
      </c>
      <c r="J127" s="47" t="n">
        <f aca="false">ROUND(M126*(1+Sorted!$H$3),2)</f>
        <v>0</v>
      </c>
      <c r="K127" s="47" t="n">
        <f aca="false">MIN(J127,Sorted!$G$3)</f>
        <v>0</v>
      </c>
      <c r="L127" s="47" t="n">
        <v>0</v>
      </c>
      <c r="M127" s="47" t="n">
        <f aca="false">ROUND(J127-K127-L127,2)</f>
        <v>0</v>
      </c>
      <c r="N127" s="47" t="n">
        <f aca="false">ROUND(Q126*(1+Sorted!$H$4),2)</f>
        <v>0</v>
      </c>
      <c r="O127" s="47" t="n">
        <f aca="false">MIN(N127,Sorted!$G$4)</f>
        <v>0</v>
      </c>
      <c r="P127" s="47" t="n">
        <v>0</v>
      </c>
      <c r="Q127" s="47" t="n">
        <f aca="false">ROUND(N127-O127-P127,2)</f>
        <v>0</v>
      </c>
      <c r="R127" s="47" t="n">
        <f aca="false">ROUND(U126*(1+Sorted!$H$5),2)</f>
        <v>0</v>
      </c>
      <c r="S127" s="47" t="n">
        <f aca="false">MIN(R127,Sorted!$G$5)</f>
        <v>0</v>
      </c>
      <c r="T127" s="47" t="n">
        <v>0</v>
      </c>
      <c r="U127" s="47" t="n">
        <f aca="false">ROUND(R127-S127-T127,2)</f>
        <v>0</v>
      </c>
      <c r="V127" s="47" t="n">
        <f aca="false">ROUND(Y126*(1+Sorted!$H$6),2)</f>
        <v>0</v>
      </c>
      <c r="W127" s="47" t="n">
        <f aca="false">MIN(V127,Sorted!$G$6)</f>
        <v>0</v>
      </c>
      <c r="X127" s="47" t="n">
        <v>0</v>
      </c>
      <c r="Y127" s="47" t="n">
        <f aca="false">ROUND(V127-W127-X127,2)</f>
        <v>0</v>
      </c>
      <c r="Z127" s="47" t="n">
        <f aca="false">ROUND(AC126*(1+Sorted!$H$7),2)</f>
        <v>0</v>
      </c>
      <c r="AA127" s="47" t="n">
        <f aca="false">MIN(Z127,Sorted!$G$7)</f>
        <v>0</v>
      </c>
      <c r="AB127" s="47" t="n">
        <v>0</v>
      </c>
      <c r="AC127" s="47" t="n">
        <f aca="false">ROUND(Z127-AA127-AB127,2)</f>
        <v>0</v>
      </c>
      <c r="AD127" s="47" t="n">
        <f aca="false">ROUND(AG126*(1+Sorted!$H$8),2)</f>
        <v>0</v>
      </c>
      <c r="AE127" s="47" t="n">
        <f aca="false">MIN(AD127,Sorted!$G$8)</f>
        <v>0</v>
      </c>
      <c r="AF127" s="47" t="n">
        <v>0</v>
      </c>
      <c r="AG127" s="47" t="n">
        <f aca="false">ROUND(AD127-AE127-AF127,2)</f>
        <v>0</v>
      </c>
      <c r="AH127" s="47" t="n">
        <f aca="false">ROUND(AK126*(1+Sorted!$H$9),2)</f>
        <v>0</v>
      </c>
      <c r="AI127" s="47" t="n">
        <f aca="false">MIN(AH127,Sorted!$G$9)</f>
        <v>0</v>
      </c>
      <c r="AJ127" s="47" t="n">
        <v>0</v>
      </c>
      <c r="AK127" s="47" t="n">
        <f aca="false">ROUND(AH127-AI127-AJ127,2)</f>
        <v>0</v>
      </c>
      <c r="AL127" s="47" t="n">
        <f aca="false">ROUND(AO126*(1+Sorted!$H$10),2)</f>
        <v>0</v>
      </c>
      <c r="AM127" s="47" t="n">
        <f aca="false">MIN(AL127,Sorted!$G$10)</f>
        <v>0</v>
      </c>
      <c r="AN127" s="47" t="n">
        <v>0</v>
      </c>
      <c r="AO127" s="47" t="n">
        <f aca="false">ROUND(AL127-AM127-AN127,2)</f>
        <v>0</v>
      </c>
      <c r="AP127" s="47" t="n">
        <f aca="false">ROUND(AS126*(1+Sorted!$H$11),2)</f>
        <v>0</v>
      </c>
      <c r="AQ127" s="47" t="n">
        <f aca="false">MIN(AP127,Sorted!$G$11)</f>
        <v>0</v>
      </c>
      <c r="AR127" s="47" t="n">
        <v>0</v>
      </c>
      <c r="AS127" s="47" t="n">
        <f aca="false">ROUND(AP127-AQ127-AR127,2)</f>
        <v>0</v>
      </c>
    </row>
    <row r="128" customFormat="false" ht="15" hidden="false" customHeight="false" outlineLevel="0" collapsed="false">
      <c r="A128" s="45" t="n">
        <v>125</v>
      </c>
      <c r="B128" s="46" t="n">
        <f aca="false">EDATE('My Debts'!$C$7,A128-1)</f>
        <v>50100</v>
      </c>
      <c r="C128" s="47" t="n">
        <v>0</v>
      </c>
      <c r="D128" s="47" t="n">
        <f aca="false">(F128+J128+N128+R128+V128+Z128+AD128+AH128+AL128+AP128)-(I128+M128+Q128+U128+Y128+AC128+AG128+AK128+AO128+AS128)</f>
        <v>0</v>
      </c>
      <c r="E128" s="48" t="n">
        <f aca="false">I128+M128+Q128+U128+Y128+AC128+AG128+AK128+AO128+AS128</f>
        <v>0</v>
      </c>
      <c r="F128" s="47" t="n">
        <f aca="false">ROUND(I127*(1+Sorted!$H$2),2)</f>
        <v>0</v>
      </c>
      <c r="G128" s="47" t="n">
        <f aca="false">MIN(F128,Sorted!$G$2)</f>
        <v>0</v>
      </c>
      <c r="H128" s="47" t="n">
        <v>0</v>
      </c>
      <c r="I128" s="47" t="n">
        <f aca="false">ROUND(F128-G128-H128,2)</f>
        <v>0</v>
      </c>
      <c r="J128" s="47" t="n">
        <f aca="false">ROUND(M127*(1+Sorted!$H$3),2)</f>
        <v>0</v>
      </c>
      <c r="K128" s="47" t="n">
        <f aca="false">MIN(J128,Sorted!$G$3)</f>
        <v>0</v>
      </c>
      <c r="L128" s="47" t="n">
        <v>0</v>
      </c>
      <c r="M128" s="47" t="n">
        <f aca="false">ROUND(J128-K128-L128,2)</f>
        <v>0</v>
      </c>
      <c r="N128" s="47" t="n">
        <f aca="false">ROUND(Q127*(1+Sorted!$H$4),2)</f>
        <v>0</v>
      </c>
      <c r="O128" s="47" t="n">
        <f aca="false">MIN(N128,Sorted!$G$4)</f>
        <v>0</v>
      </c>
      <c r="P128" s="47" t="n">
        <v>0</v>
      </c>
      <c r="Q128" s="47" t="n">
        <f aca="false">ROUND(N128-O128-P128,2)</f>
        <v>0</v>
      </c>
      <c r="R128" s="47" t="n">
        <f aca="false">ROUND(U127*(1+Sorted!$H$5),2)</f>
        <v>0</v>
      </c>
      <c r="S128" s="47" t="n">
        <f aca="false">MIN(R128,Sorted!$G$5)</f>
        <v>0</v>
      </c>
      <c r="T128" s="47" t="n">
        <v>0</v>
      </c>
      <c r="U128" s="47" t="n">
        <f aca="false">ROUND(R128-S128-T128,2)</f>
        <v>0</v>
      </c>
      <c r="V128" s="47" t="n">
        <f aca="false">ROUND(Y127*(1+Sorted!$H$6),2)</f>
        <v>0</v>
      </c>
      <c r="W128" s="47" t="n">
        <f aca="false">MIN(V128,Sorted!$G$6)</f>
        <v>0</v>
      </c>
      <c r="X128" s="47" t="n">
        <v>0</v>
      </c>
      <c r="Y128" s="47" t="n">
        <f aca="false">ROUND(V128-W128-X128,2)</f>
        <v>0</v>
      </c>
      <c r="Z128" s="47" t="n">
        <f aca="false">ROUND(AC127*(1+Sorted!$H$7),2)</f>
        <v>0</v>
      </c>
      <c r="AA128" s="47" t="n">
        <f aca="false">MIN(Z128,Sorted!$G$7)</f>
        <v>0</v>
      </c>
      <c r="AB128" s="47" t="n">
        <v>0</v>
      </c>
      <c r="AC128" s="47" t="n">
        <f aca="false">ROUND(Z128-AA128-AB128,2)</f>
        <v>0</v>
      </c>
      <c r="AD128" s="47" t="n">
        <f aca="false">ROUND(AG127*(1+Sorted!$H$8),2)</f>
        <v>0</v>
      </c>
      <c r="AE128" s="47" t="n">
        <f aca="false">MIN(AD128,Sorted!$G$8)</f>
        <v>0</v>
      </c>
      <c r="AF128" s="47" t="n">
        <v>0</v>
      </c>
      <c r="AG128" s="47" t="n">
        <f aca="false">ROUND(AD128-AE128-AF128,2)</f>
        <v>0</v>
      </c>
      <c r="AH128" s="47" t="n">
        <f aca="false">ROUND(AK127*(1+Sorted!$H$9),2)</f>
        <v>0</v>
      </c>
      <c r="AI128" s="47" t="n">
        <f aca="false">MIN(AH128,Sorted!$G$9)</f>
        <v>0</v>
      </c>
      <c r="AJ128" s="47" t="n">
        <v>0</v>
      </c>
      <c r="AK128" s="47" t="n">
        <f aca="false">ROUND(AH128-AI128-AJ128,2)</f>
        <v>0</v>
      </c>
      <c r="AL128" s="47" t="n">
        <f aca="false">ROUND(AO127*(1+Sorted!$H$10),2)</f>
        <v>0</v>
      </c>
      <c r="AM128" s="47" t="n">
        <f aca="false">MIN(AL128,Sorted!$G$10)</f>
        <v>0</v>
      </c>
      <c r="AN128" s="47" t="n">
        <v>0</v>
      </c>
      <c r="AO128" s="47" t="n">
        <f aca="false">ROUND(AL128-AM128-AN128,2)</f>
        <v>0</v>
      </c>
      <c r="AP128" s="47" t="n">
        <f aca="false">ROUND(AS127*(1+Sorted!$H$11),2)</f>
        <v>0</v>
      </c>
      <c r="AQ128" s="47" t="n">
        <f aca="false">MIN(AP128,Sorted!$G$11)</f>
        <v>0</v>
      </c>
      <c r="AR128" s="47" t="n">
        <v>0</v>
      </c>
      <c r="AS128" s="47" t="n">
        <f aca="false">ROUND(AP128-AQ128-AR128,2)</f>
        <v>0</v>
      </c>
    </row>
    <row r="129" customFormat="false" ht="15" hidden="false" customHeight="false" outlineLevel="0" collapsed="false">
      <c r="A129" s="45" t="n">
        <v>126</v>
      </c>
      <c r="B129" s="46" t="n">
        <f aca="false">EDATE('My Debts'!$C$7,A129-1)</f>
        <v>50131</v>
      </c>
      <c r="C129" s="47" t="n">
        <v>0</v>
      </c>
      <c r="D129" s="47" t="n">
        <f aca="false">(F129+J129+N129+R129+V129+Z129+AD129+AH129+AL129+AP129)-(I129+M129+Q129+U129+Y129+AC129+AG129+AK129+AO129+AS129)</f>
        <v>0</v>
      </c>
      <c r="E129" s="48" t="n">
        <f aca="false">I129+M129+Q129+U129+Y129+AC129+AG129+AK129+AO129+AS129</f>
        <v>0</v>
      </c>
      <c r="F129" s="47" t="n">
        <f aca="false">ROUND(I128*(1+Sorted!$H$2),2)</f>
        <v>0</v>
      </c>
      <c r="G129" s="47" t="n">
        <f aca="false">MIN(F129,Sorted!$G$2)</f>
        <v>0</v>
      </c>
      <c r="H129" s="47" t="n">
        <v>0</v>
      </c>
      <c r="I129" s="47" t="n">
        <f aca="false">ROUND(F129-G129-H129,2)</f>
        <v>0</v>
      </c>
      <c r="J129" s="47" t="n">
        <f aca="false">ROUND(M128*(1+Sorted!$H$3),2)</f>
        <v>0</v>
      </c>
      <c r="K129" s="47" t="n">
        <f aca="false">MIN(J129,Sorted!$G$3)</f>
        <v>0</v>
      </c>
      <c r="L129" s="47" t="n">
        <v>0</v>
      </c>
      <c r="M129" s="47" t="n">
        <f aca="false">ROUND(J129-K129-L129,2)</f>
        <v>0</v>
      </c>
      <c r="N129" s="47" t="n">
        <f aca="false">ROUND(Q128*(1+Sorted!$H$4),2)</f>
        <v>0</v>
      </c>
      <c r="O129" s="47" t="n">
        <f aca="false">MIN(N129,Sorted!$G$4)</f>
        <v>0</v>
      </c>
      <c r="P129" s="47" t="n">
        <v>0</v>
      </c>
      <c r="Q129" s="47" t="n">
        <f aca="false">ROUND(N129-O129-P129,2)</f>
        <v>0</v>
      </c>
      <c r="R129" s="47" t="n">
        <f aca="false">ROUND(U128*(1+Sorted!$H$5),2)</f>
        <v>0</v>
      </c>
      <c r="S129" s="47" t="n">
        <f aca="false">MIN(R129,Sorted!$G$5)</f>
        <v>0</v>
      </c>
      <c r="T129" s="47" t="n">
        <v>0</v>
      </c>
      <c r="U129" s="47" t="n">
        <f aca="false">ROUND(R129-S129-T129,2)</f>
        <v>0</v>
      </c>
      <c r="V129" s="47" t="n">
        <f aca="false">ROUND(Y128*(1+Sorted!$H$6),2)</f>
        <v>0</v>
      </c>
      <c r="W129" s="47" t="n">
        <f aca="false">MIN(V129,Sorted!$G$6)</f>
        <v>0</v>
      </c>
      <c r="X129" s="47" t="n">
        <v>0</v>
      </c>
      <c r="Y129" s="47" t="n">
        <f aca="false">ROUND(V129-W129-X129,2)</f>
        <v>0</v>
      </c>
      <c r="Z129" s="47" t="n">
        <f aca="false">ROUND(AC128*(1+Sorted!$H$7),2)</f>
        <v>0</v>
      </c>
      <c r="AA129" s="47" t="n">
        <f aca="false">MIN(Z129,Sorted!$G$7)</f>
        <v>0</v>
      </c>
      <c r="AB129" s="47" t="n">
        <v>0</v>
      </c>
      <c r="AC129" s="47" t="n">
        <f aca="false">ROUND(Z129-AA129-AB129,2)</f>
        <v>0</v>
      </c>
      <c r="AD129" s="47" t="n">
        <f aca="false">ROUND(AG128*(1+Sorted!$H$8),2)</f>
        <v>0</v>
      </c>
      <c r="AE129" s="47" t="n">
        <f aca="false">MIN(AD129,Sorted!$G$8)</f>
        <v>0</v>
      </c>
      <c r="AF129" s="47" t="n">
        <v>0</v>
      </c>
      <c r="AG129" s="47" t="n">
        <f aca="false">ROUND(AD129-AE129-AF129,2)</f>
        <v>0</v>
      </c>
      <c r="AH129" s="47" t="n">
        <f aca="false">ROUND(AK128*(1+Sorted!$H$9),2)</f>
        <v>0</v>
      </c>
      <c r="AI129" s="47" t="n">
        <f aca="false">MIN(AH129,Sorted!$G$9)</f>
        <v>0</v>
      </c>
      <c r="AJ129" s="47" t="n">
        <v>0</v>
      </c>
      <c r="AK129" s="47" t="n">
        <f aca="false">ROUND(AH129-AI129-AJ129,2)</f>
        <v>0</v>
      </c>
      <c r="AL129" s="47" t="n">
        <f aca="false">ROUND(AO128*(1+Sorted!$H$10),2)</f>
        <v>0</v>
      </c>
      <c r="AM129" s="47" t="n">
        <f aca="false">MIN(AL129,Sorted!$G$10)</f>
        <v>0</v>
      </c>
      <c r="AN129" s="47" t="n">
        <v>0</v>
      </c>
      <c r="AO129" s="47" t="n">
        <f aca="false">ROUND(AL129-AM129-AN129,2)</f>
        <v>0</v>
      </c>
      <c r="AP129" s="47" t="n">
        <f aca="false">ROUND(AS128*(1+Sorted!$H$11),2)</f>
        <v>0</v>
      </c>
      <c r="AQ129" s="47" t="n">
        <f aca="false">MIN(AP129,Sorted!$G$11)</f>
        <v>0</v>
      </c>
      <c r="AR129" s="47" t="n">
        <v>0</v>
      </c>
      <c r="AS129" s="47" t="n">
        <f aca="false">ROUND(AP129-AQ129-AR129,2)</f>
        <v>0</v>
      </c>
    </row>
    <row r="130" customFormat="false" ht="15" hidden="false" customHeight="false" outlineLevel="0" collapsed="false">
      <c r="A130" s="45" t="n">
        <v>127</v>
      </c>
      <c r="B130" s="46" t="n">
        <f aca="false">EDATE('My Debts'!$C$7,A130-1)</f>
        <v>50161</v>
      </c>
      <c r="C130" s="47" t="n">
        <v>0</v>
      </c>
      <c r="D130" s="47" t="n">
        <f aca="false">(F130+J130+N130+R130+V130+Z130+AD130+AH130+AL130+AP130)-(I130+M130+Q130+U130+Y130+AC130+AG130+AK130+AO130+AS130)</f>
        <v>0</v>
      </c>
      <c r="E130" s="48" t="n">
        <f aca="false">I130+M130+Q130+U130+Y130+AC130+AG130+AK130+AO130+AS130</f>
        <v>0</v>
      </c>
      <c r="F130" s="47" t="n">
        <f aca="false">ROUND(I129*(1+Sorted!$H$2),2)</f>
        <v>0</v>
      </c>
      <c r="G130" s="47" t="n">
        <f aca="false">MIN(F130,Sorted!$G$2)</f>
        <v>0</v>
      </c>
      <c r="H130" s="47" t="n">
        <v>0</v>
      </c>
      <c r="I130" s="47" t="n">
        <f aca="false">ROUND(F130-G130-H130,2)</f>
        <v>0</v>
      </c>
      <c r="J130" s="47" t="n">
        <f aca="false">ROUND(M129*(1+Sorted!$H$3),2)</f>
        <v>0</v>
      </c>
      <c r="K130" s="47" t="n">
        <f aca="false">MIN(J130,Sorted!$G$3)</f>
        <v>0</v>
      </c>
      <c r="L130" s="47" t="n">
        <v>0</v>
      </c>
      <c r="M130" s="47" t="n">
        <f aca="false">ROUND(J130-K130-L130,2)</f>
        <v>0</v>
      </c>
      <c r="N130" s="47" t="n">
        <f aca="false">ROUND(Q129*(1+Sorted!$H$4),2)</f>
        <v>0</v>
      </c>
      <c r="O130" s="47" t="n">
        <f aca="false">MIN(N130,Sorted!$G$4)</f>
        <v>0</v>
      </c>
      <c r="P130" s="47" t="n">
        <v>0</v>
      </c>
      <c r="Q130" s="47" t="n">
        <f aca="false">ROUND(N130-O130-P130,2)</f>
        <v>0</v>
      </c>
      <c r="R130" s="47" t="n">
        <f aca="false">ROUND(U129*(1+Sorted!$H$5),2)</f>
        <v>0</v>
      </c>
      <c r="S130" s="47" t="n">
        <f aca="false">MIN(R130,Sorted!$G$5)</f>
        <v>0</v>
      </c>
      <c r="T130" s="47" t="n">
        <v>0</v>
      </c>
      <c r="U130" s="47" t="n">
        <f aca="false">ROUND(R130-S130-T130,2)</f>
        <v>0</v>
      </c>
      <c r="V130" s="47" t="n">
        <f aca="false">ROUND(Y129*(1+Sorted!$H$6),2)</f>
        <v>0</v>
      </c>
      <c r="W130" s="47" t="n">
        <f aca="false">MIN(V130,Sorted!$G$6)</f>
        <v>0</v>
      </c>
      <c r="X130" s="47" t="n">
        <v>0</v>
      </c>
      <c r="Y130" s="47" t="n">
        <f aca="false">ROUND(V130-W130-X130,2)</f>
        <v>0</v>
      </c>
      <c r="Z130" s="47" t="n">
        <f aca="false">ROUND(AC129*(1+Sorted!$H$7),2)</f>
        <v>0</v>
      </c>
      <c r="AA130" s="47" t="n">
        <f aca="false">MIN(Z130,Sorted!$G$7)</f>
        <v>0</v>
      </c>
      <c r="AB130" s="47" t="n">
        <v>0</v>
      </c>
      <c r="AC130" s="47" t="n">
        <f aca="false">ROUND(Z130-AA130-AB130,2)</f>
        <v>0</v>
      </c>
      <c r="AD130" s="47" t="n">
        <f aca="false">ROUND(AG129*(1+Sorted!$H$8),2)</f>
        <v>0</v>
      </c>
      <c r="AE130" s="47" t="n">
        <f aca="false">MIN(AD130,Sorted!$G$8)</f>
        <v>0</v>
      </c>
      <c r="AF130" s="47" t="n">
        <v>0</v>
      </c>
      <c r="AG130" s="47" t="n">
        <f aca="false">ROUND(AD130-AE130-AF130,2)</f>
        <v>0</v>
      </c>
      <c r="AH130" s="47" t="n">
        <f aca="false">ROUND(AK129*(1+Sorted!$H$9),2)</f>
        <v>0</v>
      </c>
      <c r="AI130" s="47" t="n">
        <f aca="false">MIN(AH130,Sorted!$G$9)</f>
        <v>0</v>
      </c>
      <c r="AJ130" s="47" t="n">
        <v>0</v>
      </c>
      <c r="AK130" s="47" t="n">
        <f aca="false">ROUND(AH130-AI130-AJ130,2)</f>
        <v>0</v>
      </c>
      <c r="AL130" s="47" t="n">
        <f aca="false">ROUND(AO129*(1+Sorted!$H$10),2)</f>
        <v>0</v>
      </c>
      <c r="AM130" s="47" t="n">
        <f aca="false">MIN(AL130,Sorted!$G$10)</f>
        <v>0</v>
      </c>
      <c r="AN130" s="47" t="n">
        <v>0</v>
      </c>
      <c r="AO130" s="47" t="n">
        <f aca="false">ROUND(AL130-AM130-AN130,2)</f>
        <v>0</v>
      </c>
      <c r="AP130" s="47" t="n">
        <f aca="false">ROUND(AS129*(1+Sorted!$H$11),2)</f>
        <v>0</v>
      </c>
      <c r="AQ130" s="47" t="n">
        <f aca="false">MIN(AP130,Sorted!$G$11)</f>
        <v>0</v>
      </c>
      <c r="AR130" s="47" t="n">
        <v>0</v>
      </c>
      <c r="AS130" s="47" t="n">
        <f aca="false">ROUND(AP130-AQ130-AR130,2)</f>
        <v>0</v>
      </c>
    </row>
    <row r="131" customFormat="false" ht="15" hidden="false" customHeight="false" outlineLevel="0" collapsed="false">
      <c r="A131" s="45" t="n">
        <v>128</v>
      </c>
      <c r="B131" s="46" t="n">
        <f aca="false">EDATE('My Debts'!$C$7,A131-1)</f>
        <v>50192</v>
      </c>
      <c r="C131" s="47" t="n">
        <v>0</v>
      </c>
      <c r="D131" s="47" t="n">
        <f aca="false">(F131+J131+N131+R131+V131+Z131+AD131+AH131+AL131+AP131)-(I131+M131+Q131+U131+Y131+AC131+AG131+AK131+AO131+AS131)</f>
        <v>0</v>
      </c>
      <c r="E131" s="48" t="n">
        <f aca="false">I131+M131+Q131+U131+Y131+AC131+AG131+AK131+AO131+AS131</f>
        <v>0</v>
      </c>
      <c r="F131" s="47" t="n">
        <f aca="false">ROUND(I130*(1+Sorted!$H$2),2)</f>
        <v>0</v>
      </c>
      <c r="G131" s="47" t="n">
        <f aca="false">MIN(F131,Sorted!$G$2)</f>
        <v>0</v>
      </c>
      <c r="H131" s="47" t="n">
        <v>0</v>
      </c>
      <c r="I131" s="47" t="n">
        <f aca="false">ROUND(F131-G131-H131,2)</f>
        <v>0</v>
      </c>
      <c r="J131" s="47" t="n">
        <f aca="false">ROUND(M130*(1+Sorted!$H$3),2)</f>
        <v>0</v>
      </c>
      <c r="K131" s="47" t="n">
        <f aca="false">MIN(J131,Sorted!$G$3)</f>
        <v>0</v>
      </c>
      <c r="L131" s="47" t="n">
        <v>0</v>
      </c>
      <c r="M131" s="47" t="n">
        <f aca="false">ROUND(J131-K131-L131,2)</f>
        <v>0</v>
      </c>
      <c r="N131" s="47" t="n">
        <f aca="false">ROUND(Q130*(1+Sorted!$H$4),2)</f>
        <v>0</v>
      </c>
      <c r="O131" s="47" t="n">
        <f aca="false">MIN(N131,Sorted!$G$4)</f>
        <v>0</v>
      </c>
      <c r="P131" s="47" t="n">
        <v>0</v>
      </c>
      <c r="Q131" s="47" t="n">
        <f aca="false">ROUND(N131-O131-P131,2)</f>
        <v>0</v>
      </c>
      <c r="R131" s="47" t="n">
        <f aca="false">ROUND(U130*(1+Sorted!$H$5),2)</f>
        <v>0</v>
      </c>
      <c r="S131" s="47" t="n">
        <f aca="false">MIN(R131,Sorted!$G$5)</f>
        <v>0</v>
      </c>
      <c r="T131" s="47" t="n">
        <v>0</v>
      </c>
      <c r="U131" s="47" t="n">
        <f aca="false">ROUND(R131-S131-T131,2)</f>
        <v>0</v>
      </c>
      <c r="V131" s="47" t="n">
        <f aca="false">ROUND(Y130*(1+Sorted!$H$6),2)</f>
        <v>0</v>
      </c>
      <c r="W131" s="47" t="n">
        <f aca="false">MIN(V131,Sorted!$G$6)</f>
        <v>0</v>
      </c>
      <c r="X131" s="47" t="n">
        <v>0</v>
      </c>
      <c r="Y131" s="47" t="n">
        <f aca="false">ROUND(V131-W131-X131,2)</f>
        <v>0</v>
      </c>
      <c r="Z131" s="47" t="n">
        <f aca="false">ROUND(AC130*(1+Sorted!$H$7),2)</f>
        <v>0</v>
      </c>
      <c r="AA131" s="47" t="n">
        <f aca="false">MIN(Z131,Sorted!$G$7)</f>
        <v>0</v>
      </c>
      <c r="AB131" s="47" t="n">
        <v>0</v>
      </c>
      <c r="AC131" s="47" t="n">
        <f aca="false">ROUND(Z131-AA131-AB131,2)</f>
        <v>0</v>
      </c>
      <c r="AD131" s="47" t="n">
        <f aca="false">ROUND(AG130*(1+Sorted!$H$8),2)</f>
        <v>0</v>
      </c>
      <c r="AE131" s="47" t="n">
        <f aca="false">MIN(AD131,Sorted!$G$8)</f>
        <v>0</v>
      </c>
      <c r="AF131" s="47" t="n">
        <v>0</v>
      </c>
      <c r="AG131" s="47" t="n">
        <f aca="false">ROUND(AD131-AE131-AF131,2)</f>
        <v>0</v>
      </c>
      <c r="AH131" s="47" t="n">
        <f aca="false">ROUND(AK130*(1+Sorted!$H$9),2)</f>
        <v>0</v>
      </c>
      <c r="AI131" s="47" t="n">
        <f aca="false">MIN(AH131,Sorted!$G$9)</f>
        <v>0</v>
      </c>
      <c r="AJ131" s="47" t="n">
        <v>0</v>
      </c>
      <c r="AK131" s="47" t="n">
        <f aca="false">ROUND(AH131-AI131-AJ131,2)</f>
        <v>0</v>
      </c>
      <c r="AL131" s="47" t="n">
        <f aca="false">ROUND(AO130*(1+Sorted!$H$10),2)</f>
        <v>0</v>
      </c>
      <c r="AM131" s="47" t="n">
        <f aca="false">MIN(AL131,Sorted!$G$10)</f>
        <v>0</v>
      </c>
      <c r="AN131" s="47" t="n">
        <v>0</v>
      </c>
      <c r="AO131" s="47" t="n">
        <f aca="false">ROUND(AL131-AM131-AN131,2)</f>
        <v>0</v>
      </c>
      <c r="AP131" s="47" t="n">
        <f aca="false">ROUND(AS130*(1+Sorted!$H$11),2)</f>
        <v>0</v>
      </c>
      <c r="AQ131" s="47" t="n">
        <f aca="false">MIN(AP131,Sorted!$G$11)</f>
        <v>0</v>
      </c>
      <c r="AR131" s="47" t="n">
        <v>0</v>
      </c>
      <c r="AS131" s="47" t="n">
        <f aca="false">ROUND(AP131-AQ131-AR131,2)</f>
        <v>0</v>
      </c>
    </row>
    <row r="132" customFormat="false" ht="15" hidden="false" customHeight="false" outlineLevel="0" collapsed="false">
      <c r="A132" s="45" t="n">
        <v>129</v>
      </c>
      <c r="B132" s="46" t="n">
        <f aca="false">EDATE('My Debts'!$C$7,A132-1)</f>
        <v>50222</v>
      </c>
      <c r="C132" s="47" t="n">
        <v>0</v>
      </c>
      <c r="D132" s="47" t="n">
        <f aca="false">(F132+J132+N132+R132+V132+Z132+AD132+AH132+AL132+AP132)-(I132+M132+Q132+U132+Y132+AC132+AG132+AK132+AO132+AS132)</f>
        <v>0</v>
      </c>
      <c r="E132" s="48" t="n">
        <f aca="false">I132+M132+Q132+U132+Y132+AC132+AG132+AK132+AO132+AS132</f>
        <v>0</v>
      </c>
      <c r="F132" s="47" t="n">
        <f aca="false">ROUND(I131*(1+Sorted!$H$2),2)</f>
        <v>0</v>
      </c>
      <c r="G132" s="47" t="n">
        <f aca="false">MIN(F132,Sorted!$G$2)</f>
        <v>0</v>
      </c>
      <c r="H132" s="47" t="n">
        <v>0</v>
      </c>
      <c r="I132" s="47" t="n">
        <f aca="false">ROUND(F132-G132-H132,2)</f>
        <v>0</v>
      </c>
      <c r="J132" s="47" t="n">
        <f aca="false">ROUND(M131*(1+Sorted!$H$3),2)</f>
        <v>0</v>
      </c>
      <c r="K132" s="47" t="n">
        <f aca="false">MIN(J132,Sorted!$G$3)</f>
        <v>0</v>
      </c>
      <c r="L132" s="47" t="n">
        <v>0</v>
      </c>
      <c r="M132" s="47" t="n">
        <f aca="false">ROUND(J132-K132-L132,2)</f>
        <v>0</v>
      </c>
      <c r="N132" s="47" t="n">
        <f aca="false">ROUND(Q131*(1+Sorted!$H$4),2)</f>
        <v>0</v>
      </c>
      <c r="O132" s="47" t="n">
        <f aca="false">MIN(N132,Sorted!$G$4)</f>
        <v>0</v>
      </c>
      <c r="P132" s="47" t="n">
        <v>0</v>
      </c>
      <c r="Q132" s="47" t="n">
        <f aca="false">ROUND(N132-O132-P132,2)</f>
        <v>0</v>
      </c>
      <c r="R132" s="47" t="n">
        <f aca="false">ROUND(U131*(1+Sorted!$H$5),2)</f>
        <v>0</v>
      </c>
      <c r="S132" s="47" t="n">
        <f aca="false">MIN(R132,Sorted!$G$5)</f>
        <v>0</v>
      </c>
      <c r="T132" s="47" t="n">
        <v>0</v>
      </c>
      <c r="U132" s="47" t="n">
        <f aca="false">ROUND(R132-S132-T132,2)</f>
        <v>0</v>
      </c>
      <c r="V132" s="47" t="n">
        <f aca="false">ROUND(Y131*(1+Sorted!$H$6),2)</f>
        <v>0</v>
      </c>
      <c r="W132" s="47" t="n">
        <f aca="false">MIN(V132,Sorted!$G$6)</f>
        <v>0</v>
      </c>
      <c r="X132" s="47" t="n">
        <v>0</v>
      </c>
      <c r="Y132" s="47" t="n">
        <f aca="false">ROUND(V132-W132-X132,2)</f>
        <v>0</v>
      </c>
      <c r="Z132" s="47" t="n">
        <f aca="false">ROUND(AC131*(1+Sorted!$H$7),2)</f>
        <v>0</v>
      </c>
      <c r="AA132" s="47" t="n">
        <f aca="false">MIN(Z132,Sorted!$G$7)</f>
        <v>0</v>
      </c>
      <c r="AB132" s="47" t="n">
        <v>0</v>
      </c>
      <c r="AC132" s="47" t="n">
        <f aca="false">ROUND(Z132-AA132-AB132,2)</f>
        <v>0</v>
      </c>
      <c r="AD132" s="47" t="n">
        <f aca="false">ROUND(AG131*(1+Sorted!$H$8),2)</f>
        <v>0</v>
      </c>
      <c r="AE132" s="47" t="n">
        <f aca="false">MIN(AD132,Sorted!$G$8)</f>
        <v>0</v>
      </c>
      <c r="AF132" s="47" t="n">
        <v>0</v>
      </c>
      <c r="AG132" s="47" t="n">
        <f aca="false">ROUND(AD132-AE132-AF132,2)</f>
        <v>0</v>
      </c>
      <c r="AH132" s="47" t="n">
        <f aca="false">ROUND(AK131*(1+Sorted!$H$9),2)</f>
        <v>0</v>
      </c>
      <c r="AI132" s="47" t="n">
        <f aca="false">MIN(AH132,Sorted!$G$9)</f>
        <v>0</v>
      </c>
      <c r="AJ132" s="47" t="n">
        <v>0</v>
      </c>
      <c r="AK132" s="47" t="n">
        <f aca="false">ROUND(AH132-AI132-AJ132,2)</f>
        <v>0</v>
      </c>
      <c r="AL132" s="47" t="n">
        <f aca="false">ROUND(AO131*(1+Sorted!$H$10),2)</f>
        <v>0</v>
      </c>
      <c r="AM132" s="47" t="n">
        <f aca="false">MIN(AL132,Sorted!$G$10)</f>
        <v>0</v>
      </c>
      <c r="AN132" s="47" t="n">
        <v>0</v>
      </c>
      <c r="AO132" s="47" t="n">
        <f aca="false">ROUND(AL132-AM132-AN132,2)</f>
        <v>0</v>
      </c>
      <c r="AP132" s="47" t="n">
        <f aca="false">ROUND(AS131*(1+Sorted!$H$11),2)</f>
        <v>0</v>
      </c>
      <c r="AQ132" s="47" t="n">
        <f aca="false">MIN(AP132,Sorted!$G$11)</f>
        <v>0</v>
      </c>
      <c r="AR132" s="47" t="n">
        <v>0</v>
      </c>
      <c r="AS132" s="47" t="n">
        <f aca="false">ROUND(AP132-AQ132-AR132,2)</f>
        <v>0</v>
      </c>
    </row>
    <row r="133" customFormat="false" ht="15" hidden="false" customHeight="false" outlineLevel="0" collapsed="false">
      <c r="A133" s="45" t="n">
        <v>130</v>
      </c>
      <c r="B133" s="46" t="n">
        <f aca="false">EDATE('My Debts'!$C$7,A133-1)</f>
        <v>50253</v>
      </c>
      <c r="C133" s="47" t="n">
        <v>0</v>
      </c>
      <c r="D133" s="47" t="n">
        <f aca="false">(F133+J133+N133+R133+V133+Z133+AD133+AH133+AL133+AP133)-(I133+M133+Q133+U133+Y133+AC133+AG133+AK133+AO133+AS133)</f>
        <v>0</v>
      </c>
      <c r="E133" s="48" t="n">
        <f aca="false">I133+M133+Q133+U133+Y133+AC133+AG133+AK133+AO133+AS133</f>
        <v>0</v>
      </c>
      <c r="F133" s="47" t="n">
        <f aca="false">ROUND(I132*(1+Sorted!$H$2),2)</f>
        <v>0</v>
      </c>
      <c r="G133" s="47" t="n">
        <f aca="false">MIN(F133,Sorted!$G$2)</f>
        <v>0</v>
      </c>
      <c r="H133" s="47" t="n">
        <v>0</v>
      </c>
      <c r="I133" s="47" t="n">
        <f aca="false">ROUND(F133-G133-H133,2)</f>
        <v>0</v>
      </c>
      <c r="J133" s="47" t="n">
        <f aca="false">ROUND(M132*(1+Sorted!$H$3),2)</f>
        <v>0</v>
      </c>
      <c r="K133" s="47" t="n">
        <f aca="false">MIN(J133,Sorted!$G$3)</f>
        <v>0</v>
      </c>
      <c r="L133" s="47" t="n">
        <v>0</v>
      </c>
      <c r="M133" s="47" t="n">
        <f aca="false">ROUND(J133-K133-L133,2)</f>
        <v>0</v>
      </c>
      <c r="N133" s="47" t="n">
        <f aca="false">ROUND(Q132*(1+Sorted!$H$4),2)</f>
        <v>0</v>
      </c>
      <c r="O133" s="47" t="n">
        <f aca="false">MIN(N133,Sorted!$G$4)</f>
        <v>0</v>
      </c>
      <c r="P133" s="47" t="n">
        <v>0</v>
      </c>
      <c r="Q133" s="47" t="n">
        <f aca="false">ROUND(N133-O133-P133,2)</f>
        <v>0</v>
      </c>
      <c r="R133" s="47" t="n">
        <f aca="false">ROUND(U132*(1+Sorted!$H$5),2)</f>
        <v>0</v>
      </c>
      <c r="S133" s="47" t="n">
        <f aca="false">MIN(R133,Sorted!$G$5)</f>
        <v>0</v>
      </c>
      <c r="T133" s="47" t="n">
        <v>0</v>
      </c>
      <c r="U133" s="47" t="n">
        <f aca="false">ROUND(R133-S133-T133,2)</f>
        <v>0</v>
      </c>
      <c r="V133" s="47" t="n">
        <f aca="false">ROUND(Y132*(1+Sorted!$H$6),2)</f>
        <v>0</v>
      </c>
      <c r="W133" s="47" t="n">
        <f aca="false">MIN(V133,Sorted!$G$6)</f>
        <v>0</v>
      </c>
      <c r="X133" s="47" t="n">
        <v>0</v>
      </c>
      <c r="Y133" s="47" t="n">
        <f aca="false">ROUND(V133-W133-X133,2)</f>
        <v>0</v>
      </c>
      <c r="Z133" s="47" t="n">
        <f aca="false">ROUND(AC132*(1+Sorted!$H$7),2)</f>
        <v>0</v>
      </c>
      <c r="AA133" s="47" t="n">
        <f aca="false">MIN(Z133,Sorted!$G$7)</f>
        <v>0</v>
      </c>
      <c r="AB133" s="47" t="n">
        <v>0</v>
      </c>
      <c r="AC133" s="47" t="n">
        <f aca="false">ROUND(Z133-AA133-AB133,2)</f>
        <v>0</v>
      </c>
      <c r="AD133" s="47" t="n">
        <f aca="false">ROUND(AG132*(1+Sorted!$H$8),2)</f>
        <v>0</v>
      </c>
      <c r="AE133" s="47" t="n">
        <f aca="false">MIN(AD133,Sorted!$G$8)</f>
        <v>0</v>
      </c>
      <c r="AF133" s="47" t="n">
        <v>0</v>
      </c>
      <c r="AG133" s="47" t="n">
        <f aca="false">ROUND(AD133-AE133-AF133,2)</f>
        <v>0</v>
      </c>
      <c r="AH133" s="47" t="n">
        <f aca="false">ROUND(AK132*(1+Sorted!$H$9),2)</f>
        <v>0</v>
      </c>
      <c r="AI133" s="47" t="n">
        <f aca="false">MIN(AH133,Sorted!$G$9)</f>
        <v>0</v>
      </c>
      <c r="AJ133" s="47" t="n">
        <v>0</v>
      </c>
      <c r="AK133" s="47" t="n">
        <f aca="false">ROUND(AH133-AI133-AJ133,2)</f>
        <v>0</v>
      </c>
      <c r="AL133" s="47" t="n">
        <f aca="false">ROUND(AO132*(1+Sorted!$H$10),2)</f>
        <v>0</v>
      </c>
      <c r="AM133" s="47" t="n">
        <f aca="false">MIN(AL133,Sorted!$G$10)</f>
        <v>0</v>
      </c>
      <c r="AN133" s="47" t="n">
        <v>0</v>
      </c>
      <c r="AO133" s="47" t="n">
        <f aca="false">ROUND(AL133-AM133-AN133,2)</f>
        <v>0</v>
      </c>
      <c r="AP133" s="47" t="n">
        <f aca="false">ROUND(AS132*(1+Sorted!$H$11),2)</f>
        <v>0</v>
      </c>
      <c r="AQ133" s="47" t="n">
        <f aca="false">MIN(AP133,Sorted!$G$11)</f>
        <v>0</v>
      </c>
      <c r="AR133" s="47" t="n">
        <v>0</v>
      </c>
      <c r="AS133" s="47" t="n">
        <f aca="false">ROUND(AP133-AQ133-AR133,2)</f>
        <v>0</v>
      </c>
    </row>
    <row r="134" customFormat="false" ht="15" hidden="false" customHeight="false" outlineLevel="0" collapsed="false">
      <c r="A134" s="45" t="n">
        <v>131</v>
      </c>
      <c r="B134" s="46" t="n">
        <f aca="false">EDATE('My Debts'!$C$7,A134-1)</f>
        <v>50284</v>
      </c>
      <c r="C134" s="47" t="n">
        <v>0</v>
      </c>
      <c r="D134" s="47" t="n">
        <f aca="false">(F134+J134+N134+R134+V134+Z134+AD134+AH134+AL134+AP134)-(I134+M134+Q134+U134+Y134+AC134+AG134+AK134+AO134+AS134)</f>
        <v>0</v>
      </c>
      <c r="E134" s="48" t="n">
        <f aca="false">I134+M134+Q134+U134+Y134+AC134+AG134+AK134+AO134+AS134</f>
        <v>0</v>
      </c>
      <c r="F134" s="47" t="n">
        <f aca="false">ROUND(I133*(1+Sorted!$H$2),2)</f>
        <v>0</v>
      </c>
      <c r="G134" s="47" t="n">
        <f aca="false">MIN(F134,Sorted!$G$2)</f>
        <v>0</v>
      </c>
      <c r="H134" s="47" t="n">
        <v>0</v>
      </c>
      <c r="I134" s="47" t="n">
        <f aca="false">ROUND(F134-G134-H134,2)</f>
        <v>0</v>
      </c>
      <c r="J134" s="47" t="n">
        <f aca="false">ROUND(M133*(1+Sorted!$H$3),2)</f>
        <v>0</v>
      </c>
      <c r="K134" s="47" t="n">
        <f aca="false">MIN(J134,Sorted!$G$3)</f>
        <v>0</v>
      </c>
      <c r="L134" s="47" t="n">
        <v>0</v>
      </c>
      <c r="M134" s="47" t="n">
        <f aca="false">ROUND(J134-K134-L134,2)</f>
        <v>0</v>
      </c>
      <c r="N134" s="47" t="n">
        <f aca="false">ROUND(Q133*(1+Sorted!$H$4),2)</f>
        <v>0</v>
      </c>
      <c r="O134" s="47" t="n">
        <f aca="false">MIN(N134,Sorted!$G$4)</f>
        <v>0</v>
      </c>
      <c r="P134" s="47" t="n">
        <v>0</v>
      </c>
      <c r="Q134" s="47" t="n">
        <f aca="false">ROUND(N134-O134-P134,2)</f>
        <v>0</v>
      </c>
      <c r="R134" s="47" t="n">
        <f aca="false">ROUND(U133*(1+Sorted!$H$5),2)</f>
        <v>0</v>
      </c>
      <c r="S134" s="47" t="n">
        <f aca="false">MIN(R134,Sorted!$G$5)</f>
        <v>0</v>
      </c>
      <c r="T134" s="47" t="n">
        <v>0</v>
      </c>
      <c r="U134" s="47" t="n">
        <f aca="false">ROUND(R134-S134-T134,2)</f>
        <v>0</v>
      </c>
      <c r="V134" s="47" t="n">
        <f aca="false">ROUND(Y133*(1+Sorted!$H$6),2)</f>
        <v>0</v>
      </c>
      <c r="W134" s="47" t="n">
        <f aca="false">MIN(V134,Sorted!$G$6)</f>
        <v>0</v>
      </c>
      <c r="X134" s="47" t="n">
        <v>0</v>
      </c>
      <c r="Y134" s="47" t="n">
        <f aca="false">ROUND(V134-W134-X134,2)</f>
        <v>0</v>
      </c>
      <c r="Z134" s="47" t="n">
        <f aca="false">ROUND(AC133*(1+Sorted!$H$7),2)</f>
        <v>0</v>
      </c>
      <c r="AA134" s="47" t="n">
        <f aca="false">MIN(Z134,Sorted!$G$7)</f>
        <v>0</v>
      </c>
      <c r="AB134" s="47" t="n">
        <v>0</v>
      </c>
      <c r="AC134" s="47" t="n">
        <f aca="false">ROUND(Z134-AA134-AB134,2)</f>
        <v>0</v>
      </c>
      <c r="AD134" s="47" t="n">
        <f aca="false">ROUND(AG133*(1+Sorted!$H$8),2)</f>
        <v>0</v>
      </c>
      <c r="AE134" s="47" t="n">
        <f aca="false">MIN(AD134,Sorted!$G$8)</f>
        <v>0</v>
      </c>
      <c r="AF134" s="47" t="n">
        <v>0</v>
      </c>
      <c r="AG134" s="47" t="n">
        <f aca="false">ROUND(AD134-AE134-AF134,2)</f>
        <v>0</v>
      </c>
      <c r="AH134" s="47" t="n">
        <f aca="false">ROUND(AK133*(1+Sorted!$H$9),2)</f>
        <v>0</v>
      </c>
      <c r="AI134" s="47" t="n">
        <f aca="false">MIN(AH134,Sorted!$G$9)</f>
        <v>0</v>
      </c>
      <c r="AJ134" s="47" t="n">
        <v>0</v>
      </c>
      <c r="AK134" s="47" t="n">
        <f aca="false">ROUND(AH134-AI134-AJ134,2)</f>
        <v>0</v>
      </c>
      <c r="AL134" s="47" t="n">
        <f aca="false">ROUND(AO133*(1+Sorted!$H$10),2)</f>
        <v>0</v>
      </c>
      <c r="AM134" s="47" t="n">
        <f aca="false">MIN(AL134,Sorted!$G$10)</f>
        <v>0</v>
      </c>
      <c r="AN134" s="47" t="n">
        <v>0</v>
      </c>
      <c r="AO134" s="47" t="n">
        <f aca="false">ROUND(AL134-AM134-AN134,2)</f>
        <v>0</v>
      </c>
      <c r="AP134" s="47" t="n">
        <f aca="false">ROUND(AS133*(1+Sorted!$H$11),2)</f>
        <v>0</v>
      </c>
      <c r="AQ134" s="47" t="n">
        <f aca="false">MIN(AP134,Sorted!$G$11)</f>
        <v>0</v>
      </c>
      <c r="AR134" s="47" t="n">
        <v>0</v>
      </c>
      <c r="AS134" s="47" t="n">
        <f aca="false">ROUND(AP134-AQ134-AR134,2)</f>
        <v>0</v>
      </c>
    </row>
    <row r="135" customFormat="false" ht="15" hidden="false" customHeight="false" outlineLevel="0" collapsed="false">
      <c r="A135" s="45" t="n">
        <v>132</v>
      </c>
      <c r="B135" s="46" t="n">
        <f aca="false">EDATE('My Debts'!$C$7,A135-1)</f>
        <v>50314</v>
      </c>
      <c r="C135" s="47" t="n">
        <v>0</v>
      </c>
      <c r="D135" s="47" t="n">
        <f aca="false">(F135+J135+N135+R135+V135+Z135+AD135+AH135+AL135+AP135)-(I135+M135+Q135+U135+Y135+AC135+AG135+AK135+AO135+AS135)</f>
        <v>0</v>
      </c>
      <c r="E135" s="48" t="n">
        <f aca="false">I135+M135+Q135+U135+Y135+AC135+AG135+AK135+AO135+AS135</f>
        <v>0</v>
      </c>
      <c r="F135" s="47" t="n">
        <f aca="false">ROUND(I134*(1+Sorted!$H$2),2)</f>
        <v>0</v>
      </c>
      <c r="G135" s="47" t="n">
        <f aca="false">MIN(F135,Sorted!$G$2)</f>
        <v>0</v>
      </c>
      <c r="H135" s="47" t="n">
        <v>0</v>
      </c>
      <c r="I135" s="47" t="n">
        <f aca="false">ROUND(F135-G135-H135,2)</f>
        <v>0</v>
      </c>
      <c r="J135" s="47" t="n">
        <f aca="false">ROUND(M134*(1+Sorted!$H$3),2)</f>
        <v>0</v>
      </c>
      <c r="K135" s="47" t="n">
        <f aca="false">MIN(J135,Sorted!$G$3)</f>
        <v>0</v>
      </c>
      <c r="L135" s="47" t="n">
        <v>0</v>
      </c>
      <c r="M135" s="47" t="n">
        <f aca="false">ROUND(J135-K135-L135,2)</f>
        <v>0</v>
      </c>
      <c r="N135" s="47" t="n">
        <f aca="false">ROUND(Q134*(1+Sorted!$H$4),2)</f>
        <v>0</v>
      </c>
      <c r="O135" s="47" t="n">
        <f aca="false">MIN(N135,Sorted!$G$4)</f>
        <v>0</v>
      </c>
      <c r="P135" s="47" t="n">
        <v>0</v>
      </c>
      <c r="Q135" s="47" t="n">
        <f aca="false">ROUND(N135-O135-P135,2)</f>
        <v>0</v>
      </c>
      <c r="R135" s="47" t="n">
        <f aca="false">ROUND(U134*(1+Sorted!$H$5),2)</f>
        <v>0</v>
      </c>
      <c r="S135" s="47" t="n">
        <f aca="false">MIN(R135,Sorted!$G$5)</f>
        <v>0</v>
      </c>
      <c r="T135" s="47" t="n">
        <v>0</v>
      </c>
      <c r="U135" s="47" t="n">
        <f aca="false">ROUND(R135-S135-T135,2)</f>
        <v>0</v>
      </c>
      <c r="V135" s="47" t="n">
        <f aca="false">ROUND(Y134*(1+Sorted!$H$6),2)</f>
        <v>0</v>
      </c>
      <c r="W135" s="47" t="n">
        <f aca="false">MIN(V135,Sorted!$G$6)</f>
        <v>0</v>
      </c>
      <c r="X135" s="47" t="n">
        <v>0</v>
      </c>
      <c r="Y135" s="47" t="n">
        <f aca="false">ROUND(V135-W135-X135,2)</f>
        <v>0</v>
      </c>
      <c r="Z135" s="47" t="n">
        <f aca="false">ROUND(AC134*(1+Sorted!$H$7),2)</f>
        <v>0</v>
      </c>
      <c r="AA135" s="47" t="n">
        <f aca="false">MIN(Z135,Sorted!$G$7)</f>
        <v>0</v>
      </c>
      <c r="AB135" s="47" t="n">
        <v>0</v>
      </c>
      <c r="AC135" s="47" t="n">
        <f aca="false">ROUND(Z135-AA135-AB135,2)</f>
        <v>0</v>
      </c>
      <c r="AD135" s="47" t="n">
        <f aca="false">ROUND(AG134*(1+Sorted!$H$8),2)</f>
        <v>0</v>
      </c>
      <c r="AE135" s="47" t="n">
        <f aca="false">MIN(AD135,Sorted!$G$8)</f>
        <v>0</v>
      </c>
      <c r="AF135" s="47" t="n">
        <v>0</v>
      </c>
      <c r="AG135" s="47" t="n">
        <f aca="false">ROUND(AD135-AE135-AF135,2)</f>
        <v>0</v>
      </c>
      <c r="AH135" s="47" t="n">
        <f aca="false">ROUND(AK134*(1+Sorted!$H$9),2)</f>
        <v>0</v>
      </c>
      <c r="AI135" s="47" t="n">
        <f aca="false">MIN(AH135,Sorted!$G$9)</f>
        <v>0</v>
      </c>
      <c r="AJ135" s="47" t="n">
        <v>0</v>
      </c>
      <c r="AK135" s="47" t="n">
        <f aca="false">ROUND(AH135-AI135-AJ135,2)</f>
        <v>0</v>
      </c>
      <c r="AL135" s="47" t="n">
        <f aca="false">ROUND(AO134*(1+Sorted!$H$10),2)</f>
        <v>0</v>
      </c>
      <c r="AM135" s="47" t="n">
        <f aca="false">MIN(AL135,Sorted!$G$10)</f>
        <v>0</v>
      </c>
      <c r="AN135" s="47" t="n">
        <v>0</v>
      </c>
      <c r="AO135" s="47" t="n">
        <f aca="false">ROUND(AL135-AM135-AN135,2)</f>
        <v>0</v>
      </c>
      <c r="AP135" s="47" t="n">
        <f aca="false">ROUND(AS134*(1+Sorted!$H$11),2)</f>
        <v>0</v>
      </c>
      <c r="AQ135" s="47" t="n">
        <f aca="false">MIN(AP135,Sorted!$G$11)</f>
        <v>0</v>
      </c>
      <c r="AR135" s="47" t="n">
        <v>0</v>
      </c>
      <c r="AS135" s="47" t="n">
        <f aca="false">ROUND(AP135-AQ135-AR135,2)</f>
        <v>0</v>
      </c>
    </row>
    <row r="136" customFormat="false" ht="15" hidden="false" customHeight="false" outlineLevel="0" collapsed="false">
      <c r="A136" s="45" t="n">
        <v>133</v>
      </c>
      <c r="B136" s="46" t="n">
        <f aca="false">EDATE('My Debts'!$C$7,A136-1)</f>
        <v>50345</v>
      </c>
      <c r="C136" s="47" t="n">
        <v>0</v>
      </c>
      <c r="D136" s="47" t="n">
        <f aca="false">(F136+J136+N136+R136+V136+Z136+AD136+AH136+AL136+AP136)-(I136+M136+Q136+U136+Y136+AC136+AG136+AK136+AO136+AS136)</f>
        <v>0</v>
      </c>
      <c r="E136" s="48" t="n">
        <f aca="false">I136+M136+Q136+U136+Y136+AC136+AG136+AK136+AO136+AS136</f>
        <v>0</v>
      </c>
      <c r="F136" s="47" t="n">
        <f aca="false">ROUND(I135*(1+Sorted!$H$2),2)</f>
        <v>0</v>
      </c>
      <c r="G136" s="47" t="n">
        <f aca="false">MIN(F136,Sorted!$G$2)</f>
        <v>0</v>
      </c>
      <c r="H136" s="47" t="n">
        <v>0</v>
      </c>
      <c r="I136" s="47" t="n">
        <f aca="false">ROUND(F136-G136-H136,2)</f>
        <v>0</v>
      </c>
      <c r="J136" s="47" t="n">
        <f aca="false">ROUND(M135*(1+Sorted!$H$3),2)</f>
        <v>0</v>
      </c>
      <c r="K136" s="47" t="n">
        <f aca="false">MIN(J136,Sorted!$G$3)</f>
        <v>0</v>
      </c>
      <c r="L136" s="47" t="n">
        <v>0</v>
      </c>
      <c r="M136" s="47" t="n">
        <f aca="false">ROUND(J136-K136-L136,2)</f>
        <v>0</v>
      </c>
      <c r="N136" s="47" t="n">
        <f aca="false">ROUND(Q135*(1+Sorted!$H$4),2)</f>
        <v>0</v>
      </c>
      <c r="O136" s="47" t="n">
        <f aca="false">MIN(N136,Sorted!$G$4)</f>
        <v>0</v>
      </c>
      <c r="P136" s="47" t="n">
        <v>0</v>
      </c>
      <c r="Q136" s="47" t="n">
        <f aca="false">ROUND(N136-O136-P136,2)</f>
        <v>0</v>
      </c>
      <c r="R136" s="47" t="n">
        <f aca="false">ROUND(U135*(1+Sorted!$H$5),2)</f>
        <v>0</v>
      </c>
      <c r="S136" s="47" t="n">
        <f aca="false">MIN(R136,Sorted!$G$5)</f>
        <v>0</v>
      </c>
      <c r="T136" s="47" t="n">
        <v>0</v>
      </c>
      <c r="U136" s="47" t="n">
        <f aca="false">ROUND(R136-S136-T136,2)</f>
        <v>0</v>
      </c>
      <c r="V136" s="47" t="n">
        <f aca="false">ROUND(Y135*(1+Sorted!$H$6),2)</f>
        <v>0</v>
      </c>
      <c r="W136" s="47" t="n">
        <f aca="false">MIN(V136,Sorted!$G$6)</f>
        <v>0</v>
      </c>
      <c r="X136" s="47" t="n">
        <v>0</v>
      </c>
      <c r="Y136" s="47" t="n">
        <f aca="false">ROUND(V136-W136-X136,2)</f>
        <v>0</v>
      </c>
      <c r="Z136" s="47" t="n">
        <f aca="false">ROUND(AC135*(1+Sorted!$H$7),2)</f>
        <v>0</v>
      </c>
      <c r="AA136" s="47" t="n">
        <f aca="false">MIN(Z136,Sorted!$G$7)</f>
        <v>0</v>
      </c>
      <c r="AB136" s="47" t="n">
        <v>0</v>
      </c>
      <c r="AC136" s="47" t="n">
        <f aca="false">ROUND(Z136-AA136-AB136,2)</f>
        <v>0</v>
      </c>
      <c r="AD136" s="47" t="n">
        <f aca="false">ROUND(AG135*(1+Sorted!$H$8),2)</f>
        <v>0</v>
      </c>
      <c r="AE136" s="47" t="n">
        <f aca="false">MIN(AD136,Sorted!$G$8)</f>
        <v>0</v>
      </c>
      <c r="AF136" s="47" t="n">
        <v>0</v>
      </c>
      <c r="AG136" s="47" t="n">
        <f aca="false">ROUND(AD136-AE136-AF136,2)</f>
        <v>0</v>
      </c>
      <c r="AH136" s="47" t="n">
        <f aca="false">ROUND(AK135*(1+Sorted!$H$9),2)</f>
        <v>0</v>
      </c>
      <c r="AI136" s="47" t="n">
        <f aca="false">MIN(AH136,Sorted!$G$9)</f>
        <v>0</v>
      </c>
      <c r="AJ136" s="47" t="n">
        <v>0</v>
      </c>
      <c r="AK136" s="47" t="n">
        <f aca="false">ROUND(AH136-AI136-AJ136,2)</f>
        <v>0</v>
      </c>
      <c r="AL136" s="47" t="n">
        <f aca="false">ROUND(AO135*(1+Sorted!$H$10),2)</f>
        <v>0</v>
      </c>
      <c r="AM136" s="47" t="n">
        <f aca="false">MIN(AL136,Sorted!$G$10)</f>
        <v>0</v>
      </c>
      <c r="AN136" s="47" t="n">
        <v>0</v>
      </c>
      <c r="AO136" s="47" t="n">
        <f aca="false">ROUND(AL136-AM136-AN136,2)</f>
        <v>0</v>
      </c>
      <c r="AP136" s="47" t="n">
        <f aca="false">ROUND(AS135*(1+Sorted!$H$11),2)</f>
        <v>0</v>
      </c>
      <c r="AQ136" s="47" t="n">
        <f aca="false">MIN(AP136,Sorted!$G$11)</f>
        <v>0</v>
      </c>
      <c r="AR136" s="47" t="n">
        <v>0</v>
      </c>
      <c r="AS136" s="47" t="n">
        <f aca="false">ROUND(AP136-AQ136-AR136,2)</f>
        <v>0</v>
      </c>
    </row>
    <row r="137" customFormat="false" ht="15" hidden="false" customHeight="false" outlineLevel="0" collapsed="false">
      <c r="A137" s="45" t="n">
        <v>134</v>
      </c>
      <c r="B137" s="46" t="n">
        <f aca="false">EDATE('My Debts'!$C$7,A137-1)</f>
        <v>50375</v>
      </c>
      <c r="C137" s="47" t="n">
        <v>0</v>
      </c>
      <c r="D137" s="47" t="n">
        <f aca="false">(F137+J137+N137+R137+V137+Z137+AD137+AH137+AL137+AP137)-(I137+M137+Q137+U137+Y137+AC137+AG137+AK137+AO137+AS137)</f>
        <v>0</v>
      </c>
      <c r="E137" s="48" t="n">
        <f aca="false">I137+M137+Q137+U137+Y137+AC137+AG137+AK137+AO137+AS137</f>
        <v>0</v>
      </c>
      <c r="F137" s="47" t="n">
        <f aca="false">ROUND(I136*(1+Sorted!$H$2),2)</f>
        <v>0</v>
      </c>
      <c r="G137" s="47" t="n">
        <f aca="false">MIN(F137,Sorted!$G$2)</f>
        <v>0</v>
      </c>
      <c r="H137" s="47" t="n">
        <v>0</v>
      </c>
      <c r="I137" s="47" t="n">
        <f aca="false">ROUND(F137-G137-H137,2)</f>
        <v>0</v>
      </c>
      <c r="J137" s="47" t="n">
        <f aca="false">ROUND(M136*(1+Sorted!$H$3),2)</f>
        <v>0</v>
      </c>
      <c r="K137" s="47" t="n">
        <f aca="false">MIN(J137,Sorted!$G$3)</f>
        <v>0</v>
      </c>
      <c r="L137" s="47" t="n">
        <v>0</v>
      </c>
      <c r="M137" s="47" t="n">
        <f aca="false">ROUND(J137-K137-L137,2)</f>
        <v>0</v>
      </c>
      <c r="N137" s="47" t="n">
        <f aca="false">ROUND(Q136*(1+Sorted!$H$4),2)</f>
        <v>0</v>
      </c>
      <c r="O137" s="47" t="n">
        <f aca="false">MIN(N137,Sorted!$G$4)</f>
        <v>0</v>
      </c>
      <c r="P137" s="47" t="n">
        <v>0</v>
      </c>
      <c r="Q137" s="47" t="n">
        <f aca="false">ROUND(N137-O137-P137,2)</f>
        <v>0</v>
      </c>
      <c r="R137" s="47" t="n">
        <f aca="false">ROUND(U136*(1+Sorted!$H$5),2)</f>
        <v>0</v>
      </c>
      <c r="S137" s="47" t="n">
        <f aca="false">MIN(R137,Sorted!$G$5)</f>
        <v>0</v>
      </c>
      <c r="T137" s="47" t="n">
        <v>0</v>
      </c>
      <c r="U137" s="47" t="n">
        <f aca="false">ROUND(R137-S137-T137,2)</f>
        <v>0</v>
      </c>
      <c r="V137" s="47" t="n">
        <f aca="false">ROUND(Y136*(1+Sorted!$H$6),2)</f>
        <v>0</v>
      </c>
      <c r="W137" s="47" t="n">
        <f aca="false">MIN(V137,Sorted!$G$6)</f>
        <v>0</v>
      </c>
      <c r="X137" s="47" t="n">
        <v>0</v>
      </c>
      <c r="Y137" s="47" t="n">
        <f aca="false">ROUND(V137-W137-X137,2)</f>
        <v>0</v>
      </c>
      <c r="Z137" s="47" t="n">
        <f aca="false">ROUND(AC136*(1+Sorted!$H$7),2)</f>
        <v>0</v>
      </c>
      <c r="AA137" s="47" t="n">
        <f aca="false">MIN(Z137,Sorted!$G$7)</f>
        <v>0</v>
      </c>
      <c r="AB137" s="47" t="n">
        <v>0</v>
      </c>
      <c r="AC137" s="47" t="n">
        <f aca="false">ROUND(Z137-AA137-AB137,2)</f>
        <v>0</v>
      </c>
      <c r="AD137" s="47" t="n">
        <f aca="false">ROUND(AG136*(1+Sorted!$H$8),2)</f>
        <v>0</v>
      </c>
      <c r="AE137" s="47" t="n">
        <f aca="false">MIN(AD137,Sorted!$G$8)</f>
        <v>0</v>
      </c>
      <c r="AF137" s="47" t="n">
        <v>0</v>
      </c>
      <c r="AG137" s="47" t="n">
        <f aca="false">ROUND(AD137-AE137-AF137,2)</f>
        <v>0</v>
      </c>
      <c r="AH137" s="47" t="n">
        <f aca="false">ROUND(AK136*(1+Sorted!$H$9),2)</f>
        <v>0</v>
      </c>
      <c r="AI137" s="47" t="n">
        <f aca="false">MIN(AH137,Sorted!$G$9)</f>
        <v>0</v>
      </c>
      <c r="AJ137" s="47" t="n">
        <v>0</v>
      </c>
      <c r="AK137" s="47" t="n">
        <f aca="false">ROUND(AH137-AI137-AJ137,2)</f>
        <v>0</v>
      </c>
      <c r="AL137" s="47" t="n">
        <f aca="false">ROUND(AO136*(1+Sorted!$H$10),2)</f>
        <v>0</v>
      </c>
      <c r="AM137" s="47" t="n">
        <f aca="false">MIN(AL137,Sorted!$G$10)</f>
        <v>0</v>
      </c>
      <c r="AN137" s="47" t="n">
        <v>0</v>
      </c>
      <c r="AO137" s="47" t="n">
        <f aca="false">ROUND(AL137-AM137-AN137,2)</f>
        <v>0</v>
      </c>
      <c r="AP137" s="47" t="n">
        <f aca="false">ROUND(AS136*(1+Sorted!$H$11),2)</f>
        <v>0</v>
      </c>
      <c r="AQ137" s="47" t="n">
        <f aca="false">MIN(AP137,Sorted!$G$11)</f>
        <v>0</v>
      </c>
      <c r="AR137" s="47" t="n">
        <v>0</v>
      </c>
      <c r="AS137" s="47" t="n">
        <f aca="false">ROUND(AP137-AQ137-AR137,2)</f>
        <v>0</v>
      </c>
    </row>
    <row r="138" customFormat="false" ht="15" hidden="false" customHeight="false" outlineLevel="0" collapsed="false">
      <c r="A138" s="45" t="n">
        <v>135</v>
      </c>
      <c r="B138" s="46" t="n">
        <f aca="false">EDATE('My Debts'!$C$7,A138-1)</f>
        <v>50406</v>
      </c>
      <c r="C138" s="47" t="n">
        <v>0</v>
      </c>
      <c r="D138" s="47" t="n">
        <f aca="false">(F138+J138+N138+R138+V138+Z138+AD138+AH138+AL138+AP138)-(I138+M138+Q138+U138+Y138+AC138+AG138+AK138+AO138+AS138)</f>
        <v>0</v>
      </c>
      <c r="E138" s="48" t="n">
        <f aca="false">I138+M138+Q138+U138+Y138+AC138+AG138+AK138+AO138+AS138</f>
        <v>0</v>
      </c>
      <c r="F138" s="47" t="n">
        <f aca="false">ROUND(I137*(1+Sorted!$H$2),2)</f>
        <v>0</v>
      </c>
      <c r="G138" s="47" t="n">
        <f aca="false">MIN(F138,Sorted!$G$2)</f>
        <v>0</v>
      </c>
      <c r="H138" s="47" t="n">
        <v>0</v>
      </c>
      <c r="I138" s="47" t="n">
        <f aca="false">ROUND(F138-G138-H138,2)</f>
        <v>0</v>
      </c>
      <c r="J138" s="47" t="n">
        <f aca="false">ROUND(M137*(1+Sorted!$H$3),2)</f>
        <v>0</v>
      </c>
      <c r="K138" s="47" t="n">
        <f aca="false">MIN(J138,Sorted!$G$3)</f>
        <v>0</v>
      </c>
      <c r="L138" s="47" t="n">
        <v>0</v>
      </c>
      <c r="M138" s="47" t="n">
        <f aca="false">ROUND(J138-K138-L138,2)</f>
        <v>0</v>
      </c>
      <c r="N138" s="47" t="n">
        <f aca="false">ROUND(Q137*(1+Sorted!$H$4),2)</f>
        <v>0</v>
      </c>
      <c r="O138" s="47" t="n">
        <f aca="false">MIN(N138,Sorted!$G$4)</f>
        <v>0</v>
      </c>
      <c r="P138" s="47" t="n">
        <v>0</v>
      </c>
      <c r="Q138" s="47" t="n">
        <f aca="false">ROUND(N138-O138-P138,2)</f>
        <v>0</v>
      </c>
      <c r="R138" s="47" t="n">
        <f aca="false">ROUND(U137*(1+Sorted!$H$5),2)</f>
        <v>0</v>
      </c>
      <c r="S138" s="47" t="n">
        <f aca="false">MIN(R138,Sorted!$G$5)</f>
        <v>0</v>
      </c>
      <c r="T138" s="47" t="n">
        <v>0</v>
      </c>
      <c r="U138" s="47" t="n">
        <f aca="false">ROUND(R138-S138-T138,2)</f>
        <v>0</v>
      </c>
      <c r="V138" s="47" t="n">
        <f aca="false">ROUND(Y137*(1+Sorted!$H$6),2)</f>
        <v>0</v>
      </c>
      <c r="W138" s="47" t="n">
        <f aca="false">MIN(V138,Sorted!$G$6)</f>
        <v>0</v>
      </c>
      <c r="X138" s="47" t="n">
        <v>0</v>
      </c>
      <c r="Y138" s="47" t="n">
        <f aca="false">ROUND(V138-W138-X138,2)</f>
        <v>0</v>
      </c>
      <c r="Z138" s="47" t="n">
        <f aca="false">ROUND(AC137*(1+Sorted!$H$7),2)</f>
        <v>0</v>
      </c>
      <c r="AA138" s="47" t="n">
        <f aca="false">MIN(Z138,Sorted!$G$7)</f>
        <v>0</v>
      </c>
      <c r="AB138" s="47" t="n">
        <v>0</v>
      </c>
      <c r="AC138" s="47" t="n">
        <f aca="false">ROUND(Z138-AA138-AB138,2)</f>
        <v>0</v>
      </c>
      <c r="AD138" s="47" t="n">
        <f aca="false">ROUND(AG137*(1+Sorted!$H$8),2)</f>
        <v>0</v>
      </c>
      <c r="AE138" s="47" t="n">
        <f aca="false">MIN(AD138,Sorted!$G$8)</f>
        <v>0</v>
      </c>
      <c r="AF138" s="47" t="n">
        <v>0</v>
      </c>
      <c r="AG138" s="47" t="n">
        <f aca="false">ROUND(AD138-AE138-AF138,2)</f>
        <v>0</v>
      </c>
      <c r="AH138" s="47" t="n">
        <f aca="false">ROUND(AK137*(1+Sorted!$H$9),2)</f>
        <v>0</v>
      </c>
      <c r="AI138" s="47" t="n">
        <f aca="false">MIN(AH138,Sorted!$G$9)</f>
        <v>0</v>
      </c>
      <c r="AJ138" s="47" t="n">
        <v>0</v>
      </c>
      <c r="AK138" s="47" t="n">
        <f aca="false">ROUND(AH138-AI138-AJ138,2)</f>
        <v>0</v>
      </c>
      <c r="AL138" s="47" t="n">
        <f aca="false">ROUND(AO137*(1+Sorted!$H$10),2)</f>
        <v>0</v>
      </c>
      <c r="AM138" s="47" t="n">
        <f aca="false">MIN(AL138,Sorted!$G$10)</f>
        <v>0</v>
      </c>
      <c r="AN138" s="47" t="n">
        <v>0</v>
      </c>
      <c r="AO138" s="47" t="n">
        <f aca="false">ROUND(AL138-AM138-AN138,2)</f>
        <v>0</v>
      </c>
      <c r="AP138" s="47" t="n">
        <f aca="false">ROUND(AS137*(1+Sorted!$H$11),2)</f>
        <v>0</v>
      </c>
      <c r="AQ138" s="47" t="n">
        <f aca="false">MIN(AP138,Sorted!$G$11)</f>
        <v>0</v>
      </c>
      <c r="AR138" s="47" t="n">
        <v>0</v>
      </c>
      <c r="AS138" s="47" t="n">
        <f aca="false">ROUND(AP138-AQ138-AR138,2)</f>
        <v>0</v>
      </c>
    </row>
    <row r="139" customFormat="false" ht="15" hidden="false" customHeight="false" outlineLevel="0" collapsed="false">
      <c r="A139" s="45" t="n">
        <v>136</v>
      </c>
      <c r="B139" s="46" t="n">
        <f aca="false">EDATE('My Debts'!$C$7,A139-1)</f>
        <v>50437</v>
      </c>
      <c r="C139" s="47" t="n">
        <v>0</v>
      </c>
      <c r="D139" s="47" t="n">
        <f aca="false">(F139+J139+N139+R139+V139+Z139+AD139+AH139+AL139+AP139)-(I139+M139+Q139+U139+Y139+AC139+AG139+AK139+AO139+AS139)</f>
        <v>0</v>
      </c>
      <c r="E139" s="48" t="n">
        <f aca="false">I139+M139+Q139+U139+Y139+AC139+AG139+AK139+AO139+AS139</f>
        <v>0</v>
      </c>
      <c r="F139" s="47" t="n">
        <f aca="false">ROUND(I138*(1+Sorted!$H$2),2)</f>
        <v>0</v>
      </c>
      <c r="G139" s="47" t="n">
        <f aca="false">MIN(F139,Sorted!$G$2)</f>
        <v>0</v>
      </c>
      <c r="H139" s="47" t="n">
        <v>0</v>
      </c>
      <c r="I139" s="47" t="n">
        <f aca="false">ROUND(F139-G139-H139,2)</f>
        <v>0</v>
      </c>
      <c r="J139" s="47" t="n">
        <f aca="false">ROUND(M138*(1+Sorted!$H$3),2)</f>
        <v>0</v>
      </c>
      <c r="K139" s="47" t="n">
        <f aca="false">MIN(J139,Sorted!$G$3)</f>
        <v>0</v>
      </c>
      <c r="L139" s="47" t="n">
        <v>0</v>
      </c>
      <c r="M139" s="47" t="n">
        <f aca="false">ROUND(J139-K139-L139,2)</f>
        <v>0</v>
      </c>
      <c r="N139" s="47" t="n">
        <f aca="false">ROUND(Q138*(1+Sorted!$H$4),2)</f>
        <v>0</v>
      </c>
      <c r="O139" s="47" t="n">
        <f aca="false">MIN(N139,Sorted!$G$4)</f>
        <v>0</v>
      </c>
      <c r="P139" s="47" t="n">
        <v>0</v>
      </c>
      <c r="Q139" s="47" t="n">
        <f aca="false">ROUND(N139-O139-P139,2)</f>
        <v>0</v>
      </c>
      <c r="R139" s="47" t="n">
        <f aca="false">ROUND(U138*(1+Sorted!$H$5),2)</f>
        <v>0</v>
      </c>
      <c r="S139" s="47" t="n">
        <f aca="false">MIN(R139,Sorted!$G$5)</f>
        <v>0</v>
      </c>
      <c r="T139" s="47" t="n">
        <v>0</v>
      </c>
      <c r="U139" s="47" t="n">
        <f aca="false">ROUND(R139-S139-T139,2)</f>
        <v>0</v>
      </c>
      <c r="V139" s="47" t="n">
        <f aca="false">ROUND(Y138*(1+Sorted!$H$6),2)</f>
        <v>0</v>
      </c>
      <c r="W139" s="47" t="n">
        <f aca="false">MIN(V139,Sorted!$G$6)</f>
        <v>0</v>
      </c>
      <c r="X139" s="47" t="n">
        <v>0</v>
      </c>
      <c r="Y139" s="47" t="n">
        <f aca="false">ROUND(V139-W139-X139,2)</f>
        <v>0</v>
      </c>
      <c r="Z139" s="47" t="n">
        <f aca="false">ROUND(AC138*(1+Sorted!$H$7),2)</f>
        <v>0</v>
      </c>
      <c r="AA139" s="47" t="n">
        <f aca="false">MIN(Z139,Sorted!$G$7)</f>
        <v>0</v>
      </c>
      <c r="AB139" s="47" t="n">
        <v>0</v>
      </c>
      <c r="AC139" s="47" t="n">
        <f aca="false">ROUND(Z139-AA139-AB139,2)</f>
        <v>0</v>
      </c>
      <c r="AD139" s="47" t="n">
        <f aca="false">ROUND(AG138*(1+Sorted!$H$8),2)</f>
        <v>0</v>
      </c>
      <c r="AE139" s="47" t="n">
        <f aca="false">MIN(AD139,Sorted!$G$8)</f>
        <v>0</v>
      </c>
      <c r="AF139" s="47" t="n">
        <v>0</v>
      </c>
      <c r="AG139" s="47" t="n">
        <f aca="false">ROUND(AD139-AE139-AF139,2)</f>
        <v>0</v>
      </c>
      <c r="AH139" s="47" t="n">
        <f aca="false">ROUND(AK138*(1+Sorted!$H$9),2)</f>
        <v>0</v>
      </c>
      <c r="AI139" s="47" t="n">
        <f aca="false">MIN(AH139,Sorted!$G$9)</f>
        <v>0</v>
      </c>
      <c r="AJ139" s="47" t="n">
        <v>0</v>
      </c>
      <c r="AK139" s="47" t="n">
        <f aca="false">ROUND(AH139-AI139-AJ139,2)</f>
        <v>0</v>
      </c>
      <c r="AL139" s="47" t="n">
        <f aca="false">ROUND(AO138*(1+Sorted!$H$10),2)</f>
        <v>0</v>
      </c>
      <c r="AM139" s="47" t="n">
        <f aca="false">MIN(AL139,Sorted!$G$10)</f>
        <v>0</v>
      </c>
      <c r="AN139" s="47" t="n">
        <v>0</v>
      </c>
      <c r="AO139" s="47" t="n">
        <f aca="false">ROUND(AL139-AM139-AN139,2)</f>
        <v>0</v>
      </c>
      <c r="AP139" s="47" t="n">
        <f aca="false">ROUND(AS138*(1+Sorted!$H$11),2)</f>
        <v>0</v>
      </c>
      <c r="AQ139" s="47" t="n">
        <f aca="false">MIN(AP139,Sorted!$G$11)</f>
        <v>0</v>
      </c>
      <c r="AR139" s="47" t="n">
        <v>0</v>
      </c>
      <c r="AS139" s="47" t="n">
        <f aca="false">ROUND(AP139-AQ139-AR139,2)</f>
        <v>0</v>
      </c>
    </row>
    <row r="140" customFormat="false" ht="15" hidden="false" customHeight="false" outlineLevel="0" collapsed="false">
      <c r="A140" s="45" t="n">
        <v>137</v>
      </c>
      <c r="B140" s="46" t="n">
        <f aca="false">EDATE('My Debts'!$C$7,A140-1)</f>
        <v>50465</v>
      </c>
      <c r="C140" s="47" t="n">
        <v>0</v>
      </c>
      <c r="D140" s="47" t="n">
        <f aca="false">(F140+J140+N140+R140+V140+Z140+AD140+AH140+AL140+AP140)-(I140+M140+Q140+U140+Y140+AC140+AG140+AK140+AO140+AS140)</f>
        <v>0</v>
      </c>
      <c r="E140" s="48" t="n">
        <f aca="false">I140+M140+Q140+U140+Y140+AC140+AG140+AK140+AO140+AS140</f>
        <v>0</v>
      </c>
      <c r="F140" s="47" t="n">
        <f aca="false">ROUND(I139*(1+Sorted!$H$2),2)</f>
        <v>0</v>
      </c>
      <c r="G140" s="47" t="n">
        <f aca="false">MIN(F140,Sorted!$G$2)</f>
        <v>0</v>
      </c>
      <c r="H140" s="47" t="n">
        <v>0</v>
      </c>
      <c r="I140" s="47" t="n">
        <f aca="false">ROUND(F140-G140-H140,2)</f>
        <v>0</v>
      </c>
      <c r="J140" s="47" t="n">
        <f aca="false">ROUND(M139*(1+Sorted!$H$3),2)</f>
        <v>0</v>
      </c>
      <c r="K140" s="47" t="n">
        <f aca="false">MIN(J140,Sorted!$G$3)</f>
        <v>0</v>
      </c>
      <c r="L140" s="47" t="n">
        <v>0</v>
      </c>
      <c r="M140" s="47" t="n">
        <f aca="false">ROUND(J140-K140-L140,2)</f>
        <v>0</v>
      </c>
      <c r="N140" s="47" t="n">
        <f aca="false">ROUND(Q139*(1+Sorted!$H$4),2)</f>
        <v>0</v>
      </c>
      <c r="O140" s="47" t="n">
        <f aca="false">MIN(N140,Sorted!$G$4)</f>
        <v>0</v>
      </c>
      <c r="P140" s="47" t="n">
        <v>0</v>
      </c>
      <c r="Q140" s="47" t="n">
        <f aca="false">ROUND(N140-O140-P140,2)</f>
        <v>0</v>
      </c>
      <c r="R140" s="47" t="n">
        <f aca="false">ROUND(U139*(1+Sorted!$H$5),2)</f>
        <v>0</v>
      </c>
      <c r="S140" s="47" t="n">
        <f aca="false">MIN(R140,Sorted!$G$5)</f>
        <v>0</v>
      </c>
      <c r="T140" s="47" t="n">
        <v>0</v>
      </c>
      <c r="U140" s="47" t="n">
        <f aca="false">ROUND(R140-S140-T140,2)</f>
        <v>0</v>
      </c>
      <c r="V140" s="47" t="n">
        <f aca="false">ROUND(Y139*(1+Sorted!$H$6),2)</f>
        <v>0</v>
      </c>
      <c r="W140" s="47" t="n">
        <f aca="false">MIN(V140,Sorted!$G$6)</f>
        <v>0</v>
      </c>
      <c r="X140" s="47" t="n">
        <v>0</v>
      </c>
      <c r="Y140" s="47" t="n">
        <f aca="false">ROUND(V140-W140-X140,2)</f>
        <v>0</v>
      </c>
      <c r="Z140" s="47" t="n">
        <f aca="false">ROUND(AC139*(1+Sorted!$H$7),2)</f>
        <v>0</v>
      </c>
      <c r="AA140" s="47" t="n">
        <f aca="false">MIN(Z140,Sorted!$G$7)</f>
        <v>0</v>
      </c>
      <c r="AB140" s="47" t="n">
        <v>0</v>
      </c>
      <c r="AC140" s="47" t="n">
        <f aca="false">ROUND(Z140-AA140-AB140,2)</f>
        <v>0</v>
      </c>
      <c r="AD140" s="47" t="n">
        <f aca="false">ROUND(AG139*(1+Sorted!$H$8),2)</f>
        <v>0</v>
      </c>
      <c r="AE140" s="47" t="n">
        <f aca="false">MIN(AD140,Sorted!$G$8)</f>
        <v>0</v>
      </c>
      <c r="AF140" s="47" t="n">
        <v>0</v>
      </c>
      <c r="AG140" s="47" t="n">
        <f aca="false">ROUND(AD140-AE140-AF140,2)</f>
        <v>0</v>
      </c>
      <c r="AH140" s="47" t="n">
        <f aca="false">ROUND(AK139*(1+Sorted!$H$9),2)</f>
        <v>0</v>
      </c>
      <c r="AI140" s="47" t="n">
        <f aca="false">MIN(AH140,Sorted!$G$9)</f>
        <v>0</v>
      </c>
      <c r="AJ140" s="47" t="n">
        <v>0</v>
      </c>
      <c r="AK140" s="47" t="n">
        <f aca="false">ROUND(AH140-AI140-AJ140,2)</f>
        <v>0</v>
      </c>
      <c r="AL140" s="47" t="n">
        <f aca="false">ROUND(AO139*(1+Sorted!$H$10),2)</f>
        <v>0</v>
      </c>
      <c r="AM140" s="47" t="n">
        <f aca="false">MIN(AL140,Sorted!$G$10)</f>
        <v>0</v>
      </c>
      <c r="AN140" s="47" t="n">
        <v>0</v>
      </c>
      <c r="AO140" s="47" t="n">
        <f aca="false">ROUND(AL140-AM140-AN140,2)</f>
        <v>0</v>
      </c>
      <c r="AP140" s="47" t="n">
        <f aca="false">ROUND(AS139*(1+Sorted!$H$11),2)</f>
        <v>0</v>
      </c>
      <c r="AQ140" s="47" t="n">
        <f aca="false">MIN(AP140,Sorted!$G$11)</f>
        <v>0</v>
      </c>
      <c r="AR140" s="47" t="n">
        <v>0</v>
      </c>
      <c r="AS140" s="47" t="n">
        <f aca="false">ROUND(AP140-AQ140-AR140,2)</f>
        <v>0</v>
      </c>
    </row>
    <row r="141" customFormat="false" ht="15" hidden="false" customHeight="false" outlineLevel="0" collapsed="false">
      <c r="A141" s="45" t="n">
        <v>138</v>
      </c>
      <c r="B141" s="46" t="n">
        <f aca="false">EDATE('My Debts'!$C$7,A141-1)</f>
        <v>50496</v>
      </c>
      <c r="C141" s="47" t="n">
        <v>0</v>
      </c>
      <c r="D141" s="47" t="n">
        <f aca="false">(F141+J141+N141+R141+V141+Z141+AD141+AH141+AL141+AP141)-(I141+M141+Q141+U141+Y141+AC141+AG141+AK141+AO141+AS141)</f>
        <v>0</v>
      </c>
      <c r="E141" s="48" t="n">
        <f aca="false">I141+M141+Q141+U141+Y141+AC141+AG141+AK141+AO141+AS141</f>
        <v>0</v>
      </c>
      <c r="F141" s="47" t="n">
        <f aca="false">ROUND(I140*(1+Sorted!$H$2),2)</f>
        <v>0</v>
      </c>
      <c r="G141" s="47" t="n">
        <f aca="false">MIN(F141,Sorted!$G$2)</f>
        <v>0</v>
      </c>
      <c r="H141" s="47" t="n">
        <v>0</v>
      </c>
      <c r="I141" s="47" t="n">
        <f aca="false">ROUND(F141-G141-H141,2)</f>
        <v>0</v>
      </c>
      <c r="J141" s="47" t="n">
        <f aca="false">ROUND(M140*(1+Sorted!$H$3),2)</f>
        <v>0</v>
      </c>
      <c r="K141" s="47" t="n">
        <f aca="false">MIN(J141,Sorted!$G$3)</f>
        <v>0</v>
      </c>
      <c r="L141" s="47" t="n">
        <v>0</v>
      </c>
      <c r="M141" s="47" t="n">
        <f aca="false">ROUND(J141-K141-L141,2)</f>
        <v>0</v>
      </c>
      <c r="N141" s="47" t="n">
        <f aca="false">ROUND(Q140*(1+Sorted!$H$4),2)</f>
        <v>0</v>
      </c>
      <c r="O141" s="47" t="n">
        <f aca="false">MIN(N141,Sorted!$G$4)</f>
        <v>0</v>
      </c>
      <c r="P141" s="47" t="n">
        <v>0</v>
      </c>
      <c r="Q141" s="47" t="n">
        <f aca="false">ROUND(N141-O141-P141,2)</f>
        <v>0</v>
      </c>
      <c r="R141" s="47" t="n">
        <f aca="false">ROUND(U140*(1+Sorted!$H$5),2)</f>
        <v>0</v>
      </c>
      <c r="S141" s="47" t="n">
        <f aca="false">MIN(R141,Sorted!$G$5)</f>
        <v>0</v>
      </c>
      <c r="T141" s="47" t="n">
        <v>0</v>
      </c>
      <c r="U141" s="47" t="n">
        <f aca="false">ROUND(R141-S141-T141,2)</f>
        <v>0</v>
      </c>
      <c r="V141" s="47" t="n">
        <f aca="false">ROUND(Y140*(1+Sorted!$H$6),2)</f>
        <v>0</v>
      </c>
      <c r="W141" s="47" t="n">
        <f aca="false">MIN(V141,Sorted!$G$6)</f>
        <v>0</v>
      </c>
      <c r="X141" s="47" t="n">
        <v>0</v>
      </c>
      <c r="Y141" s="47" t="n">
        <f aca="false">ROUND(V141-W141-X141,2)</f>
        <v>0</v>
      </c>
      <c r="Z141" s="47" t="n">
        <f aca="false">ROUND(AC140*(1+Sorted!$H$7),2)</f>
        <v>0</v>
      </c>
      <c r="AA141" s="47" t="n">
        <f aca="false">MIN(Z141,Sorted!$G$7)</f>
        <v>0</v>
      </c>
      <c r="AB141" s="47" t="n">
        <v>0</v>
      </c>
      <c r="AC141" s="47" t="n">
        <f aca="false">ROUND(Z141-AA141-AB141,2)</f>
        <v>0</v>
      </c>
      <c r="AD141" s="47" t="n">
        <f aca="false">ROUND(AG140*(1+Sorted!$H$8),2)</f>
        <v>0</v>
      </c>
      <c r="AE141" s="47" t="n">
        <f aca="false">MIN(AD141,Sorted!$G$8)</f>
        <v>0</v>
      </c>
      <c r="AF141" s="47" t="n">
        <v>0</v>
      </c>
      <c r="AG141" s="47" t="n">
        <f aca="false">ROUND(AD141-AE141-AF141,2)</f>
        <v>0</v>
      </c>
      <c r="AH141" s="47" t="n">
        <f aca="false">ROUND(AK140*(1+Sorted!$H$9),2)</f>
        <v>0</v>
      </c>
      <c r="AI141" s="47" t="n">
        <f aca="false">MIN(AH141,Sorted!$G$9)</f>
        <v>0</v>
      </c>
      <c r="AJ141" s="47" t="n">
        <v>0</v>
      </c>
      <c r="AK141" s="47" t="n">
        <f aca="false">ROUND(AH141-AI141-AJ141,2)</f>
        <v>0</v>
      </c>
      <c r="AL141" s="47" t="n">
        <f aca="false">ROUND(AO140*(1+Sorted!$H$10),2)</f>
        <v>0</v>
      </c>
      <c r="AM141" s="47" t="n">
        <f aca="false">MIN(AL141,Sorted!$G$10)</f>
        <v>0</v>
      </c>
      <c r="AN141" s="47" t="n">
        <v>0</v>
      </c>
      <c r="AO141" s="47" t="n">
        <f aca="false">ROUND(AL141-AM141-AN141,2)</f>
        <v>0</v>
      </c>
      <c r="AP141" s="47" t="n">
        <f aca="false">ROUND(AS140*(1+Sorted!$H$11),2)</f>
        <v>0</v>
      </c>
      <c r="AQ141" s="47" t="n">
        <f aca="false">MIN(AP141,Sorted!$G$11)</f>
        <v>0</v>
      </c>
      <c r="AR141" s="47" t="n">
        <v>0</v>
      </c>
      <c r="AS141" s="47" t="n">
        <f aca="false">ROUND(AP141-AQ141-AR141,2)</f>
        <v>0</v>
      </c>
    </row>
    <row r="142" customFormat="false" ht="15" hidden="false" customHeight="false" outlineLevel="0" collapsed="false">
      <c r="A142" s="45" t="n">
        <v>139</v>
      </c>
      <c r="B142" s="46" t="n">
        <f aca="false">EDATE('My Debts'!$C$7,A142-1)</f>
        <v>50526</v>
      </c>
      <c r="C142" s="47" t="n">
        <v>0</v>
      </c>
      <c r="D142" s="47" t="n">
        <f aca="false">(F142+J142+N142+R142+V142+Z142+AD142+AH142+AL142+AP142)-(I142+M142+Q142+U142+Y142+AC142+AG142+AK142+AO142+AS142)</f>
        <v>0</v>
      </c>
      <c r="E142" s="48" t="n">
        <f aca="false">I142+M142+Q142+U142+Y142+AC142+AG142+AK142+AO142+AS142</f>
        <v>0</v>
      </c>
      <c r="F142" s="47" t="n">
        <f aca="false">ROUND(I141*(1+Sorted!$H$2),2)</f>
        <v>0</v>
      </c>
      <c r="G142" s="47" t="n">
        <f aca="false">MIN(F142,Sorted!$G$2)</f>
        <v>0</v>
      </c>
      <c r="H142" s="47" t="n">
        <v>0</v>
      </c>
      <c r="I142" s="47" t="n">
        <f aca="false">ROUND(F142-G142-H142,2)</f>
        <v>0</v>
      </c>
      <c r="J142" s="47" t="n">
        <f aca="false">ROUND(M141*(1+Sorted!$H$3),2)</f>
        <v>0</v>
      </c>
      <c r="K142" s="47" t="n">
        <f aca="false">MIN(J142,Sorted!$G$3)</f>
        <v>0</v>
      </c>
      <c r="L142" s="47" t="n">
        <v>0</v>
      </c>
      <c r="M142" s="47" t="n">
        <f aca="false">ROUND(J142-K142-L142,2)</f>
        <v>0</v>
      </c>
      <c r="N142" s="47" t="n">
        <f aca="false">ROUND(Q141*(1+Sorted!$H$4),2)</f>
        <v>0</v>
      </c>
      <c r="O142" s="47" t="n">
        <f aca="false">MIN(N142,Sorted!$G$4)</f>
        <v>0</v>
      </c>
      <c r="P142" s="47" t="n">
        <v>0</v>
      </c>
      <c r="Q142" s="47" t="n">
        <f aca="false">ROUND(N142-O142-P142,2)</f>
        <v>0</v>
      </c>
      <c r="R142" s="47" t="n">
        <f aca="false">ROUND(U141*(1+Sorted!$H$5),2)</f>
        <v>0</v>
      </c>
      <c r="S142" s="47" t="n">
        <f aca="false">MIN(R142,Sorted!$G$5)</f>
        <v>0</v>
      </c>
      <c r="T142" s="47" t="n">
        <v>0</v>
      </c>
      <c r="U142" s="47" t="n">
        <f aca="false">ROUND(R142-S142-T142,2)</f>
        <v>0</v>
      </c>
      <c r="V142" s="47" t="n">
        <f aca="false">ROUND(Y141*(1+Sorted!$H$6),2)</f>
        <v>0</v>
      </c>
      <c r="W142" s="47" t="n">
        <f aca="false">MIN(V142,Sorted!$G$6)</f>
        <v>0</v>
      </c>
      <c r="X142" s="47" t="n">
        <v>0</v>
      </c>
      <c r="Y142" s="47" t="n">
        <f aca="false">ROUND(V142-W142-X142,2)</f>
        <v>0</v>
      </c>
      <c r="Z142" s="47" t="n">
        <f aca="false">ROUND(AC141*(1+Sorted!$H$7),2)</f>
        <v>0</v>
      </c>
      <c r="AA142" s="47" t="n">
        <f aca="false">MIN(Z142,Sorted!$G$7)</f>
        <v>0</v>
      </c>
      <c r="AB142" s="47" t="n">
        <v>0</v>
      </c>
      <c r="AC142" s="47" t="n">
        <f aca="false">ROUND(Z142-AA142-AB142,2)</f>
        <v>0</v>
      </c>
      <c r="AD142" s="47" t="n">
        <f aca="false">ROUND(AG141*(1+Sorted!$H$8),2)</f>
        <v>0</v>
      </c>
      <c r="AE142" s="47" t="n">
        <f aca="false">MIN(AD142,Sorted!$G$8)</f>
        <v>0</v>
      </c>
      <c r="AF142" s="47" t="n">
        <v>0</v>
      </c>
      <c r="AG142" s="47" t="n">
        <f aca="false">ROUND(AD142-AE142-AF142,2)</f>
        <v>0</v>
      </c>
      <c r="AH142" s="47" t="n">
        <f aca="false">ROUND(AK141*(1+Sorted!$H$9),2)</f>
        <v>0</v>
      </c>
      <c r="AI142" s="47" t="n">
        <f aca="false">MIN(AH142,Sorted!$G$9)</f>
        <v>0</v>
      </c>
      <c r="AJ142" s="47" t="n">
        <v>0</v>
      </c>
      <c r="AK142" s="47" t="n">
        <f aca="false">ROUND(AH142-AI142-AJ142,2)</f>
        <v>0</v>
      </c>
      <c r="AL142" s="47" t="n">
        <f aca="false">ROUND(AO141*(1+Sorted!$H$10),2)</f>
        <v>0</v>
      </c>
      <c r="AM142" s="47" t="n">
        <f aca="false">MIN(AL142,Sorted!$G$10)</f>
        <v>0</v>
      </c>
      <c r="AN142" s="47" t="n">
        <v>0</v>
      </c>
      <c r="AO142" s="47" t="n">
        <f aca="false">ROUND(AL142-AM142-AN142,2)</f>
        <v>0</v>
      </c>
      <c r="AP142" s="47" t="n">
        <f aca="false">ROUND(AS141*(1+Sorted!$H$11),2)</f>
        <v>0</v>
      </c>
      <c r="AQ142" s="47" t="n">
        <f aca="false">MIN(AP142,Sorted!$G$11)</f>
        <v>0</v>
      </c>
      <c r="AR142" s="47" t="n">
        <v>0</v>
      </c>
      <c r="AS142" s="47" t="n">
        <f aca="false">ROUND(AP142-AQ142-AR142,2)</f>
        <v>0</v>
      </c>
    </row>
    <row r="143" customFormat="false" ht="15" hidden="false" customHeight="false" outlineLevel="0" collapsed="false">
      <c r="A143" s="45" t="n">
        <v>140</v>
      </c>
      <c r="B143" s="46" t="n">
        <f aca="false">EDATE('My Debts'!$C$7,A143-1)</f>
        <v>50557</v>
      </c>
      <c r="C143" s="47" t="n">
        <v>0</v>
      </c>
      <c r="D143" s="47" t="n">
        <f aca="false">(F143+J143+N143+R143+V143+Z143+AD143+AH143+AL143+AP143)-(I143+M143+Q143+U143+Y143+AC143+AG143+AK143+AO143+AS143)</f>
        <v>0</v>
      </c>
      <c r="E143" s="48" t="n">
        <f aca="false">I143+M143+Q143+U143+Y143+AC143+AG143+AK143+AO143+AS143</f>
        <v>0</v>
      </c>
      <c r="F143" s="47" t="n">
        <f aca="false">ROUND(I142*(1+Sorted!$H$2),2)</f>
        <v>0</v>
      </c>
      <c r="G143" s="47" t="n">
        <f aca="false">MIN(F143,Sorted!$G$2)</f>
        <v>0</v>
      </c>
      <c r="H143" s="47" t="n">
        <v>0</v>
      </c>
      <c r="I143" s="47" t="n">
        <f aca="false">ROUND(F143-G143-H143,2)</f>
        <v>0</v>
      </c>
      <c r="J143" s="47" t="n">
        <f aca="false">ROUND(M142*(1+Sorted!$H$3),2)</f>
        <v>0</v>
      </c>
      <c r="K143" s="47" t="n">
        <f aca="false">MIN(J143,Sorted!$G$3)</f>
        <v>0</v>
      </c>
      <c r="L143" s="47" t="n">
        <v>0</v>
      </c>
      <c r="M143" s="47" t="n">
        <f aca="false">ROUND(J143-K143-L143,2)</f>
        <v>0</v>
      </c>
      <c r="N143" s="47" t="n">
        <f aca="false">ROUND(Q142*(1+Sorted!$H$4),2)</f>
        <v>0</v>
      </c>
      <c r="O143" s="47" t="n">
        <f aca="false">MIN(N143,Sorted!$G$4)</f>
        <v>0</v>
      </c>
      <c r="P143" s="47" t="n">
        <v>0</v>
      </c>
      <c r="Q143" s="47" t="n">
        <f aca="false">ROUND(N143-O143-P143,2)</f>
        <v>0</v>
      </c>
      <c r="R143" s="47" t="n">
        <f aca="false">ROUND(U142*(1+Sorted!$H$5),2)</f>
        <v>0</v>
      </c>
      <c r="S143" s="47" t="n">
        <f aca="false">MIN(R143,Sorted!$G$5)</f>
        <v>0</v>
      </c>
      <c r="T143" s="47" t="n">
        <v>0</v>
      </c>
      <c r="U143" s="47" t="n">
        <f aca="false">ROUND(R143-S143-T143,2)</f>
        <v>0</v>
      </c>
      <c r="V143" s="47" t="n">
        <f aca="false">ROUND(Y142*(1+Sorted!$H$6),2)</f>
        <v>0</v>
      </c>
      <c r="W143" s="47" t="n">
        <f aca="false">MIN(V143,Sorted!$G$6)</f>
        <v>0</v>
      </c>
      <c r="X143" s="47" t="n">
        <v>0</v>
      </c>
      <c r="Y143" s="47" t="n">
        <f aca="false">ROUND(V143-W143-X143,2)</f>
        <v>0</v>
      </c>
      <c r="Z143" s="47" t="n">
        <f aca="false">ROUND(AC142*(1+Sorted!$H$7),2)</f>
        <v>0</v>
      </c>
      <c r="AA143" s="47" t="n">
        <f aca="false">MIN(Z143,Sorted!$G$7)</f>
        <v>0</v>
      </c>
      <c r="AB143" s="47" t="n">
        <v>0</v>
      </c>
      <c r="AC143" s="47" t="n">
        <f aca="false">ROUND(Z143-AA143-AB143,2)</f>
        <v>0</v>
      </c>
      <c r="AD143" s="47" t="n">
        <f aca="false">ROUND(AG142*(1+Sorted!$H$8),2)</f>
        <v>0</v>
      </c>
      <c r="AE143" s="47" t="n">
        <f aca="false">MIN(AD143,Sorted!$G$8)</f>
        <v>0</v>
      </c>
      <c r="AF143" s="47" t="n">
        <v>0</v>
      </c>
      <c r="AG143" s="47" t="n">
        <f aca="false">ROUND(AD143-AE143-AF143,2)</f>
        <v>0</v>
      </c>
      <c r="AH143" s="47" t="n">
        <f aca="false">ROUND(AK142*(1+Sorted!$H$9),2)</f>
        <v>0</v>
      </c>
      <c r="AI143" s="47" t="n">
        <f aca="false">MIN(AH143,Sorted!$G$9)</f>
        <v>0</v>
      </c>
      <c r="AJ143" s="47" t="n">
        <v>0</v>
      </c>
      <c r="AK143" s="47" t="n">
        <f aca="false">ROUND(AH143-AI143-AJ143,2)</f>
        <v>0</v>
      </c>
      <c r="AL143" s="47" t="n">
        <f aca="false">ROUND(AO142*(1+Sorted!$H$10),2)</f>
        <v>0</v>
      </c>
      <c r="AM143" s="47" t="n">
        <f aca="false">MIN(AL143,Sorted!$G$10)</f>
        <v>0</v>
      </c>
      <c r="AN143" s="47" t="n">
        <v>0</v>
      </c>
      <c r="AO143" s="47" t="n">
        <f aca="false">ROUND(AL143-AM143-AN143,2)</f>
        <v>0</v>
      </c>
      <c r="AP143" s="47" t="n">
        <f aca="false">ROUND(AS142*(1+Sorted!$H$11),2)</f>
        <v>0</v>
      </c>
      <c r="AQ143" s="47" t="n">
        <f aca="false">MIN(AP143,Sorted!$G$11)</f>
        <v>0</v>
      </c>
      <c r="AR143" s="47" t="n">
        <v>0</v>
      </c>
      <c r="AS143" s="47" t="n">
        <f aca="false">ROUND(AP143-AQ143-AR143,2)</f>
        <v>0</v>
      </c>
    </row>
    <row r="144" customFormat="false" ht="15" hidden="false" customHeight="false" outlineLevel="0" collapsed="false">
      <c r="A144" s="45" t="n">
        <v>141</v>
      </c>
      <c r="B144" s="46" t="n">
        <f aca="false">EDATE('My Debts'!$C$7,A144-1)</f>
        <v>50587</v>
      </c>
      <c r="C144" s="47" t="n">
        <v>0</v>
      </c>
      <c r="D144" s="47" t="n">
        <f aca="false">(F144+J144+N144+R144+V144+Z144+AD144+AH144+AL144+AP144)-(I144+M144+Q144+U144+Y144+AC144+AG144+AK144+AO144+AS144)</f>
        <v>0</v>
      </c>
      <c r="E144" s="48" t="n">
        <f aca="false">I144+M144+Q144+U144+Y144+AC144+AG144+AK144+AO144+AS144</f>
        <v>0</v>
      </c>
      <c r="F144" s="47" t="n">
        <f aca="false">ROUND(I143*(1+Sorted!$H$2),2)</f>
        <v>0</v>
      </c>
      <c r="G144" s="47" t="n">
        <f aca="false">MIN(F144,Sorted!$G$2)</f>
        <v>0</v>
      </c>
      <c r="H144" s="47" t="n">
        <v>0</v>
      </c>
      <c r="I144" s="47" t="n">
        <f aca="false">ROUND(F144-G144-H144,2)</f>
        <v>0</v>
      </c>
      <c r="J144" s="47" t="n">
        <f aca="false">ROUND(M143*(1+Sorted!$H$3),2)</f>
        <v>0</v>
      </c>
      <c r="K144" s="47" t="n">
        <f aca="false">MIN(J144,Sorted!$G$3)</f>
        <v>0</v>
      </c>
      <c r="L144" s="47" t="n">
        <v>0</v>
      </c>
      <c r="M144" s="47" t="n">
        <f aca="false">ROUND(J144-K144-L144,2)</f>
        <v>0</v>
      </c>
      <c r="N144" s="47" t="n">
        <f aca="false">ROUND(Q143*(1+Sorted!$H$4),2)</f>
        <v>0</v>
      </c>
      <c r="O144" s="47" t="n">
        <f aca="false">MIN(N144,Sorted!$G$4)</f>
        <v>0</v>
      </c>
      <c r="P144" s="47" t="n">
        <v>0</v>
      </c>
      <c r="Q144" s="47" t="n">
        <f aca="false">ROUND(N144-O144-P144,2)</f>
        <v>0</v>
      </c>
      <c r="R144" s="47" t="n">
        <f aca="false">ROUND(U143*(1+Sorted!$H$5),2)</f>
        <v>0</v>
      </c>
      <c r="S144" s="47" t="n">
        <f aca="false">MIN(R144,Sorted!$G$5)</f>
        <v>0</v>
      </c>
      <c r="T144" s="47" t="n">
        <v>0</v>
      </c>
      <c r="U144" s="47" t="n">
        <f aca="false">ROUND(R144-S144-T144,2)</f>
        <v>0</v>
      </c>
      <c r="V144" s="47" t="n">
        <f aca="false">ROUND(Y143*(1+Sorted!$H$6),2)</f>
        <v>0</v>
      </c>
      <c r="W144" s="47" t="n">
        <f aca="false">MIN(V144,Sorted!$G$6)</f>
        <v>0</v>
      </c>
      <c r="X144" s="47" t="n">
        <v>0</v>
      </c>
      <c r="Y144" s="47" t="n">
        <f aca="false">ROUND(V144-W144-X144,2)</f>
        <v>0</v>
      </c>
      <c r="Z144" s="47" t="n">
        <f aca="false">ROUND(AC143*(1+Sorted!$H$7),2)</f>
        <v>0</v>
      </c>
      <c r="AA144" s="47" t="n">
        <f aca="false">MIN(Z144,Sorted!$G$7)</f>
        <v>0</v>
      </c>
      <c r="AB144" s="47" t="n">
        <v>0</v>
      </c>
      <c r="AC144" s="47" t="n">
        <f aca="false">ROUND(Z144-AA144-AB144,2)</f>
        <v>0</v>
      </c>
      <c r="AD144" s="47" t="n">
        <f aca="false">ROUND(AG143*(1+Sorted!$H$8),2)</f>
        <v>0</v>
      </c>
      <c r="AE144" s="47" t="n">
        <f aca="false">MIN(AD144,Sorted!$G$8)</f>
        <v>0</v>
      </c>
      <c r="AF144" s="47" t="n">
        <v>0</v>
      </c>
      <c r="AG144" s="47" t="n">
        <f aca="false">ROUND(AD144-AE144-AF144,2)</f>
        <v>0</v>
      </c>
      <c r="AH144" s="47" t="n">
        <f aca="false">ROUND(AK143*(1+Sorted!$H$9),2)</f>
        <v>0</v>
      </c>
      <c r="AI144" s="47" t="n">
        <f aca="false">MIN(AH144,Sorted!$G$9)</f>
        <v>0</v>
      </c>
      <c r="AJ144" s="47" t="n">
        <v>0</v>
      </c>
      <c r="AK144" s="47" t="n">
        <f aca="false">ROUND(AH144-AI144-AJ144,2)</f>
        <v>0</v>
      </c>
      <c r="AL144" s="47" t="n">
        <f aca="false">ROUND(AO143*(1+Sorted!$H$10),2)</f>
        <v>0</v>
      </c>
      <c r="AM144" s="47" t="n">
        <f aca="false">MIN(AL144,Sorted!$G$10)</f>
        <v>0</v>
      </c>
      <c r="AN144" s="47" t="n">
        <v>0</v>
      </c>
      <c r="AO144" s="47" t="n">
        <f aca="false">ROUND(AL144-AM144-AN144,2)</f>
        <v>0</v>
      </c>
      <c r="AP144" s="47" t="n">
        <f aca="false">ROUND(AS143*(1+Sorted!$H$11),2)</f>
        <v>0</v>
      </c>
      <c r="AQ144" s="47" t="n">
        <f aca="false">MIN(AP144,Sorted!$G$11)</f>
        <v>0</v>
      </c>
      <c r="AR144" s="47" t="n">
        <v>0</v>
      </c>
      <c r="AS144" s="47" t="n">
        <f aca="false">ROUND(AP144-AQ144-AR144,2)</f>
        <v>0</v>
      </c>
    </row>
    <row r="145" customFormat="false" ht="15" hidden="false" customHeight="false" outlineLevel="0" collapsed="false">
      <c r="A145" s="45" t="n">
        <v>142</v>
      </c>
      <c r="B145" s="46" t="n">
        <f aca="false">EDATE('My Debts'!$C$7,A145-1)</f>
        <v>50618</v>
      </c>
      <c r="C145" s="47" t="n">
        <v>0</v>
      </c>
      <c r="D145" s="47" t="n">
        <f aca="false">(F145+J145+N145+R145+V145+Z145+AD145+AH145+AL145+AP145)-(I145+M145+Q145+U145+Y145+AC145+AG145+AK145+AO145+AS145)</f>
        <v>0</v>
      </c>
      <c r="E145" s="48" t="n">
        <f aca="false">I145+M145+Q145+U145+Y145+AC145+AG145+AK145+AO145+AS145</f>
        <v>0</v>
      </c>
      <c r="F145" s="47" t="n">
        <f aca="false">ROUND(I144*(1+Sorted!$H$2),2)</f>
        <v>0</v>
      </c>
      <c r="G145" s="47" t="n">
        <f aca="false">MIN(F145,Sorted!$G$2)</f>
        <v>0</v>
      </c>
      <c r="H145" s="47" t="n">
        <v>0</v>
      </c>
      <c r="I145" s="47" t="n">
        <f aca="false">ROUND(F145-G145-H145,2)</f>
        <v>0</v>
      </c>
      <c r="J145" s="47" t="n">
        <f aca="false">ROUND(M144*(1+Sorted!$H$3),2)</f>
        <v>0</v>
      </c>
      <c r="K145" s="47" t="n">
        <f aca="false">MIN(J145,Sorted!$G$3)</f>
        <v>0</v>
      </c>
      <c r="L145" s="47" t="n">
        <v>0</v>
      </c>
      <c r="M145" s="47" t="n">
        <f aca="false">ROUND(J145-K145-L145,2)</f>
        <v>0</v>
      </c>
      <c r="N145" s="47" t="n">
        <f aca="false">ROUND(Q144*(1+Sorted!$H$4),2)</f>
        <v>0</v>
      </c>
      <c r="O145" s="47" t="n">
        <f aca="false">MIN(N145,Sorted!$G$4)</f>
        <v>0</v>
      </c>
      <c r="P145" s="47" t="n">
        <v>0</v>
      </c>
      <c r="Q145" s="47" t="n">
        <f aca="false">ROUND(N145-O145-P145,2)</f>
        <v>0</v>
      </c>
      <c r="R145" s="47" t="n">
        <f aca="false">ROUND(U144*(1+Sorted!$H$5),2)</f>
        <v>0</v>
      </c>
      <c r="S145" s="47" t="n">
        <f aca="false">MIN(R145,Sorted!$G$5)</f>
        <v>0</v>
      </c>
      <c r="T145" s="47" t="n">
        <v>0</v>
      </c>
      <c r="U145" s="47" t="n">
        <f aca="false">ROUND(R145-S145-T145,2)</f>
        <v>0</v>
      </c>
      <c r="V145" s="47" t="n">
        <f aca="false">ROUND(Y144*(1+Sorted!$H$6),2)</f>
        <v>0</v>
      </c>
      <c r="W145" s="47" t="n">
        <f aca="false">MIN(V145,Sorted!$G$6)</f>
        <v>0</v>
      </c>
      <c r="X145" s="47" t="n">
        <v>0</v>
      </c>
      <c r="Y145" s="47" t="n">
        <f aca="false">ROUND(V145-W145-X145,2)</f>
        <v>0</v>
      </c>
      <c r="Z145" s="47" t="n">
        <f aca="false">ROUND(AC144*(1+Sorted!$H$7),2)</f>
        <v>0</v>
      </c>
      <c r="AA145" s="47" t="n">
        <f aca="false">MIN(Z145,Sorted!$G$7)</f>
        <v>0</v>
      </c>
      <c r="AB145" s="47" t="n">
        <v>0</v>
      </c>
      <c r="AC145" s="47" t="n">
        <f aca="false">ROUND(Z145-AA145-AB145,2)</f>
        <v>0</v>
      </c>
      <c r="AD145" s="47" t="n">
        <f aca="false">ROUND(AG144*(1+Sorted!$H$8),2)</f>
        <v>0</v>
      </c>
      <c r="AE145" s="47" t="n">
        <f aca="false">MIN(AD145,Sorted!$G$8)</f>
        <v>0</v>
      </c>
      <c r="AF145" s="47" t="n">
        <v>0</v>
      </c>
      <c r="AG145" s="47" t="n">
        <f aca="false">ROUND(AD145-AE145-AF145,2)</f>
        <v>0</v>
      </c>
      <c r="AH145" s="47" t="n">
        <f aca="false">ROUND(AK144*(1+Sorted!$H$9),2)</f>
        <v>0</v>
      </c>
      <c r="AI145" s="47" t="n">
        <f aca="false">MIN(AH145,Sorted!$G$9)</f>
        <v>0</v>
      </c>
      <c r="AJ145" s="47" t="n">
        <v>0</v>
      </c>
      <c r="AK145" s="47" t="n">
        <f aca="false">ROUND(AH145-AI145-AJ145,2)</f>
        <v>0</v>
      </c>
      <c r="AL145" s="47" t="n">
        <f aca="false">ROUND(AO144*(1+Sorted!$H$10),2)</f>
        <v>0</v>
      </c>
      <c r="AM145" s="47" t="n">
        <f aca="false">MIN(AL145,Sorted!$G$10)</f>
        <v>0</v>
      </c>
      <c r="AN145" s="47" t="n">
        <v>0</v>
      </c>
      <c r="AO145" s="47" t="n">
        <f aca="false">ROUND(AL145-AM145-AN145,2)</f>
        <v>0</v>
      </c>
      <c r="AP145" s="47" t="n">
        <f aca="false">ROUND(AS144*(1+Sorted!$H$11),2)</f>
        <v>0</v>
      </c>
      <c r="AQ145" s="47" t="n">
        <f aca="false">MIN(AP145,Sorted!$G$11)</f>
        <v>0</v>
      </c>
      <c r="AR145" s="47" t="n">
        <v>0</v>
      </c>
      <c r="AS145" s="47" t="n">
        <f aca="false">ROUND(AP145-AQ145-AR145,2)</f>
        <v>0</v>
      </c>
    </row>
    <row r="146" customFormat="false" ht="15" hidden="false" customHeight="false" outlineLevel="0" collapsed="false">
      <c r="A146" s="45" t="n">
        <v>143</v>
      </c>
      <c r="B146" s="46" t="n">
        <f aca="false">EDATE('My Debts'!$C$7,A146-1)</f>
        <v>50649</v>
      </c>
      <c r="C146" s="47" t="n">
        <v>0</v>
      </c>
      <c r="D146" s="47" t="n">
        <f aca="false">(F146+J146+N146+R146+V146+Z146+AD146+AH146+AL146+AP146)-(I146+M146+Q146+U146+Y146+AC146+AG146+AK146+AO146+AS146)</f>
        <v>0</v>
      </c>
      <c r="E146" s="48" t="n">
        <f aca="false">I146+M146+Q146+U146+Y146+AC146+AG146+AK146+AO146+AS146</f>
        <v>0</v>
      </c>
      <c r="F146" s="47" t="n">
        <f aca="false">ROUND(I145*(1+Sorted!$H$2),2)</f>
        <v>0</v>
      </c>
      <c r="G146" s="47" t="n">
        <f aca="false">MIN(F146,Sorted!$G$2)</f>
        <v>0</v>
      </c>
      <c r="H146" s="47" t="n">
        <v>0</v>
      </c>
      <c r="I146" s="47" t="n">
        <f aca="false">ROUND(F146-G146-H146,2)</f>
        <v>0</v>
      </c>
      <c r="J146" s="47" t="n">
        <f aca="false">ROUND(M145*(1+Sorted!$H$3),2)</f>
        <v>0</v>
      </c>
      <c r="K146" s="47" t="n">
        <f aca="false">MIN(J146,Sorted!$G$3)</f>
        <v>0</v>
      </c>
      <c r="L146" s="47" t="n">
        <v>0</v>
      </c>
      <c r="M146" s="47" t="n">
        <f aca="false">ROUND(J146-K146-L146,2)</f>
        <v>0</v>
      </c>
      <c r="N146" s="47" t="n">
        <f aca="false">ROUND(Q145*(1+Sorted!$H$4),2)</f>
        <v>0</v>
      </c>
      <c r="O146" s="47" t="n">
        <f aca="false">MIN(N146,Sorted!$G$4)</f>
        <v>0</v>
      </c>
      <c r="P146" s="47" t="n">
        <v>0</v>
      </c>
      <c r="Q146" s="47" t="n">
        <f aca="false">ROUND(N146-O146-P146,2)</f>
        <v>0</v>
      </c>
      <c r="R146" s="47" t="n">
        <f aca="false">ROUND(U145*(1+Sorted!$H$5),2)</f>
        <v>0</v>
      </c>
      <c r="S146" s="47" t="n">
        <f aca="false">MIN(R146,Sorted!$G$5)</f>
        <v>0</v>
      </c>
      <c r="T146" s="47" t="n">
        <v>0</v>
      </c>
      <c r="U146" s="47" t="n">
        <f aca="false">ROUND(R146-S146-T146,2)</f>
        <v>0</v>
      </c>
      <c r="V146" s="47" t="n">
        <f aca="false">ROUND(Y145*(1+Sorted!$H$6),2)</f>
        <v>0</v>
      </c>
      <c r="W146" s="47" t="n">
        <f aca="false">MIN(V146,Sorted!$G$6)</f>
        <v>0</v>
      </c>
      <c r="X146" s="47" t="n">
        <v>0</v>
      </c>
      <c r="Y146" s="47" t="n">
        <f aca="false">ROUND(V146-W146-X146,2)</f>
        <v>0</v>
      </c>
      <c r="Z146" s="47" t="n">
        <f aca="false">ROUND(AC145*(1+Sorted!$H$7),2)</f>
        <v>0</v>
      </c>
      <c r="AA146" s="47" t="n">
        <f aca="false">MIN(Z146,Sorted!$G$7)</f>
        <v>0</v>
      </c>
      <c r="AB146" s="47" t="n">
        <v>0</v>
      </c>
      <c r="AC146" s="47" t="n">
        <f aca="false">ROUND(Z146-AA146-AB146,2)</f>
        <v>0</v>
      </c>
      <c r="AD146" s="47" t="n">
        <f aca="false">ROUND(AG145*(1+Sorted!$H$8),2)</f>
        <v>0</v>
      </c>
      <c r="AE146" s="47" t="n">
        <f aca="false">MIN(AD146,Sorted!$G$8)</f>
        <v>0</v>
      </c>
      <c r="AF146" s="47" t="n">
        <v>0</v>
      </c>
      <c r="AG146" s="47" t="n">
        <f aca="false">ROUND(AD146-AE146-AF146,2)</f>
        <v>0</v>
      </c>
      <c r="AH146" s="47" t="n">
        <f aca="false">ROUND(AK145*(1+Sorted!$H$9),2)</f>
        <v>0</v>
      </c>
      <c r="AI146" s="47" t="n">
        <f aca="false">MIN(AH146,Sorted!$G$9)</f>
        <v>0</v>
      </c>
      <c r="AJ146" s="47" t="n">
        <v>0</v>
      </c>
      <c r="AK146" s="47" t="n">
        <f aca="false">ROUND(AH146-AI146-AJ146,2)</f>
        <v>0</v>
      </c>
      <c r="AL146" s="47" t="n">
        <f aca="false">ROUND(AO145*(1+Sorted!$H$10),2)</f>
        <v>0</v>
      </c>
      <c r="AM146" s="47" t="n">
        <f aca="false">MIN(AL146,Sorted!$G$10)</f>
        <v>0</v>
      </c>
      <c r="AN146" s="47" t="n">
        <v>0</v>
      </c>
      <c r="AO146" s="47" t="n">
        <f aca="false">ROUND(AL146-AM146-AN146,2)</f>
        <v>0</v>
      </c>
      <c r="AP146" s="47" t="n">
        <f aca="false">ROUND(AS145*(1+Sorted!$H$11),2)</f>
        <v>0</v>
      </c>
      <c r="AQ146" s="47" t="n">
        <f aca="false">MIN(AP146,Sorted!$G$11)</f>
        <v>0</v>
      </c>
      <c r="AR146" s="47" t="n">
        <v>0</v>
      </c>
      <c r="AS146" s="47" t="n">
        <f aca="false">ROUND(AP146-AQ146-AR146,2)</f>
        <v>0</v>
      </c>
    </row>
    <row r="147" customFormat="false" ht="15" hidden="false" customHeight="false" outlineLevel="0" collapsed="false">
      <c r="A147" s="45" t="n">
        <v>144</v>
      </c>
      <c r="B147" s="46" t="n">
        <f aca="false">EDATE('My Debts'!$C$7,A147-1)</f>
        <v>50679</v>
      </c>
      <c r="C147" s="47" t="n">
        <v>0</v>
      </c>
      <c r="D147" s="47" t="n">
        <f aca="false">(F147+J147+N147+R147+V147+Z147+AD147+AH147+AL147+AP147)-(I147+M147+Q147+U147+Y147+AC147+AG147+AK147+AO147+AS147)</f>
        <v>0</v>
      </c>
      <c r="E147" s="48" t="n">
        <f aca="false">I147+M147+Q147+U147+Y147+AC147+AG147+AK147+AO147+AS147</f>
        <v>0</v>
      </c>
      <c r="F147" s="47" t="n">
        <f aca="false">ROUND(I146*(1+Sorted!$H$2),2)</f>
        <v>0</v>
      </c>
      <c r="G147" s="47" t="n">
        <f aca="false">MIN(F147,Sorted!$G$2)</f>
        <v>0</v>
      </c>
      <c r="H147" s="47" t="n">
        <v>0</v>
      </c>
      <c r="I147" s="47" t="n">
        <f aca="false">ROUND(F147-G147-H147,2)</f>
        <v>0</v>
      </c>
      <c r="J147" s="47" t="n">
        <f aca="false">ROUND(M146*(1+Sorted!$H$3),2)</f>
        <v>0</v>
      </c>
      <c r="K147" s="47" t="n">
        <f aca="false">MIN(J147,Sorted!$G$3)</f>
        <v>0</v>
      </c>
      <c r="L147" s="47" t="n">
        <v>0</v>
      </c>
      <c r="M147" s="47" t="n">
        <f aca="false">ROUND(J147-K147-L147,2)</f>
        <v>0</v>
      </c>
      <c r="N147" s="47" t="n">
        <f aca="false">ROUND(Q146*(1+Sorted!$H$4),2)</f>
        <v>0</v>
      </c>
      <c r="O147" s="47" t="n">
        <f aca="false">MIN(N147,Sorted!$G$4)</f>
        <v>0</v>
      </c>
      <c r="P147" s="47" t="n">
        <v>0</v>
      </c>
      <c r="Q147" s="47" t="n">
        <f aca="false">ROUND(N147-O147-P147,2)</f>
        <v>0</v>
      </c>
      <c r="R147" s="47" t="n">
        <f aca="false">ROUND(U146*(1+Sorted!$H$5),2)</f>
        <v>0</v>
      </c>
      <c r="S147" s="47" t="n">
        <f aca="false">MIN(R147,Sorted!$G$5)</f>
        <v>0</v>
      </c>
      <c r="T147" s="47" t="n">
        <v>0</v>
      </c>
      <c r="U147" s="47" t="n">
        <f aca="false">ROUND(R147-S147-T147,2)</f>
        <v>0</v>
      </c>
      <c r="V147" s="47" t="n">
        <f aca="false">ROUND(Y146*(1+Sorted!$H$6),2)</f>
        <v>0</v>
      </c>
      <c r="W147" s="47" t="n">
        <f aca="false">MIN(V147,Sorted!$G$6)</f>
        <v>0</v>
      </c>
      <c r="X147" s="47" t="n">
        <v>0</v>
      </c>
      <c r="Y147" s="47" t="n">
        <f aca="false">ROUND(V147-W147-X147,2)</f>
        <v>0</v>
      </c>
      <c r="Z147" s="47" t="n">
        <f aca="false">ROUND(AC146*(1+Sorted!$H$7),2)</f>
        <v>0</v>
      </c>
      <c r="AA147" s="47" t="n">
        <f aca="false">MIN(Z147,Sorted!$G$7)</f>
        <v>0</v>
      </c>
      <c r="AB147" s="47" t="n">
        <v>0</v>
      </c>
      <c r="AC147" s="47" t="n">
        <f aca="false">ROUND(Z147-AA147-AB147,2)</f>
        <v>0</v>
      </c>
      <c r="AD147" s="47" t="n">
        <f aca="false">ROUND(AG146*(1+Sorted!$H$8),2)</f>
        <v>0</v>
      </c>
      <c r="AE147" s="47" t="n">
        <f aca="false">MIN(AD147,Sorted!$G$8)</f>
        <v>0</v>
      </c>
      <c r="AF147" s="47" t="n">
        <v>0</v>
      </c>
      <c r="AG147" s="47" t="n">
        <f aca="false">ROUND(AD147-AE147-AF147,2)</f>
        <v>0</v>
      </c>
      <c r="AH147" s="47" t="n">
        <f aca="false">ROUND(AK146*(1+Sorted!$H$9),2)</f>
        <v>0</v>
      </c>
      <c r="AI147" s="47" t="n">
        <f aca="false">MIN(AH147,Sorted!$G$9)</f>
        <v>0</v>
      </c>
      <c r="AJ147" s="47" t="n">
        <v>0</v>
      </c>
      <c r="AK147" s="47" t="n">
        <f aca="false">ROUND(AH147-AI147-AJ147,2)</f>
        <v>0</v>
      </c>
      <c r="AL147" s="47" t="n">
        <f aca="false">ROUND(AO146*(1+Sorted!$H$10),2)</f>
        <v>0</v>
      </c>
      <c r="AM147" s="47" t="n">
        <f aca="false">MIN(AL147,Sorted!$G$10)</f>
        <v>0</v>
      </c>
      <c r="AN147" s="47" t="n">
        <v>0</v>
      </c>
      <c r="AO147" s="47" t="n">
        <f aca="false">ROUND(AL147-AM147-AN147,2)</f>
        <v>0</v>
      </c>
      <c r="AP147" s="47" t="n">
        <f aca="false">ROUND(AS146*(1+Sorted!$H$11),2)</f>
        <v>0</v>
      </c>
      <c r="AQ147" s="47" t="n">
        <f aca="false">MIN(AP147,Sorted!$G$11)</f>
        <v>0</v>
      </c>
      <c r="AR147" s="47" t="n">
        <v>0</v>
      </c>
      <c r="AS147" s="47" t="n">
        <f aca="false">ROUND(AP147-AQ147-AR147,2)</f>
        <v>0</v>
      </c>
    </row>
    <row r="148" customFormat="false" ht="15" hidden="false" customHeight="false" outlineLevel="0" collapsed="false">
      <c r="A148" s="45" t="n">
        <v>145</v>
      </c>
      <c r="B148" s="46" t="n">
        <f aca="false">EDATE('My Debts'!$C$7,A148-1)</f>
        <v>50710</v>
      </c>
      <c r="C148" s="47" t="n">
        <v>0</v>
      </c>
      <c r="D148" s="47" t="n">
        <f aca="false">(F148+J148+N148+R148+V148+Z148+AD148+AH148+AL148+AP148)-(I148+M148+Q148+U148+Y148+AC148+AG148+AK148+AO148+AS148)</f>
        <v>0</v>
      </c>
      <c r="E148" s="48" t="n">
        <f aca="false">I148+M148+Q148+U148+Y148+AC148+AG148+AK148+AO148+AS148</f>
        <v>0</v>
      </c>
      <c r="F148" s="47" t="n">
        <f aca="false">ROUND(I147*(1+Sorted!$H$2),2)</f>
        <v>0</v>
      </c>
      <c r="G148" s="47" t="n">
        <f aca="false">MIN(F148,Sorted!$G$2)</f>
        <v>0</v>
      </c>
      <c r="H148" s="47" t="n">
        <v>0</v>
      </c>
      <c r="I148" s="47" t="n">
        <f aca="false">ROUND(F148-G148-H148,2)</f>
        <v>0</v>
      </c>
      <c r="J148" s="47" t="n">
        <f aca="false">ROUND(M147*(1+Sorted!$H$3),2)</f>
        <v>0</v>
      </c>
      <c r="K148" s="47" t="n">
        <f aca="false">MIN(J148,Sorted!$G$3)</f>
        <v>0</v>
      </c>
      <c r="L148" s="47" t="n">
        <v>0</v>
      </c>
      <c r="M148" s="47" t="n">
        <f aca="false">ROUND(J148-K148-L148,2)</f>
        <v>0</v>
      </c>
      <c r="N148" s="47" t="n">
        <f aca="false">ROUND(Q147*(1+Sorted!$H$4),2)</f>
        <v>0</v>
      </c>
      <c r="O148" s="47" t="n">
        <f aca="false">MIN(N148,Sorted!$G$4)</f>
        <v>0</v>
      </c>
      <c r="P148" s="47" t="n">
        <v>0</v>
      </c>
      <c r="Q148" s="47" t="n">
        <f aca="false">ROUND(N148-O148-P148,2)</f>
        <v>0</v>
      </c>
      <c r="R148" s="47" t="n">
        <f aca="false">ROUND(U147*(1+Sorted!$H$5),2)</f>
        <v>0</v>
      </c>
      <c r="S148" s="47" t="n">
        <f aca="false">MIN(R148,Sorted!$G$5)</f>
        <v>0</v>
      </c>
      <c r="T148" s="47" t="n">
        <v>0</v>
      </c>
      <c r="U148" s="47" t="n">
        <f aca="false">ROUND(R148-S148-T148,2)</f>
        <v>0</v>
      </c>
      <c r="V148" s="47" t="n">
        <f aca="false">ROUND(Y147*(1+Sorted!$H$6),2)</f>
        <v>0</v>
      </c>
      <c r="W148" s="47" t="n">
        <f aca="false">MIN(V148,Sorted!$G$6)</f>
        <v>0</v>
      </c>
      <c r="X148" s="47" t="n">
        <v>0</v>
      </c>
      <c r="Y148" s="47" t="n">
        <f aca="false">ROUND(V148-W148-X148,2)</f>
        <v>0</v>
      </c>
      <c r="Z148" s="47" t="n">
        <f aca="false">ROUND(AC147*(1+Sorted!$H$7),2)</f>
        <v>0</v>
      </c>
      <c r="AA148" s="47" t="n">
        <f aca="false">MIN(Z148,Sorted!$G$7)</f>
        <v>0</v>
      </c>
      <c r="AB148" s="47" t="n">
        <v>0</v>
      </c>
      <c r="AC148" s="47" t="n">
        <f aca="false">ROUND(Z148-AA148-AB148,2)</f>
        <v>0</v>
      </c>
      <c r="AD148" s="47" t="n">
        <f aca="false">ROUND(AG147*(1+Sorted!$H$8),2)</f>
        <v>0</v>
      </c>
      <c r="AE148" s="47" t="n">
        <f aca="false">MIN(AD148,Sorted!$G$8)</f>
        <v>0</v>
      </c>
      <c r="AF148" s="47" t="n">
        <v>0</v>
      </c>
      <c r="AG148" s="47" t="n">
        <f aca="false">ROUND(AD148-AE148-AF148,2)</f>
        <v>0</v>
      </c>
      <c r="AH148" s="47" t="n">
        <f aca="false">ROUND(AK147*(1+Sorted!$H$9),2)</f>
        <v>0</v>
      </c>
      <c r="AI148" s="47" t="n">
        <f aca="false">MIN(AH148,Sorted!$G$9)</f>
        <v>0</v>
      </c>
      <c r="AJ148" s="47" t="n">
        <v>0</v>
      </c>
      <c r="AK148" s="47" t="n">
        <f aca="false">ROUND(AH148-AI148-AJ148,2)</f>
        <v>0</v>
      </c>
      <c r="AL148" s="47" t="n">
        <f aca="false">ROUND(AO147*(1+Sorted!$H$10),2)</f>
        <v>0</v>
      </c>
      <c r="AM148" s="47" t="n">
        <f aca="false">MIN(AL148,Sorted!$G$10)</f>
        <v>0</v>
      </c>
      <c r="AN148" s="47" t="n">
        <v>0</v>
      </c>
      <c r="AO148" s="47" t="n">
        <f aca="false">ROUND(AL148-AM148-AN148,2)</f>
        <v>0</v>
      </c>
      <c r="AP148" s="47" t="n">
        <f aca="false">ROUND(AS147*(1+Sorted!$H$11),2)</f>
        <v>0</v>
      </c>
      <c r="AQ148" s="47" t="n">
        <f aca="false">MIN(AP148,Sorted!$G$11)</f>
        <v>0</v>
      </c>
      <c r="AR148" s="47" t="n">
        <v>0</v>
      </c>
      <c r="AS148" s="47" t="n">
        <f aca="false">ROUND(AP148-AQ148-AR148,2)</f>
        <v>0</v>
      </c>
    </row>
    <row r="149" customFormat="false" ht="15" hidden="false" customHeight="false" outlineLevel="0" collapsed="false">
      <c r="A149" s="45" t="n">
        <v>146</v>
      </c>
      <c r="B149" s="46" t="n">
        <f aca="false">EDATE('My Debts'!$C$7,A149-1)</f>
        <v>50740</v>
      </c>
      <c r="C149" s="47" t="n">
        <v>0</v>
      </c>
      <c r="D149" s="47" t="n">
        <f aca="false">(F149+J149+N149+R149+V149+Z149+AD149+AH149+AL149+AP149)-(I149+M149+Q149+U149+Y149+AC149+AG149+AK149+AO149+AS149)</f>
        <v>0</v>
      </c>
      <c r="E149" s="48" t="n">
        <f aca="false">I149+M149+Q149+U149+Y149+AC149+AG149+AK149+AO149+AS149</f>
        <v>0</v>
      </c>
      <c r="F149" s="47" t="n">
        <f aca="false">ROUND(I148*(1+Sorted!$H$2),2)</f>
        <v>0</v>
      </c>
      <c r="G149" s="47" t="n">
        <f aca="false">MIN(F149,Sorted!$G$2)</f>
        <v>0</v>
      </c>
      <c r="H149" s="47" t="n">
        <v>0</v>
      </c>
      <c r="I149" s="47" t="n">
        <f aca="false">ROUND(F149-G149-H149,2)</f>
        <v>0</v>
      </c>
      <c r="J149" s="47" t="n">
        <f aca="false">ROUND(M148*(1+Sorted!$H$3),2)</f>
        <v>0</v>
      </c>
      <c r="K149" s="47" t="n">
        <f aca="false">MIN(J149,Sorted!$G$3)</f>
        <v>0</v>
      </c>
      <c r="L149" s="47" t="n">
        <v>0</v>
      </c>
      <c r="M149" s="47" t="n">
        <f aca="false">ROUND(J149-K149-L149,2)</f>
        <v>0</v>
      </c>
      <c r="N149" s="47" t="n">
        <f aca="false">ROUND(Q148*(1+Sorted!$H$4),2)</f>
        <v>0</v>
      </c>
      <c r="O149" s="47" t="n">
        <f aca="false">MIN(N149,Sorted!$G$4)</f>
        <v>0</v>
      </c>
      <c r="P149" s="47" t="n">
        <v>0</v>
      </c>
      <c r="Q149" s="47" t="n">
        <f aca="false">ROUND(N149-O149-P149,2)</f>
        <v>0</v>
      </c>
      <c r="R149" s="47" t="n">
        <f aca="false">ROUND(U148*(1+Sorted!$H$5),2)</f>
        <v>0</v>
      </c>
      <c r="S149" s="47" t="n">
        <f aca="false">MIN(R149,Sorted!$G$5)</f>
        <v>0</v>
      </c>
      <c r="T149" s="47" t="n">
        <v>0</v>
      </c>
      <c r="U149" s="47" t="n">
        <f aca="false">ROUND(R149-S149-T149,2)</f>
        <v>0</v>
      </c>
      <c r="V149" s="47" t="n">
        <f aca="false">ROUND(Y148*(1+Sorted!$H$6),2)</f>
        <v>0</v>
      </c>
      <c r="W149" s="47" t="n">
        <f aca="false">MIN(V149,Sorted!$G$6)</f>
        <v>0</v>
      </c>
      <c r="X149" s="47" t="n">
        <v>0</v>
      </c>
      <c r="Y149" s="47" t="n">
        <f aca="false">ROUND(V149-W149-X149,2)</f>
        <v>0</v>
      </c>
      <c r="Z149" s="47" t="n">
        <f aca="false">ROUND(AC148*(1+Sorted!$H$7),2)</f>
        <v>0</v>
      </c>
      <c r="AA149" s="47" t="n">
        <f aca="false">MIN(Z149,Sorted!$G$7)</f>
        <v>0</v>
      </c>
      <c r="AB149" s="47" t="n">
        <v>0</v>
      </c>
      <c r="AC149" s="47" t="n">
        <f aca="false">ROUND(Z149-AA149-AB149,2)</f>
        <v>0</v>
      </c>
      <c r="AD149" s="47" t="n">
        <f aca="false">ROUND(AG148*(1+Sorted!$H$8),2)</f>
        <v>0</v>
      </c>
      <c r="AE149" s="47" t="n">
        <f aca="false">MIN(AD149,Sorted!$G$8)</f>
        <v>0</v>
      </c>
      <c r="AF149" s="47" t="n">
        <v>0</v>
      </c>
      <c r="AG149" s="47" t="n">
        <f aca="false">ROUND(AD149-AE149-AF149,2)</f>
        <v>0</v>
      </c>
      <c r="AH149" s="47" t="n">
        <f aca="false">ROUND(AK148*(1+Sorted!$H$9),2)</f>
        <v>0</v>
      </c>
      <c r="AI149" s="47" t="n">
        <f aca="false">MIN(AH149,Sorted!$G$9)</f>
        <v>0</v>
      </c>
      <c r="AJ149" s="47" t="n">
        <v>0</v>
      </c>
      <c r="AK149" s="47" t="n">
        <f aca="false">ROUND(AH149-AI149-AJ149,2)</f>
        <v>0</v>
      </c>
      <c r="AL149" s="47" t="n">
        <f aca="false">ROUND(AO148*(1+Sorted!$H$10),2)</f>
        <v>0</v>
      </c>
      <c r="AM149" s="47" t="n">
        <f aca="false">MIN(AL149,Sorted!$G$10)</f>
        <v>0</v>
      </c>
      <c r="AN149" s="47" t="n">
        <v>0</v>
      </c>
      <c r="AO149" s="47" t="n">
        <f aca="false">ROUND(AL149-AM149-AN149,2)</f>
        <v>0</v>
      </c>
      <c r="AP149" s="47" t="n">
        <f aca="false">ROUND(AS148*(1+Sorted!$H$11),2)</f>
        <v>0</v>
      </c>
      <c r="AQ149" s="47" t="n">
        <f aca="false">MIN(AP149,Sorted!$G$11)</f>
        <v>0</v>
      </c>
      <c r="AR149" s="47" t="n">
        <v>0</v>
      </c>
      <c r="AS149" s="47" t="n">
        <f aca="false">ROUND(AP149-AQ149-AR149,2)</f>
        <v>0</v>
      </c>
    </row>
    <row r="150" customFormat="false" ht="15" hidden="false" customHeight="false" outlineLevel="0" collapsed="false">
      <c r="A150" s="45" t="n">
        <v>147</v>
      </c>
      <c r="B150" s="46" t="n">
        <f aca="false">EDATE('My Debts'!$C$7,A150-1)</f>
        <v>50771</v>
      </c>
      <c r="C150" s="47" t="n">
        <v>0</v>
      </c>
      <c r="D150" s="47" t="n">
        <f aca="false">(F150+J150+N150+R150+V150+Z150+AD150+AH150+AL150+AP150)-(I150+M150+Q150+U150+Y150+AC150+AG150+AK150+AO150+AS150)</f>
        <v>0</v>
      </c>
      <c r="E150" s="48" t="n">
        <f aca="false">I150+M150+Q150+U150+Y150+AC150+AG150+AK150+AO150+AS150</f>
        <v>0</v>
      </c>
      <c r="F150" s="47" t="n">
        <f aca="false">ROUND(I149*(1+Sorted!$H$2),2)</f>
        <v>0</v>
      </c>
      <c r="G150" s="47" t="n">
        <f aca="false">MIN(F150,Sorted!$G$2)</f>
        <v>0</v>
      </c>
      <c r="H150" s="47" t="n">
        <v>0</v>
      </c>
      <c r="I150" s="47" t="n">
        <f aca="false">ROUND(F150-G150-H150,2)</f>
        <v>0</v>
      </c>
      <c r="J150" s="47" t="n">
        <f aca="false">ROUND(M149*(1+Sorted!$H$3),2)</f>
        <v>0</v>
      </c>
      <c r="K150" s="47" t="n">
        <f aca="false">MIN(J150,Sorted!$G$3)</f>
        <v>0</v>
      </c>
      <c r="L150" s="47" t="n">
        <v>0</v>
      </c>
      <c r="M150" s="47" t="n">
        <f aca="false">ROUND(J150-K150-L150,2)</f>
        <v>0</v>
      </c>
      <c r="N150" s="47" t="n">
        <f aca="false">ROUND(Q149*(1+Sorted!$H$4),2)</f>
        <v>0</v>
      </c>
      <c r="O150" s="47" t="n">
        <f aca="false">MIN(N150,Sorted!$G$4)</f>
        <v>0</v>
      </c>
      <c r="P150" s="47" t="n">
        <v>0</v>
      </c>
      <c r="Q150" s="47" t="n">
        <f aca="false">ROUND(N150-O150-P150,2)</f>
        <v>0</v>
      </c>
      <c r="R150" s="47" t="n">
        <f aca="false">ROUND(U149*(1+Sorted!$H$5),2)</f>
        <v>0</v>
      </c>
      <c r="S150" s="47" t="n">
        <f aca="false">MIN(R150,Sorted!$G$5)</f>
        <v>0</v>
      </c>
      <c r="T150" s="47" t="n">
        <v>0</v>
      </c>
      <c r="U150" s="47" t="n">
        <f aca="false">ROUND(R150-S150-T150,2)</f>
        <v>0</v>
      </c>
      <c r="V150" s="47" t="n">
        <f aca="false">ROUND(Y149*(1+Sorted!$H$6),2)</f>
        <v>0</v>
      </c>
      <c r="W150" s="47" t="n">
        <f aca="false">MIN(V150,Sorted!$G$6)</f>
        <v>0</v>
      </c>
      <c r="X150" s="47" t="n">
        <v>0</v>
      </c>
      <c r="Y150" s="47" t="n">
        <f aca="false">ROUND(V150-W150-X150,2)</f>
        <v>0</v>
      </c>
      <c r="Z150" s="47" t="n">
        <f aca="false">ROUND(AC149*(1+Sorted!$H$7),2)</f>
        <v>0</v>
      </c>
      <c r="AA150" s="47" t="n">
        <f aca="false">MIN(Z150,Sorted!$G$7)</f>
        <v>0</v>
      </c>
      <c r="AB150" s="47" t="n">
        <v>0</v>
      </c>
      <c r="AC150" s="47" t="n">
        <f aca="false">ROUND(Z150-AA150-AB150,2)</f>
        <v>0</v>
      </c>
      <c r="AD150" s="47" t="n">
        <f aca="false">ROUND(AG149*(1+Sorted!$H$8),2)</f>
        <v>0</v>
      </c>
      <c r="AE150" s="47" t="n">
        <f aca="false">MIN(AD150,Sorted!$G$8)</f>
        <v>0</v>
      </c>
      <c r="AF150" s="47" t="n">
        <v>0</v>
      </c>
      <c r="AG150" s="47" t="n">
        <f aca="false">ROUND(AD150-AE150-AF150,2)</f>
        <v>0</v>
      </c>
      <c r="AH150" s="47" t="n">
        <f aca="false">ROUND(AK149*(1+Sorted!$H$9),2)</f>
        <v>0</v>
      </c>
      <c r="AI150" s="47" t="n">
        <f aca="false">MIN(AH150,Sorted!$G$9)</f>
        <v>0</v>
      </c>
      <c r="AJ150" s="47" t="n">
        <v>0</v>
      </c>
      <c r="AK150" s="47" t="n">
        <f aca="false">ROUND(AH150-AI150-AJ150,2)</f>
        <v>0</v>
      </c>
      <c r="AL150" s="47" t="n">
        <f aca="false">ROUND(AO149*(1+Sorted!$H$10),2)</f>
        <v>0</v>
      </c>
      <c r="AM150" s="47" t="n">
        <f aca="false">MIN(AL150,Sorted!$G$10)</f>
        <v>0</v>
      </c>
      <c r="AN150" s="47" t="n">
        <v>0</v>
      </c>
      <c r="AO150" s="47" t="n">
        <f aca="false">ROUND(AL150-AM150-AN150,2)</f>
        <v>0</v>
      </c>
      <c r="AP150" s="47" t="n">
        <f aca="false">ROUND(AS149*(1+Sorted!$H$11),2)</f>
        <v>0</v>
      </c>
      <c r="AQ150" s="47" t="n">
        <f aca="false">MIN(AP150,Sorted!$G$11)</f>
        <v>0</v>
      </c>
      <c r="AR150" s="47" t="n">
        <v>0</v>
      </c>
      <c r="AS150" s="47" t="n">
        <f aca="false">ROUND(AP150-AQ150-AR150,2)</f>
        <v>0</v>
      </c>
    </row>
    <row r="151" customFormat="false" ht="15" hidden="false" customHeight="false" outlineLevel="0" collapsed="false">
      <c r="A151" s="45" t="n">
        <v>148</v>
      </c>
      <c r="B151" s="46" t="n">
        <f aca="false">EDATE('My Debts'!$C$7,A151-1)</f>
        <v>50802</v>
      </c>
      <c r="C151" s="47" t="n">
        <v>0</v>
      </c>
      <c r="D151" s="47" t="n">
        <f aca="false">(F151+J151+N151+R151+V151+Z151+AD151+AH151+AL151+AP151)-(I151+M151+Q151+U151+Y151+AC151+AG151+AK151+AO151+AS151)</f>
        <v>0</v>
      </c>
      <c r="E151" s="48" t="n">
        <f aca="false">I151+M151+Q151+U151+Y151+AC151+AG151+AK151+AO151+AS151</f>
        <v>0</v>
      </c>
      <c r="F151" s="47" t="n">
        <f aca="false">ROUND(I150*(1+Sorted!$H$2),2)</f>
        <v>0</v>
      </c>
      <c r="G151" s="47" t="n">
        <f aca="false">MIN(F151,Sorted!$G$2)</f>
        <v>0</v>
      </c>
      <c r="H151" s="47" t="n">
        <v>0</v>
      </c>
      <c r="I151" s="47" t="n">
        <f aca="false">ROUND(F151-G151-H151,2)</f>
        <v>0</v>
      </c>
      <c r="J151" s="47" t="n">
        <f aca="false">ROUND(M150*(1+Sorted!$H$3),2)</f>
        <v>0</v>
      </c>
      <c r="K151" s="47" t="n">
        <f aca="false">MIN(J151,Sorted!$G$3)</f>
        <v>0</v>
      </c>
      <c r="L151" s="47" t="n">
        <v>0</v>
      </c>
      <c r="M151" s="47" t="n">
        <f aca="false">ROUND(J151-K151-L151,2)</f>
        <v>0</v>
      </c>
      <c r="N151" s="47" t="n">
        <f aca="false">ROUND(Q150*(1+Sorted!$H$4),2)</f>
        <v>0</v>
      </c>
      <c r="O151" s="47" t="n">
        <f aca="false">MIN(N151,Sorted!$G$4)</f>
        <v>0</v>
      </c>
      <c r="P151" s="47" t="n">
        <v>0</v>
      </c>
      <c r="Q151" s="47" t="n">
        <f aca="false">ROUND(N151-O151-P151,2)</f>
        <v>0</v>
      </c>
      <c r="R151" s="47" t="n">
        <f aca="false">ROUND(U150*(1+Sorted!$H$5),2)</f>
        <v>0</v>
      </c>
      <c r="S151" s="47" t="n">
        <f aca="false">MIN(R151,Sorted!$G$5)</f>
        <v>0</v>
      </c>
      <c r="T151" s="47" t="n">
        <v>0</v>
      </c>
      <c r="U151" s="47" t="n">
        <f aca="false">ROUND(R151-S151-T151,2)</f>
        <v>0</v>
      </c>
      <c r="V151" s="47" t="n">
        <f aca="false">ROUND(Y150*(1+Sorted!$H$6),2)</f>
        <v>0</v>
      </c>
      <c r="W151" s="47" t="n">
        <f aca="false">MIN(V151,Sorted!$G$6)</f>
        <v>0</v>
      </c>
      <c r="X151" s="47" t="n">
        <v>0</v>
      </c>
      <c r="Y151" s="47" t="n">
        <f aca="false">ROUND(V151-W151-X151,2)</f>
        <v>0</v>
      </c>
      <c r="Z151" s="47" t="n">
        <f aca="false">ROUND(AC150*(1+Sorted!$H$7),2)</f>
        <v>0</v>
      </c>
      <c r="AA151" s="47" t="n">
        <f aca="false">MIN(Z151,Sorted!$G$7)</f>
        <v>0</v>
      </c>
      <c r="AB151" s="47" t="n">
        <v>0</v>
      </c>
      <c r="AC151" s="47" t="n">
        <f aca="false">ROUND(Z151-AA151-AB151,2)</f>
        <v>0</v>
      </c>
      <c r="AD151" s="47" t="n">
        <f aca="false">ROUND(AG150*(1+Sorted!$H$8),2)</f>
        <v>0</v>
      </c>
      <c r="AE151" s="47" t="n">
        <f aca="false">MIN(AD151,Sorted!$G$8)</f>
        <v>0</v>
      </c>
      <c r="AF151" s="47" t="n">
        <v>0</v>
      </c>
      <c r="AG151" s="47" t="n">
        <f aca="false">ROUND(AD151-AE151-AF151,2)</f>
        <v>0</v>
      </c>
      <c r="AH151" s="47" t="n">
        <f aca="false">ROUND(AK150*(1+Sorted!$H$9),2)</f>
        <v>0</v>
      </c>
      <c r="AI151" s="47" t="n">
        <f aca="false">MIN(AH151,Sorted!$G$9)</f>
        <v>0</v>
      </c>
      <c r="AJ151" s="47" t="n">
        <v>0</v>
      </c>
      <c r="AK151" s="47" t="n">
        <f aca="false">ROUND(AH151-AI151-AJ151,2)</f>
        <v>0</v>
      </c>
      <c r="AL151" s="47" t="n">
        <f aca="false">ROUND(AO150*(1+Sorted!$H$10),2)</f>
        <v>0</v>
      </c>
      <c r="AM151" s="47" t="n">
        <f aca="false">MIN(AL151,Sorted!$G$10)</f>
        <v>0</v>
      </c>
      <c r="AN151" s="47" t="n">
        <v>0</v>
      </c>
      <c r="AO151" s="47" t="n">
        <f aca="false">ROUND(AL151-AM151-AN151,2)</f>
        <v>0</v>
      </c>
      <c r="AP151" s="47" t="n">
        <f aca="false">ROUND(AS150*(1+Sorted!$H$11),2)</f>
        <v>0</v>
      </c>
      <c r="AQ151" s="47" t="n">
        <f aca="false">MIN(AP151,Sorted!$G$11)</f>
        <v>0</v>
      </c>
      <c r="AR151" s="47" t="n">
        <v>0</v>
      </c>
      <c r="AS151" s="47" t="n">
        <f aca="false">ROUND(AP151-AQ151-AR151,2)</f>
        <v>0</v>
      </c>
    </row>
    <row r="152" customFormat="false" ht="15" hidden="false" customHeight="false" outlineLevel="0" collapsed="false">
      <c r="A152" s="45" t="n">
        <v>149</v>
      </c>
      <c r="B152" s="46" t="n">
        <f aca="false">EDATE('My Debts'!$C$7,A152-1)</f>
        <v>50830</v>
      </c>
      <c r="C152" s="47" t="n">
        <v>0</v>
      </c>
      <c r="D152" s="47" t="n">
        <f aca="false">(F152+J152+N152+R152+V152+Z152+AD152+AH152+AL152+AP152)-(I152+M152+Q152+U152+Y152+AC152+AG152+AK152+AO152+AS152)</f>
        <v>0</v>
      </c>
      <c r="E152" s="48" t="n">
        <f aca="false">I152+M152+Q152+U152+Y152+AC152+AG152+AK152+AO152+AS152</f>
        <v>0</v>
      </c>
      <c r="F152" s="47" t="n">
        <f aca="false">ROUND(I151*(1+Sorted!$H$2),2)</f>
        <v>0</v>
      </c>
      <c r="G152" s="47" t="n">
        <f aca="false">MIN(F152,Sorted!$G$2)</f>
        <v>0</v>
      </c>
      <c r="H152" s="47" t="n">
        <v>0</v>
      </c>
      <c r="I152" s="47" t="n">
        <f aca="false">ROUND(F152-G152-H152,2)</f>
        <v>0</v>
      </c>
      <c r="J152" s="47" t="n">
        <f aca="false">ROUND(M151*(1+Sorted!$H$3),2)</f>
        <v>0</v>
      </c>
      <c r="K152" s="47" t="n">
        <f aca="false">MIN(J152,Sorted!$G$3)</f>
        <v>0</v>
      </c>
      <c r="L152" s="47" t="n">
        <v>0</v>
      </c>
      <c r="M152" s="47" t="n">
        <f aca="false">ROUND(J152-K152-L152,2)</f>
        <v>0</v>
      </c>
      <c r="N152" s="47" t="n">
        <f aca="false">ROUND(Q151*(1+Sorted!$H$4),2)</f>
        <v>0</v>
      </c>
      <c r="O152" s="47" t="n">
        <f aca="false">MIN(N152,Sorted!$G$4)</f>
        <v>0</v>
      </c>
      <c r="P152" s="47" t="n">
        <v>0</v>
      </c>
      <c r="Q152" s="47" t="n">
        <f aca="false">ROUND(N152-O152-P152,2)</f>
        <v>0</v>
      </c>
      <c r="R152" s="47" t="n">
        <f aca="false">ROUND(U151*(1+Sorted!$H$5),2)</f>
        <v>0</v>
      </c>
      <c r="S152" s="47" t="n">
        <f aca="false">MIN(R152,Sorted!$G$5)</f>
        <v>0</v>
      </c>
      <c r="T152" s="47" t="n">
        <v>0</v>
      </c>
      <c r="U152" s="47" t="n">
        <f aca="false">ROUND(R152-S152-T152,2)</f>
        <v>0</v>
      </c>
      <c r="V152" s="47" t="n">
        <f aca="false">ROUND(Y151*(1+Sorted!$H$6),2)</f>
        <v>0</v>
      </c>
      <c r="W152" s="47" t="n">
        <f aca="false">MIN(V152,Sorted!$G$6)</f>
        <v>0</v>
      </c>
      <c r="X152" s="47" t="n">
        <v>0</v>
      </c>
      <c r="Y152" s="47" t="n">
        <f aca="false">ROUND(V152-W152-X152,2)</f>
        <v>0</v>
      </c>
      <c r="Z152" s="47" t="n">
        <f aca="false">ROUND(AC151*(1+Sorted!$H$7),2)</f>
        <v>0</v>
      </c>
      <c r="AA152" s="47" t="n">
        <f aca="false">MIN(Z152,Sorted!$G$7)</f>
        <v>0</v>
      </c>
      <c r="AB152" s="47" t="n">
        <v>0</v>
      </c>
      <c r="AC152" s="47" t="n">
        <f aca="false">ROUND(Z152-AA152-AB152,2)</f>
        <v>0</v>
      </c>
      <c r="AD152" s="47" t="n">
        <f aca="false">ROUND(AG151*(1+Sorted!$H$8),2)</f>
        <v>0</v>
      </c>
      <c r="AE152" s="47" t="n">
        <f aca="false">MIN(AD152,Sorted!$G$8)</f>
        <v>0</v>
      </c>
      <c r="AF152" s="47" t="n">
        <v>0</v>
      </c>
      <c r="AG152" s="47" t="n">
        <f aca="false">ROUND(AD152-AE152-AF152,2)</f>
        <v>0</v>
      </c>
      <c r="AH152" s="47" t="n">
        <f aca="false">ROUND(AK151*(1+Sorted!$H$9),2)</f>
        <v>0</v>
      </c>
      <c r="AI152" s="47" t="n">
        <f aca="false">MIN(AH152,Sorted!$G$9)</f>
        <v>0</v>
      </c>
      <c r="AJ152" s="47" t="n">
        <v>0</v>
      </c>
      <c r="AK152" s="47" t="n">
        <f aca="false">ROUND(AH152-AI152-AJ152,2)</f>
        <v>0</v>
      </c>
      <c r="AL152" s="47" t="n">
        <f aca="false">ROUND(AO151*(1+Sorted!$H$10),2)</f>
        <v>0</v>
      </c>
      <c r="AM152" s="47" t="n">
        <f aca="false">MIN(AL152,Sorted!$G$10)</f>
        <v>0</v>
      </c>
      <c r="AN152" s="47" t="n">
        <v>0</v>
      </c>
      <c r="AO152" s="47" t="n">
        <f aca="false">ROUND(AL152-AM152-AN152,2)</f>
        <v>0</v>
      </c>
      <c r="AP152" s="47" t="n">
        <f aca="false">ROUND(AS151*(1+Sorted!$H$11),2)</f>
        <v>0</v>
      </c>
      <c r="AQ152" s="47" t="n">
        <f aca="false">MIN(AP152,Sorted!$G$11)</f>
        <v>0</v>
      </c>
      <c r="AR152" s="47" t="n">
        <v>0</v>
      </c>
      <c r="AS152" s="47" t="n">
        <f aca="false">ROUND(AP152-AQ152-AR152,2)</f>
        <v>0</v>
      </c>
    </row>
    <row r="153" customFormat="false" ht="15" hidden="false" customHeight="false" outlineLevel="0" collapsed="false">
      <c r="A153" s="45" t="n">
        <v>150</v>
      </c>
      <c r="B153" s="46" t="n">
        <f aca="false">EDATE('My Debts'!$C$7,A153-1)</f>
        <v>50861</v>
      </c>
      <c r="C153" s="47" t="n">
        <v>0</v>
      </c>
      <c r="D153" s="47" t="n">
        <f aca="false">(F153+J153+N153+R153+V153+Z153+AD153+AH153+AL153+AP153)-(I153+M153+Q153+U153+Y153+AC153+AG153+AK153+AO153+AS153)</f>
        <v>0</v>
      </c>
      <c r="E153" s="48" t="n">
        <f aca="false">I153+M153+Q153+U153+Y153+AC153+AG153+AK153+AO153+AS153</f>
        <v>0</v>
      </c>
      <c r="F153" s="47" t="n">
        <f aca="false">ROUND(I152*(1+Sorted!$H$2),2)</f>
        <v>0</v>
      </c>
      <c r="G153" s="47" t="n">
        <f aca="false">MIN(F153,Sorted!$G$2)</f>
        <v>0</v>
      </c>
      <c r="H153" s="47" t="n">
        <v>0</v>
      </c>
      <c r="I153" s="47" t="n">
        <f aca="false">ROUND(F153-G153-H153,2)</f>
        <v>0</v>
      </c>
      <c r="J153" s="47" t="n">
        <f aca="false">ROUND(M152*(1+Sorted!$H$3),2)</f>
        <v>0</v>
      </c>
      <c r="K153" s="47" t="n">
        <f aca="false">MIN(J153,Sorted!$G$3)</f>
        <v>0</v>
      </c>
      <c r="L153" s="47" t="n">
        <v>0</v>
      </c>
      <c r="M153" s="47" t="n">
        <f aca="false">ROUND(J153-K153-L153,2)</f>
        <v>0</v>
      </c>
      <c r="N153" s="47" t="n">
        <f aca="false">ROUND(Q152*(1+Sorted!$H$4),2)</f>
        <v>0</v>
      </c>
      <c r="O153" s="47" t="n">
        <f aca="false">MIN(N153,Sorted!$G$4)</f>
        <v>0</v>
      </c>
      <c r="P153" s="47" t="n">
        <v>0</v>
      </c>
      <c r="Q153" s="47" t="n">
        <f aca="false">ROUND(N153-O153-P153,2)</f>
        <v>0</v>
      </c>
      <c r="R153" s="47" t="n">
        <f aca="false">ROUND(U152*(1+Sorted!$H$5),2)</f>
        <v>0</v>
      </c>
      <c r="S153" s="47" t="n">
        <f aca="false">MIN(R153,Sorted!$G$5)</f>
        <v>0</v>
      </c>
      <c r="T153" s="47" t="n">
        <v>0</v>
      </c>
      <c r="U153" s="47" t="n">
        <f aca="false">ROUND(R153-S153-T153,2)</f>
        <v>0</v>
      </c>
      <c r="V153" s="47" t="n">
        <f aca="false">ROUND(Y152*(1+Sorted!$H$6),2)</f>
        <v>0</v>
      </c>
      <c r="W153" s="47" t="n">
        <f aca="false">MIN(V153,Sorted!$G$6)</f>
        <v>0</v>
      </c>
      <c r="X153" s="47" t="n">
        <v>0</v>
      </c>
      <c r="Y153" s="47" t="n">
        <f aca="false">ROUND(V153-W153-X153,2)</f>
        <v>0</v>
      </c>
      <c r="Z153" s="47" t="n">
        <f aca="false">ROUND(AC152*(1+Sorted!$H$7),2)</f>
        <v>0</v>
      </c>
      <c r="AA153" s="47" t="n">
        <f aca="false">MIN(Z153,Sorted!$G$7)</f>
        <v>0</v>
      </c>
      <c r="AB153" s="47" t="n">
        <v>0</v>
      </c>
      <c r="AC153" s="47" t="n">
        <f aca="false">ROUND(Z153-AA153-AB153,2)</f>
        <v>0</v>
      </c>
      <c r="AD153" s="47" t="n">
        <f aca="false">ROUND(AG152*(1+Sorted!$H$8),2)</f>
        <v>0</v>
      </c>
      <c r="AE153" s="47" t="n">
        <f aca="false">MIN(AD153,Sorted!$G$8)</f>
        <v>0</v>
      </c>
      <c r="AF153" s="47" t="n">
        <v>0</v>
      </c>
      <c r="AG153" s="47" t="n">
        <f aca="false">ROUND(AD153-AE153-AF153,2)</f>
        <v>0</v>
      </c>
      <c r="AH153" s="47" t="n">
        <f aca="false">ROUND(AK152*(1+Sorted!$H$9),2)</f>
        <v>0</v>
      </c>
      <c r="AI153" s="47" t="n">
        <f aca="false">MIN(AH153,Sorted!$G$9)</f>
        <v>0</v>
      </c>
      <c r="AJ153" s="47" t="n">
        <v>0</v>
      </c>
      <c r="AK153" s="47" t="n">
        <f aca="false">ROUND(AH153-AI153-AJ153,2)</f>
        <v>0</v>
      </c>
      <c r="AL153" s="47" t="n">
        <f aca="false">ROUND(AO152*(1+Sorted!$H$10),2)</f>
        <v>0</v>
      </c>
      <c r="AM153" s="47" t="n">
        <f aca="false">MIN(AL153,Sorted!$G$10)</f>
        <v>0</v>
      </c>
      <c r="AN153" s="47" t="n">
        <v>0</v>
      </c>
      <c r="AO153" s="47" t="n">
        <f aca="false">ROUND(AL153-AM153-AN153,2)</f>
        <v>0</v>
      </c>
      <c r="AP153" s="47" t="n">
        <f aca="false">ROUND(AS152*(1+Sorted!$H$11),2)</f>
        <v>0</v>
      </c>
      <c r="AQ153" s="47" t="n">
        <f aca="false">MIN(AP153,Sorted!$G$11)</f>
        <v>0</v>
      </c>
      <c r="AR153" s="47" t="n">
        <v>0</v>
      </c>
      <c r="AS153" s="47" t="n">
        <f aca="false">ROUND(AP153-AQ153-AR153,2)</f>
        <v>0</v>
      </c>
    </row>
    <row r="154" customFormat="false" ht="15" hidden="false" customHeight="false" outlineLevel="0" collapsed="false">
      <c r="A154" s="45" t="n">
        <v>151</v>
      </c>
      <c r="B154" s="46" t="n">
        <f aca="false">EDATE('My Debts'!$C$7,A154-1)</f>
        <v>50891</v>
      </c>
      <c r="C154" s="47" t="n">
        <v>0</v>
      </c>
      <c r="D154" s="47" t="n">
        <f aca="false">(F154+J154+N154+R154+V154+Z154+AD154+AH154+AL154+AP154)-(I154+M154+Q154+U154+Y154+AC154+AG154+AK154+AO154+AS154)</f>
        <v>0</v>
      </c>
      <c r="E154" s="48" t="n">
        <f aca="false">I154+M154+Q154+U154+Y154+AC154+AG154+AK154+AO154+AS154</f>
        <v>0</v>
      </c>
      <c r="F154" s="47" t="n">
        <f aca="false">ROUND(I153*(1+Sorted!$H$2),2)</f>
        <v>0</v>
      </c>
      <c r="G154" s="47" t="n">
        <f aca="false">MIN(F154,Sorted!$G$2)</f>
        <v>0</v>
      </c>
      <c r="H154" s="47" t="n">
        <v>0</v>
      </c>
      <c r="I154" s="47" t="n">
        <f aca="false">ROUND(F154-G154-H154,2)</f>
        <v>0</v>
      </c>
      <c r="J154" s="47" t="n">
        <f aca="false">ROUND(M153*(1+Sorted!$H$3),2)</f>
        <v>0</v>
      </c>
      <c r="K154" s="47" t="n">
        <f aca="false">MIN(J154,Sorted!$G$3)</f>
        <v>0</v>
      </c>
      <c r="L154" s="47" t="n">
        <v>0</v>
      </c>
      <c r="M154" s="47" t="n">
        <f aca="false">ROUND(J154-K154-L154,2)</f>
        <v>0</v>
      </c>
      <c r="N154" s="47" t="n">
        <f aca="false">ROUND(Q153*(1+Sorted!$H$4),2)</f>
        <v>0</v>
      </c>
      <c r="O154" s="47" t="n">
        <f aca="false">MIN(N154,Sorted!$G$4)</f>
        <v>0</v>
      </c>
      <c r="P154" s="47" t="n">
        <v>0</v>
      </c>
      <c r="Q154" s="47" t="n">
        <f aca="false">ROUND(N154-O154-P154,2)</f>
        <v>0</v>
      </c>
      <c r="R154" s="47" t="n">
        <f aca="false">ROUND(U153*(1+Sorted!$H$5),2)</f>
        <v>0</v>
      </c>
      <c r="S154" s="47" t="n">
        <f aca="false">MIN(R154,Sorted!$G$5)</f>
        <v>0</v>
      </c>
      <c r="T154" s="47" t="n">
        <v>0</v>
      </c>
      <c r="U154" s="47" t="n">
        <f aca="false">ROUND(R154-S154-T154,2)</f>
        <v>0</v>
      </c>
      <c r="V154" s="47" t="n">
        <f aca="false">ROUND(Y153*(1+Sorted!$H$6),2)</f>
        <v>0</v>
      </c>
      <c r="W154" s="47" t="n">
        <f aca="false">MIN(V154,Sorted!$G$6)</f>
        <v>0</v>
      </c>
      <c r="X154" s="47" t="n">
        <v>0</v>
      </c>
      <c r="Y154" s="47" t="n">
        <f aca="false">ROUND(V154-W154-X154,2)</f>
        <v>0</v>
      </c>
      <c r="Z154" s="47" t="n">
        <f aca="false">ROUND(AC153*(1+Sorted!$H$7),2)</f>
        <v>0</v>
      </c>
      <c r="AA154" s="47" t="n">
        <f aca="false">MIN(Z154,Sorted!$G$7)</f>
        <v>0</v>
      </c>
      <c r="AB154" s="47" t="n">
        <v>0</v>
      </c>
      <c r="AC154" s="47" t="n">
        <f aca="false">ROUND(Z154-AA154-AB154,2)</f>
        <v>0</v>
      </c>
      <c r="AD154" s="47" t="n">
        <f aca="false">ROUND(AG153*(1+Sorted!$H$8),2)</f>
        <v>0</v>
      </c>
      <c r="AE154" s="47" t="n">
        <f aca="false">MIN(AD154,Sorted!$G$8)</f>
        <v>0</v>
      </c>
      <c r="AF154" s="47" t="n">
        <v>0</v>
      </c>
      <c r="AG154" s="47" t="n">
        <f aca="false">ROUND(AD154-AE154-AF154,2)</f>
        <v>0</v>
      </c>
      <c r="AH154" s="47" t="n">
        <f aca="false">ROUND(AK153*(1+Sorted!$H$9),2)</f>
        <v>0</v>
      </c>
      <c r="AI154" s="47" t="n">
        <f aca="false">MIN(AH154,Sorted!$G$9)</f>
        <v>0</v>
      </c>
      <c r="AJ154" s="47" t="n">
        <v>0</v>
      </c>
      <c r="AK154" s="47" t="n">
        <f aca="false">ROUND(AH154-AI154-AJ154,2)</f>
        <v>0</v>
      </c>
      <c r="AL154" s="47" t="n">
        <f aca="false">ROUND(AO153*(1+Sorted!$H$10),2)</f>
        <v>0</v>
      </c>
      <c r="AM154" s="47" t="n">
        <f aca="false">MIN(AL154,Sorted!$G$10)</f>
        <v>0</v>
      </c>
      <c r="AN154" s="47" t="n">
        <v>0</v>
      </c>
      <c r="AO154" s="47" t="n">
        <f aca="false">ROUND(AL154-AM154-AN154,2)</f>
        <v>0</v>
      </c>
      <c r="AP154" s="47" t="n">
        <f aca="false">ROUND(AS153*(1+Sorted!$H$11),2)</f>
        <v>0</v>
      </c>
      <c r="AQ154" s="47" t="n">
        <f aca="false">MIN(AP154,Sorted!$G$11)</f>
        <v>0</v>
      </c>
      <c r="AR154" s="47" t="n">
        <v>0</v>
      </c>
      <c r="AS154" s="47" t="n">
        <f aca="false">ROUND(AP154-AQ154-AR154,2)</f>
        <v>0</v>
      </c>
    </row>
    <row r="155" customFormat="false" ht="15" hidden="false" customHeight="false" outlineLevel="0" collapsed="false">
      <c r="A155" s="45" t="n">
        <v>152</v>
      </c>
      <c r="B155" s="46" t="n">
        <f aca="false">EDATE('My Debts'!$C$7,A155-1)</f>
        <v>50922</v>
      </c>
      <c r="C155" s="47" t="n">
        <v>0</v>
      </c>
      <c r="D155" s="47" t="n">
        <f aca="false">(F155+J155+N155+R155+V155+Z155+AD155+AH155+AL155+AP155)-(I155+M155+Q155+U155+Y155+AC155+AG155+AK155+AO155+AS155)</f>
        <v>0</v>
      </c>
      <c r="E155" s="48" t="n">
        <f aca="false">I155+M155+Q155+U155+Y155+AC155+AG155+AK155+AO155+AS155</f>
        <v>0</v>
      </c>
      <c r="F155" s="47" t="n">
        <f aca="false">ROUND(I154*(1+Sorted!$H$2),2)</f>
        <v>0</v>
      </c>
      <c r="G155" s="47" t="n">
        <f aca="false">MIN(F155,Sorted!$G$2)</f>
        <v>0</v>
      </c>
      <c r="H155" s="47" t="n">
        <v>0</v>
      </c>
      <c r="I155" s="47" t="n">
        <f aca="false">ROUND(F155-G155-H155,2)</f>
        <v>0</v>
      </c>
      <c r="J155" s="47" t="n">
        <f aca="false">ROUND(M154*(1+Sorted!$H$3),2)</f>
        <v>0</v>
      </c>
      <c r="K155" s="47" t="n">
        <f aca="false">MIN(J155,Sorted!$G$3)</f>
        <v>0</v>
      </c>
      <c r="L155" s="47" t="n">
        <v>0</v>
      </c>
      <c r="M155" s="47" t="n">
        <f aca="false">ROUND(J155-K155-L155,2)</f>
        <v>0</v>
      </c>
      <c r="N155" s="47" t="n">
        <f aca="false">ROUND(Q154*(1+Sorted!$H$4),2)</f>
        <v>0</v>
      </c>
      <c r="O155" s="47" t="n">
        <f aca="false">MIN(N155,Sorted!$G$4)</f>
        <v>0</v>
      </c>
      <c r="P155" s="47" t="n">
        <v>0</v>
      </c>
      <c r="Q155" s="47" t="n">
        <f aca="false">ROUND(N155-O155-P155,2)</f>
        <v>0</v>
      </c>
      <c r="R155" s="47" t="n">
        <f aca="false">ROUND(U154*(1+Sorted!$H$5),2)</f>
        <v>0</v>
      </c>
      <c r="S155" s="47" t="n">
        <f aca="false">MIN(R155,Sorted!$G$5)</f>
        <v>0</v>
      </c>
      <c r="T155" s="47" t="n">
        <v>0</v>
      </c>
      <c r="U155" s="47" t="n">
        <f aca="false">ROUND(R155-S155-T155,2)</f>
        <v>0</v>
      </c>
      <c r="V155" s="47" t="n">
        <f aca="false">ROUND(Y154*(1+Sorted!$H$6),2)</f>
        <v>0</v>
      </c>
      <c r="W155" s="47" t="n">
        <f aca="false">MIN(V155,Sorted!$G$6)</f>
        <v>0</v>
      </c>
      <c r="X155" s="47" t="n">
        <v>0</v>
      </c>
      <c r="Y155" s="47" t="n">
        <f aca="false">ROUND(V155-W155-X155,2)</f>
        <v>0</v>
      </c>
      <c r="Z155" s="47" t="n">
        <f aca="false">ROUND(AC154*(1+Sorted!$H$7),2)</f>
        <v>0</v>
      </c>
      <c r="AA155" s="47" t="n">
        <f aca="false">MIN(Z155,Sorted!$G$7)</f>
        <v>0</v>
      </c>
      <c r="AB155" s="47" t="n">
        <v>0</v>
      </c>
      <c r="AC155" s="47" t="n">
        <f aca="false">ROUND(Z155-AA155-AB155,2)</f>
        <v>0</v>
      </c>
      <c r="AD155" s="47" t="n">
        <f aca="false">ROUND(AG154*(1+Sorted!$H$8),2)</f>
        <v>0</v>
      </c>
      <c r="AE155" s="47" t="n">
        <f aca="false">MIN(AD155,Sorted!$G$8)</f>
        <v>0</v>
      </c>
      <c r="AF155" s="47" t="n">
        <v>0</v>
      </c>
      <c r="AG155" s="47" t="n">
        <f aca="false">ROUND(AD155-AE155-AF155,2)</f>
        <v>0</v>
      </c>
      <c r="AH155" s="47" t="n">
        <f aca="false">ROUND(AK154*(1+Sorted!$H$9),2)</f>
        <v>0</v>
      </c>
      <c r="AI155" s="47" t="n">
        <f aca="false">MIN(AH155,Sorted!$G$9)</f>
        <v>0</v>
      </c>
      <c r="AJ155" s="47" t="n">
        <v>0</v>
      </c>
      <c r="AK155" s="47" t="n">
        <f aca="false">ROUND(AH155-AI155-AJ155,2)</f>
        <v>0</v>
      </c>
      <c r="AL155" s="47" t="n">
        <f aca="false">ROUND(AO154*(1+Sorted!$H$10),2)</f>
        <v>0</v>
      </c>
      <c r="AM155" s="47" t="n">
        <f aca="false">MIN(AL155,Sorted!$G$10)</f>
        <v>0</v>
      </c>
      <c r="AN155" s="47" t="n">
        <v>0</v>
      </c>
      <c r="AO155" s="47" t="n">
        <f aca="false">ROUND(AL155-AM155-AN155,2)</f>
        <v>0</v>
      </c>
      <c r="AP155" s="47" t="n">
        <f aca="false">ROUND(AS154*(1+Sorted!$H$11),2)</f>
        <v>0</v>
      </c>
      <c r="AQ155" s="47" t="n">
        <f aca="false">MIN(AP155,Sorted!$G$11)</f>
        <v>0</v>
      </c>
      <c r="AR155" s="47" t="n">
        <v>0</v>
      </c>
      <c r="AS155" s="47" t="n">
        <f aca="false">ROUND(AP155-AQ155-AR155,2)</f>
        <v>0</v>
      </c>
    </row>
    <row r="156" customFormat="false" ht="15" hidden="false" customHeight="false" outlineLevel="0" collapsed="false">
      <c r="A156" s="45" t="n">
        <v>153</v>
      </c>
      <c r="B156" s="46" t="n">
        <f aca="false">EDATE('My Debts'!$C$7,A156-1)</f>
        <v>50952</v>
      </c>
      <c r="C156" s="47" t="n">
        <v>0</v>
      </c>
      <c r="D156" s="47" t="n">
        <f aca="false">(F156+J156+N156+R156+V156+Z156+AD156+AH156+AL156+AP156)-(I156+M156+Q156+U156+Y156+AC156+AG156+AK156+AO156+AS156)</f>
        <v>0</v>
      </c>
      <c r="E156" s="48" t="n">
        <f aca="false">I156+M156+Q156+U156+Y156+AC156+AG156+AK156+AO156+AS156</f>
        <v>0</v>
      </c>
      <c r="F156" s="47" t="n">
        <f aca="false">ROUND(I155*(1+Sorted!$H$2),2)</f>
        <v>0</v>
      </c>
      <c r="G156" s="47" t="n">
        <f aca="false">MIN(F156,Sorted!$G$2)</f>
        <v>0</v>
      </c>
      <c r="H156" s="47" t="n">
        <v>0</v>
      </c>
      <c r="I156" s="47" t="n">
        <f aca="false">ROUND(F156-G156-H156,2)</f>
        <v>0</v>
      </c>
      <c r="J156" s="47" t="n">
        <f aca="false">ROUND(M155*(1+Sorted!$H$3),2)</f>
        <v>0</v>
      </c>
      <c r="K156" s="47" t="n">
        <f aca="false">MIN(J156,Sorted!$G$3)</f>
        <v>0</v>
      </c>
      <c r="L156" s="47" t="n">
        <v>0</v>
      </c>
      <c r="M156" s="47" t="n">
        <f aca="false">ROUND(J156-K156-L156,2)</f>
        <v>0</v>
      </c>
      <c r="N156" s="47" t="n">
        <f aca="false">ROUND(Q155*(1+Sorted!$H$4),2)</f>
        <v>0</v>
      </c>
      <c r="O156" s="47" t="n">
        <f aca="false">MIN(N156,Sorted!$G$4)</f>
        <v>0</v>
      </c>
      <c r="P156" s="47" t="n">
        <v>0</v>
      </c>
      <c r="Q156" s="47" t="n">
        <f aca="false">ROUND(N156-O156-P156,2)</f>
        <v>0</v>
      </c>
      <c r="R156" s="47" t="n">
        <f aca="false">ROUND(U155*(1+Sorted!$H$5),2)</f>
        <v>0</v>
      </c>
      <c r="S156" s="47" t="n">
        <f aca="false">MIN(R156,Sorted!$G$5)</f>
        <v>0</v>
      </c>
      <c r="T156" s="47" t="n">
        <v>0</v>
      </c>
      <c r="U156" s="47" t="n">
        <f aca="false">ROUND(R156-S156-T156,2)</f>
        <v>0</v>
      </c>
      <c r="V156" s="47" t="n">
        <f aca="false">ROUND(Y155*(1+Sorted!$H$6),2)</f>
        <v>0</v>
      </c>
      <c r="W156" s="47" t="n">
        <f aca="false">MIN(V156,Sorted!$G$6)</f>
        <v>0</v>
      </c>
      <c r="X156" s="47" t="n">
        <v>0</v>
      </c>
      <c r="Y156" s="47" t="n">
        <f aca="false">ROUND(V156-W156-X156,2)</f>
        <v>0</v>
      </c>
      <c r="Z156" s="47" t="n">
        <f aca="false">ROUND(AC155*(1+Sorted!$H$7),2)</f>
        <v>0</v>
      </c>
      <c r="AA156" s="47" t="n">
        <f aca="false">MIN(Z156,Sorted!$G$7)</f>
        <v>0</v>
      </c>
      <c r="AB156" s="47" t="n">
        <v>0</v>
      </c>
      <c r="AC156" s="47" t="n">
        <f aca="false">ROUND(Z156-AA156-AB156,2)</f>
        <v>0</v>
      </c>
      <c r="AD156" s="47" t="n">
        <f aca="false">ROUND(AG155*(1+Sorted!$H$8),2)</f>
        <v>0</v>
      </c>
      <c r="AE156" s="47" t="n">
        <f aca="false">MIN(AD156,Sorted!$G$8)</f>
        <v>0</v>
      </c>
      <c r="AF156" s="47" t="n">
        <v>0</v>
      </c>
      <c r="AG156" s="47" t="n">
        <f aca="false">ROUND(AD156-AE156-AF156,2)</f>
        <v>0</v>
      </c>
      <c r="AH156" s="47" t="n">
        <f aca="false">ROUND(AK155*(1+Sorted!$H$9),2)</f>
        <v>0</v>
      </c>
      <c r="AI156" s="47" t="n">
        <f aca="false">MIN(AH156,Sorted!$G$9)</f>
        <v>0</v>
      </c>
      <c r="AJ156" s="47" t="n">
        <v>0</v>
      </c>
      <c r="AK156" s="47" t="n">
        <f aca="false">ROUND(AH156-AI156-AJ156,2)</f>
        <v>0</v>
      </c>
      <c r="AL156" s="47" t="n">
        <f aca="false">ROUND(AO155*(1+Sorted!$H$10),2)</f>
        <v>0</v>
      </c>
      <c r="AM156" s="47" t="n">
        <f aca="false">MIN(AL156,Sorted!$G$10)</f>
        <v>0</v>
      </c>
      <c r="AN156" s="47" t="n">
        <v>0</v>
      </c>
      <c r="AO156" s="47" t="n">
        <f aca="false">ROUND(AL156-AM156-AN156,2)</f>
        <v>0</v>
      </c>
      <c r="AP156" s="47" t="n">
        <f aca="false">ROUND(AS155*(1+Sorted!$H$11),2)</f>
        <v>0</v>
      </c>
      <c r="AQ156" s="47" t="n">
        <f aca="false">MIN(AP156,Sorted!$G$11)</f>
        <v>0</v>
      </c>
      <c r="AR156" s="47" t="n">
        <v>0</v>
      </c>
      <c r="AS156" s="47" t="n">
        <f aca="false">ROUND(AP156-AQ156-AR156,2)</f>
        <v>0</v>
      </c>
    </row>
    <row r="157" customFormat="false" ht="15" hidden="false" customHeight="false" outlineLevel="0" collapsed="false">
      <c r="A157" s="45" t="n">
        <v>154</v>
      </c>
      <c r="B157" s="46" t="n">
        <f aca="false">EDATE('My Debts'!$C$7,A157-1)</f>
        <v>50983</v>
      </c>
      <c r="C157" s="47" t="n">
        <v>0</v>
      </c>
      <c r="D157" s="47" t="n">
        <f aca="false">(F157+J157+N157+R157+V157+Z157+AD157+AH157+AL157+AP157)-(I157+M157+Q157+U157+Y157+AC157+AG157+AK157+AO157+AS157)</f>
        <v>0</v>
      </c>
      <c r="E157" s="48" t="n">
        <f aca="false">I157+M157+Q157+U157+Y157+AC157+AG157+AK157+AO157+AS157</f>
        <v>0</v>
      </c>
      <c r="F157" s="47" t="n">
        <f aca="false">ROUND(I156*(1+Sorted!$H$2),2)</f>
        <v>0</v>
      </c>
      <c r="G157" s="47" t="n">
        <f aca="false">MIN(F157,Sorted!$G$2)</f>
        <v>0</v>
      </c>
      <c r="H157" s="47" t="n">
        <v>0</v>
      </c>
      <c r="I157" s="47" t="n">
        <f aca="false">ROUND(F157-G157-H157,2)</f>
        <v>0</v>
      </c>
      <c r="J157" s="47" t="n">
        <f aca="false">ROUND(M156*(1+Sorted!$H$3),2)</f>
        <v>0</v>
      </c>
      <c r="K157" s="47" t="n">
        <f aca="false">MIN(J157,Sorted!$G$3)</f>
        <v>0</v>
      </c>
      <c r="L157" s="47" t="n">
        <v>0</v>
      </c>
      <c r="M157" s="47" t="n">
        <f aca="false">ROUND(J157-K157-L157,2)</f>
        <v>0</v>
      </c>
      <c r="N157" s="47" t="n">
        <f aca="false">ROUND(Q156*(1+Sorted!$H$4),2)</f>
        <v>0</v>
      </c>
      <c r="O157" s="47" t="n">
        <f aca="false">MIN(N157,Sorted!$G$4)</f>
        <v>0</v>
      </c>
      <c r="P157" s="47" t="n">
        <v>0</v>
      </c>
      <c r="Q157" s="47" t="n">
        <f aca="false">ROUND(N157-O157-P157,2)</f>
        <v>0</v>
      </c>
      <c r="R157" s="47" t="n">
        <f aca="false">ROUND(U156*(1+Sorted!$H$5),2)</f>
        <v>0</v>
      </c>
      <c r="S157" s="47" t="n">
        <f aca="false">MIN(R157,Sorted!$G$5)</f>
        <v>0</v>
      </c>
      <c r="T157" s="47" t="n">
        <v>0</v>
      </c>
      <c r="U157" s="47" t="n">
        <f aca="false">ROUND(R157-S157-T157,2)</f>
        <v>0</v>
      </c>
      <c r="V157" s="47" t="n">
        <f aca="false">ROUND(Y156*(1+Sorted!$H$6),2)</f>
        <v>0</v>
      </c>
      <c r="W157" s="47" t="n">
        <f aca="false">MIN(V157,Sorted!$G$6)</f>
        <v>0</v>
      </c>
      <c r="X157" s="47" t="n">
        <v>0</v>
      </c>
      <c r="Y157" s="47" t="n">
        <f aca="false">ROUND(V157-W157-X157,2)</f>
        <v>0</v>
      </c>
      <c r="Z157" s="47" t="n">
        <f aca="false">ROUND(AC156*(1+Sorted!$H$7),2)</f>
        <v>0</v>
      </c>
      <c r="AA157" s="47" t="n">
        <f aca="false">MIN(Z157,Sorted!$G$7)</f>
        <v>0</v>
      </c>
      <c r="AB157" s="47" t="n">
        <v>0</v>
      </c>
      <c r="AC157" s="47" t="n">
        <f aca="false">ROUND(Z157-AA157-AB157,2)</f>
        <v>0</v>
      </c>
      <c r="AD157" s="47" t="n">
        <f aca="false">ROUND(AG156*(1+Sorted!$H$8),2)</f>
        <v>0</v>
      </c>
      <c r="AE157" s="47" t="n">
        <f aca="false">MIN(AD157,Sorted!$G$8)</f>
        <v>0</v>
      </c>
      <c r="AF157" s="47" t="n">
        <v>0</v>
      </c>
      <c r="AG157" s="47" t="n">
        <f aca="false">ROUND(AD157-AE157-AF157,2)</f>
        <v>0</v>
      </c>
      <c r="AH157" s="47" t="n">
        <f aca="false">ROUND(AK156*(1+Sorted!$H$9),2)</f>
        <v>0</v>
      </c>
      <c r="AI157" s="47" t="n">
        <f aca="false">MIN(AH157,Sorted!$G$9)</f>
        <v>0</v>
      </c>
      <c r="AJ157" s="47" t="n">
        <v>0</v>
      </c>
      <c r="AK157" s="47" t="n">
        <f aca="false">ROUND(AH157-AI157-AJ157,2)</f>
        <v>0</v>
      </c>
      <c r="AL157" s="47" t="n">
        <f aca="false">ROUND(AO156*(1+Sorted!$H$10),2)</f>
        <v>0</v>
      </c>
      <c r="AM157" s="47" t="n">
        <f aca="false">MIN(AL157,Sorted!$G$10)</f>
        <v>0</v>
      </c>
      <c r="AN157" s="47" t="n">
        <v>0</v>
      </c>
      <c r="AO157" s="47" t="n">
        <f aca="false">ROUND(AL157-AM157-AN157,2)</f>
        <v>0</v>
      </c>
      <c r="AP157" s="47" t="n">
        <f aca="false">ROUND(AS156*(1+Sorted!$H$11),2)</f>
        <v>0</v>
      </c>
      <c r="AQ157" s="47" t="n">
        <f aca="false">MIN(AP157,Sorted!$G$11)</f>
        <v>0</v>
      </c>
      <c r="AR157" s="47" t="n">
        <v>0</v>
      </c>
      <c r="AS157" s="47" t="n">
        <f aca="false">ROUND(AP157-AQ157-AR157,2)</f>
        <v>0</v>
      </c>
    </row>
    <row r="158" customFormat="false" ht="15" hidden="false" customHeight="false" outlineLevel="0" collapsed="false">
      <c r="A158" s="45" t="n">
        <v>155</v>
      </c>
      <c r="B158" s="46" t="n">
        <f aca="false">EDATE('My Debts'!$C$7,A158-1)</f>
        <v>51014</v>
      </c>
      <c r="C158" s="47" t="n">
        <v>0</v>
      </c>
      <c r="D158" s="47" t="n">
        <f aca="false">(F158+J158+N158+R158+V158+Z158+AD158+AH158+AL158+AP158)-(I158+M158+Q158+U158+Y158+AC158+AG158+AK158+AO158+AS158)</f>
        <v>0</v>
      </c>
      <c r="E158" s="48" t="n">
        <f aca="false">I158+M158+Q158+U158+Y158+AC158+AG158+AK158+AO158+AS158</f>
        <v>0</v>
      </c>
      <c r="F158" s="47" t="n">
        <f aca="false">ROUND(I157*(1+Sorted!$H$2),2)</f>
        <v>0</v>
      </c>
      <c r="G158" s="47" t="n">
        <f aca="false">MIN(F158,Sorted!$G$2)</f>
        <v>0</v>
      </c>
      <c r="H158" s="47" t="n">
        <v>0</v>
      </c>
      <c r="I158" s="47" t="n">
        <f aca="false">ROUND(F158-G158-H158,2)</f>
        <v>0</v>
      </c>
      <c r="J158" s="47" t="n">
        <f aca="false">ROUND(M157*(1+Sorted!$H$3),2)</f>
        <v>0</v>
      </c>
      <c r="K158" s="47" t="n">
        <f aca="false">MIN(J158,Sorted!$G$3)</f>
        <v>0</v>
      </c>
      <c r="L158" s="47" t="n">
        <v>0</v>
      </c>
      <c r="M158" s="47" t="n">
        <f aca="false">ROUND(J158-K158-L158,2)</f>
        <v>0</v>
      </c>
      <c r="N158" s="47" t="n">
        <f aca="false">ROUND(Q157*(1+Sorted!$H$4),2)</f>
        <v>0</v>
      </c>
      <c r="O158" s="47" t="n">
        <f aca="false">MIN(N158,Sorted!$G$4)</f>
        <v>0</v>
      </c>
      <c r="P158" s="47" t="n">
        <v>0</v>
      </c>
      <c r="Q158" s="47" t="n">
        <f aca="false">ROUND(N158-O158-P158,2)</f>
        <v>0</v>
      </c>
      <c r="R158" s="47" t="n">
        <f aca="false">ROUND(U157*(1+Sorted!$H$5),2)</f>
        <v>0</v>
      </c>
      <c r="S158" s="47" t="n">
        <f aca="false">MIN(R158,Sorted!$G$5)</f>
        <v>0</v>
      </c>
      <c r="T158" s="47" t="n">
        <v>0</v>
      </c>
      <c r="U158" s="47" t="n">
        <f aca="false">ROUND(R158-S158-T158,2)</f>
        <v>0</v>
      </c>
      <c r="V158" s="47" t="n">
        <f aca="false">ROUND(Y157*(1+Sorted!$H$6),2)</f>
        <v>0</v>
      </c>
      <c r="W158" s="47" t="n">
        <f aca="false">MIN(V158,Sorted!$G$6)</f>
        <v>0</v>
      </c>
      <c r="X158" s="47" t="n">
        <v>0</v>
      </c>
      <c r="Y158" s="47" t="n">
        <f aca="false">ROUND(V158-W158-X158,2)</f>
        <v>0</v>
      </c>
      <c r="Z158" s="47" t="n">
        <f aca="false">ROUND(AC157*(1+Sorted!$H$7),2)</f>
        <v>0</v>
      </c>
      <c r="AA158" s="47" t="n">
        <f aca="false">MIN(Z158,Sorted!$G$7)</f>
        <v>0</v>
      </c>
      <c r="AB158" s="47" t="n">
        <v>0</v>
      </c>
      <c r="AC158" s="47" t="n">
        <f aca="false">ROUND(Z158-AA158-AB158,2)</f>
        <v>0</v>
      </c>
      <c r="AD158" s="47" t="n">
        <f aca="false">ROUND(AG157*(1+Sorted!$H$8),2)</f>
        <v>0</v>
      </c>
      <c r="AE158" s="47" t="n">
        <f aca="false">MIN(AD158,Sorted!$G$8)</f>
        <v>0</v>
      </c>
      <c r="AF158" s="47" t="n">
        <v>0</v>
      </c>
      <c r="AG158" s="47" t="n">
        <f aca="false">ROUND(AD158-AE158-AF158,2)</f>
        <v>0</v>
      </c>
      <c r="AH158" s="47" t="n">
        <f aca="false">ROUND(AK157*(1+Sorted!$H$9),2)</f>
        <v>0</v>
      </c>
      <c r="AI158" s="47" t="n">
        <f aca="false">MIN(AH158,Sorted!$G$9)</f>
        <v>0</v>
      </c>
      <c r="AJ158" s="47" t="n">
        <v>0</v>
      </c>
      <c r="AK158" s="47" t="n">
        <f aca="false">ROUND(AH158-AI158-AJ158,2)</f>
        <v>0</v>
      </c>
      <c r="AL158" s="47" t="n">
        <f aca="false">ROUND(AO157*(1+Sorted!$H$10),2)</f>
        <v>0</v>
      </c>
      <c r="AM158" s="47" t="n">
        <f aca="false">MIN(AL158,Sorted!$G$10)</f>
        <v>0</v>
      </c>
      <c r="AN158" s="47" t="n">
        <v>0</v>
      </c>
      <c r="AO158" s="47" t="n">
        <f aca="false">ROUND(AL158-AM158-AN158,2)</f>
        <v>0</v>
      </c>
      <c r="AP158" s="47" t="n">
        <f aca="false">ROUND(AS157*(1+Sorted!$H$11),2)</f>
        <v>0</v>
      </c>
      <c r="AQ158" s="47" t="n">
        <f aca="false">MIN(AP158,Sorted!$G$11)</f>
        <v>0</v>
      </c>
      <c r="AR158" s="47" t="n">
        <v>0</v>
      </c>
      <c r="AS158" s="47" t="n">
        <f aca="false">ROUND(AP158-AQ158-AR158,2)</f>
        <v>0</v>
      </c>
    </row>
    <row r="159" customFormat="false" ht="15" hidden="false" customHeight="false" outlineLevel="0" collapsed="false">
      <c r="A159" s="45" t="n">
        <v>156</v>
      </c>
      <c r="B159" s="46" t="n">
        <f aca="false">EDATE('My Debts'!$C$7,A159-1)</f>
        <v>51044</v>
      </c>
      <c r="C159" s="47" t="n">
        <v>0</v>
      </c>
      <c r="D159" s="47" t="n">
        <f aca="false">(F159+J159+N159+R159+V159+Z159+AD159+AH159+AL159+AP159)-(I159+M159+Q159+U159+Y159+AC159+AG159+AK159+AO159+AS159)</f>
        <v>0</v>
      </c>
      <c r="E159" s="48" t="n">
        <f aca="false">I159+M159+Q159+U159+Y159+AC159+AG159+AK159+AO159+AS159</f>
        <v>0</v>
      </c>
      <c r="F159" s="47" t="n">
        <f aca="false">ROUND(I158*(1+Sorted!$H$2),2)</f>
        <v>0</v>
      </c>
      <c r="G159" s="47" t="n">
        <f aca="false">MIN(F159,Sorted!$G$2)</f>
        <v>0</v>
      </c>
      <c r="H159" s="47" t="n">
        <v>0</v>
      </c>
      <c r="I159" s="47" t="n">
        <f aca="false">ROUND(F159-G159-H159,2)</f>
        <v>0</v>
      </c>
      <c r="J159" s="47" t="n">
        <f aca="false">ROUND(M158*(1+Sorted!$H$3),2)</f>
        <v>0</v>
      </c>
      <c r="K159" s="47" t="n">
        <f aca="false">MIN(J159,Sorted!$G$3)</f>
        <v>0</v>
      </c>
      <c r="L159" s="47" t="n">
        <v>0</v>
      </c>
      <c r="M159" s="47" t="n">
        <f aca="false">ROUND(J159-K159-L159,2)</f>
        <v>0</v>
      </c>
      <c r="N159" s="47" t="n">
        <f aca="false">ROUND(Q158*(1+Sorted!$H$4),2)</f>
        <v>0</v>
      </c>
      <c r="O159" s="47" t="n">
        <f aca="false">MIN(N159,Sorted!$G$4)</f>
        <v>0</v>
      </c>
      <c r="P159" s="47" t="n">
        <v>0</v>
      </c>
      <c r="Q159" s="47" t="n">
        <f aca="false">ROUND(N159-O159-P159,2)</f>
        <v>0</v>
      </c>
      <c r="R159" s="47" t="n">
        <f aca="false">ROUND(U158*(1+Sorted!$H$5),2)</f>
        <v>0</v>
      </c>
      <c r="S159" s="47" t="n">
        <f aca="false">MIN(R159,Sorted!$G$5)</f>
        <v>0</v>
      </c>
      <c r="T159" s="47" t="n">
        <v>0</v>
      </c>
      <c r="U159" s="47" t="n">
        <f aca="false">ROUND(R159-S159-T159,2)</f>
        <v>0</v>
      </c>
      <c r="V159" s="47" t="n">
        <f aca="false">ROUND(Y158*(1+Sorted!$H$6),2)</f>
        <v>0</v>
      </c>
      <c r="W159" s="47" t="n">
        <f aca="false">MIN(V159,Sorted!$G$6)</f>
        <v>0</v>
      </c>
      <c r="X159" s="47" t="n">
        <v>0</v>
      </c>
      <c r="Y159" s="47" t="n">
        <f aca="false">ROUND(V159-W159-X159,2)</f>
        <v>0</v>
      </c>
      <c r="Z159" s="47" t="n">
        <f aca="false">ROUND(AC158*(1+Sorted!$H$7),2)</f>
        <v>0</v>
      </c>
      <c r="AA159" s="47" t="n">
        <f aca="false">MIN(Z159,Sorted!$G$7)</f>
        <v>0</v>
      </c>
      <c r="AB159" s="47" t="n">
        <v>0</v>
      </c>
      <c r="AC159" s="47" t="n">
        <f aca="false">ROUND(Z159-AA159-AB159,2)</f>
        <v>0</v>
      </c>
      <c r="AD159" s="47" t="n">
        <f aca="false">ROUND(AG158*(1+Sorted!$H$8),2)</f>
        <v>0</v>
      </c>
      <c r="AE159" s="47" t="n">
        <f aca="false">MIN(AD159,Sorted!$G$8)</f>
        <v>0</v>
      </c>
      <c r="AF159" s="47" t="n">
        <v>0</v>
      </c>
      <c r="AG159" s="47" t="n">
        <f aca="false">ROUND(AD159-AE159-AF159,2)</f>
        <v>0</v>
      </c>
      <c r="AH159" s="47" t="n">
        <f aca="false">ROUND(AK158*(1+Sorted!$H$9),2)</f>
        <v>0</v>
      </c>
      <c r="AI159" s="47" t="n">
        <f aca="false">MIN(AH159,Sorted!$G$9)</f>
        <v>0</v>
      </c>
      <c r="AJ159" s="47" t="n">
        <v>0</v>
      </c>
      <c r="AK159" s="47" t="n">
        <f aca="false">ROUND(AH159-AI159-AJ159,2)</f>
        <v>0</v>
      </c>
      <c r="AL159" s="47" t="n">
        <f aca="false">ROUND(AO158*(1+Sorted!$H$10),2)</f>
        <v>0</v>
      </c>
      <c r="AM159" s="47" t="n">
        <f aca="false">MIN(AL159,Sorted!$G$10)</f>
        <v>0</v>
      </c>
      <c r="AN159" s="47" t="n">
        <v>0</v>
      </c>
      <c r="AO159" s="47" t="n">
        <f aca="false">ROUND(AL159-AM159-AN159,2)</f>
        <v>0</v>
      </c>
      <c r="AP159" s="47" t="n">
        <f aca="false">ROUND(AS158*(1+Sorted!$H$11),2)</f>
        <v>0</v>
      </c>
      <c r="AQ159" s="47" t="n">
        <f aca="false">MIN(AP159,Sorted!$G$11)</f>
        <v>0</v>
      </c>
      <c r="AR159" s="47" t="n">
        <v>0</v>
      </c>
      <c r="AS159" s="47" t="n">
        <f aca="false">ROUND(AP159-AQ159-AR159,2)</f>
        <v>0</v>
      </c>
    </row>
    <row r="160" customFormat="false" ht="15" hidden="false" customHeight="false" outlineLevel="0" collapsed="false">
      <c r="A160" s="45" t="n">
        <v>157</v>
      </c>
      <c r="B160" s="46" t="n">
        <f aca="false">EDATE('My Debts'!$C$7,A160-1)</f>
        <v>51075</v>
      </c>
      <c r="C160" s="47" t="n">
        <v>0</v>
      </c>
      <c r="D160" s="47" t="n">
        <f aca="false">(F160+J160+N160+R160+V160+Z160+AD160+AH160+AL160+AP160)-(I160+M160+Q160+U160+Y160+AC160+AG160+AK160+AO160+AS160)</f>
        <v>0</v>
      </c>
      <c r="E160" s="48" t="n">
        <f aca="false">I160+M160+Q160+U160+Y160+AC160+AG160+AK160+AO160+AS160</f>
        <v>0</v>
      </c>
      <c r="F160" s="47" t="n">
        <f aca="false">ROUND(I159*(1+Sorted!$H$2),2)</f>
        <v>0</v>
      </c>
      <c r="G160" s="47" t="n">
        <f aca="false">MIN(F160,Sorted!$G$2)</f>
        <v>0</v>
      </c>
      <c r="H160" s="47" t="n">
        <v>0</v>
      </c>
      <c r="I160" s="47" t="n">
        <f aca="false">ROUND(F160-G160-H160,2)</f>
        <v>0</v>
      </c>
      <c r="J160" s="47" t="n">
        <f aca="false">ROUND(M159*(1+Sorted!$H$3),2)</f>
        <v>0</v>
      </c>
      <c r="K160" s="47" t="n">
        <f aca="false">MIN(J160,Sorted!$G$3)</f>
        <v>0</v>
      </c>
      <c r="L160" s="47" t="n">
        <v>0</v>
      </c>
      <c r="M160" s="47" t="n">
        <f aca="false">ROUND(J160-K160-L160,2)</f>
        <v>0</v>
      </c>
      <c r="N160" s="47" t="n">
        <f aca="false">ROUND(Q159*(1+Sorted!$H$4),2)</f>
        <v>0</v>
      </c>
      <c r="O160" s="47" t="n">
        <f aca="false">MIN(N160,Sorted!$G$4)</f>
        <v>0</v>
      </c>
      <c r="P160" s="47" t="n">
        <v>0</v>
      </c>
      <c r="Q160" s="47" t="n">
        <f aca="false">ROUND(N160-O160-P160,2)</f>
        <v>0</v>
      </c>
      <c r="R160" s="47" t="n">
        <f aca="false">ROUND(U159*(1+Sorted!$H$5),2)</f>
        <v>0</v>
      </c>
      <c r="S160" s="47" t="n">
        <f aca="false">MIN(R160,Sorted!$G$5)</f>
        <v>0</v>
      </c>
      <c r="T160" s="47" t="n">
        <v>0</v>
      </c>
      <c r="U160" s="47" t="n">
        <f aca="false">ROUND(R160-S160-T160,2)</f>
        <v>0</v>
      </c>
      <c r="V160" s="47" t="n">
        <f aca="false">ROUND(Y159*(1+Sorted!$H$6),2)</f>
        <v>0</v>
      </c>
      <c r="W160" s="47" t="n">
        <f aca="false">MIN(V160,Sorted!$G$6)</f>
        <v>0</v>
      </c>
      <c r="X160" s="47" t="n">
        <v>0</v>
      </c>
      <c r="Y160" s="47" t="n">
        <f aca="false">ROUND(V160-W160-X160,2)</f>
        <v>0</v>
      </c>
      <c r="Z160" s="47" t="n">
        <f aca="false">ROUND(AC159*(1+Sorted!$H$7),2)</f>
        <v>0</v>
      </c>
      <c r="AA160" s="47" t="n">
        <f aca="false">MIN(Z160,Sorted!$G$7)</f>
        <v>0</v>
      </c>
      <c r="AB160" s="47" t="n">
        <v>0</v>
      </c>
      <c r="AC160" s="47" t="n">
        <f aca="false">ROUND(Z160-AA160-AB160,2)</f>
        <v>0</v>
      </c>
      <c r="AD160" s="47" t="n">
        <f aca="false">ROUND(AG159*(1+Sorted!$H$8),2)</f>
        <v>0</v>
      </c>
      <c r="AE160" s="47" t="n">
        <f aca="false">MIN(AD160,Sorted!$G$8)</f>
        <v>0</v>
      </c>
      <c r="AF160" s="47" t="n">
        <v>0</v>
      </c>
      <c r="AG160" s="47" t="n">
        <f aca="false">ROUND(AD160-AE160-AF160,2)</f>
        <v>0</v>
      </c>
      <c r="AH160" s="47" t="n">
        <f aca="false">ROUND(AK159*(1+Sorted!$H$9),2)</f>
        <v>0</v>
      </c>
      <c r="AI160" s="47" t="n">
        <f aca="false">MIN(AH160,Sorted!$G$9)</f>
        <v>0</v>
      </c>
      <c r="AJ160" s="47" t="n">
        <v>0</v>
      </c>
      <c r="AK160" s="47" t="n">
        <f aca="false">ROUND(AH160-AI160-AJ160,2)</f>
        <v>0</v>
      </c>
      <c r="AL160" s="47" t="n">
        <f aca="false">ROUND(AO159*(1+Sorted!$H$10),2)</f>
        <v>0</v>
      </c>
      <c r="AM160" s="47" t="n">
        <f aca="false">MIN(AL160,Sorted!$G$10)</f>
        <v>0</v>
      </c>
      <c r="AN160" s="47" t="n">
        <v>0</v>
      </c>
      <c r="AO160" s="47" t="n">
        <f aca="false">ROUND(AL160-AM160-AN160,2)</f>
        <v>0</v>
      </c>
      <c r="AP160" s="47" t="n">
        <f aca="false">ROUND(AS159*(1+Sorted!$H$11),2)</f>
        <v>0</v>
      </c>
      <c r="AQ160" s="47" t="n">
        <f aca="false">MIN(AP160,Sorted!$G$11)</f>
        <v>0</v>
      </c>
      <c r="AR160" s="47" t="n">
        <v>0</v>
      </c>
      <c r="AS160" s="47" t="n">
        <f aca="false">ROUND(AP160-AQ160-AR160,2)</f>
        <v>0</v>
      </c>
    </row>
    <row r="161" customFormat="false" ht="15" hidden="false" customHeight="false" outlineLevel="0" collapsed="false">
      <c r="A161" s="45" t="n">
        <v>158</v>
      </c>
      <c r="B161" s="46" t="n">
        <f aca="false">EDATE('My Debts'!$C$7,A161-1)</f>
        <v>51105</v>
      </c>
      <c r="C161" s="47" t="n">
        <v>0</v>
      </c>
      <c r="D161" s="47" t="n">
        <f aca="false">(F161+J161+N161+R161+V161+Z161+AD161+AH161+AL161+AP161)-(I161+M161+Q161+U161+Y161+AC161+AG161+AK161+AO161+AS161)</f>
        <v>0</v>
      </c>
      <c r="E161" s="48" t="n">
        <f aca="false">I161+M161+Q161+U161+Y161+AC161+AG161+AK161+AO161+AS161</f>
        <v>0</v>
      </c>
      <c r="F161" s="47" t="n">
        <f aca="false">ROUND(I160*(1+Sorted!$H$2),2)</f>
        <v>0</v>
      </c>
      <c r="G161" s="47" t="n">
        <f aca="false">MIN(F161,Sorted!$G$2)</f>
        <v>0</v>
      </c>
      <c r="H161" s="47" t="n">
        <v>0</v>
      </c>
      <c r="I161" s="47" t="n">
        <f aca="false">ROUND(F161-G161-H161,2)</f>
        <v>0</v>
      </c>
      <c r="J161" s="47" t="n">
        <f aca="false">ROUND(M160*(1+Sorted!$H$3),2)</f>
        <v>0</v>
      </c>
      <c r="K161" s="47" t="n">
        <f aca="false">MIN(J161,Sorted!$G$3)</f>
        <v>0</v>
      </c>
      <c r="L161" s="47" t="n">
        <v>0</v>
      </c>
      <c r="M161" s="47" t="n">
        <f aca="false">ROUND(J161-K161-L161,2)</f>
        <v>0</v>
      </c>
      <c r="N161" s="47" t="n">
        <f aca="false">ROUND(Q160*(1+Sorted!$H$4),2)</f>
        <v>0</v>
      </c>
      <c r="O161" s="47" t="n">
        <f aca="false">MIN(N161,Sorted!$G$4)</f>
        <v>0</v>
      </c>
      <c r="P161" s="47" t="n">
        <v>0</v>
      </c>
      <c r="Q161" s="47" t="n">
        <f aca="false">ROUND(N161-O161-P161,2)</f>
        <v>0</v>
      </c>
      <c r="R161" s="47" t="n">
        <f aca="false">ROUND(U160*(1+Sorted!$H$5),2)</f>
        <v>0</v>
      </c>
      <c r="S161" s="47" t="n">
        <f aca="false">MIN(R161,Sorted!$G$5)</f>
        <v>0</v>
      </c>
      <c r="T161" s="47" t="n">
        <v>0</v>
      </c>
      <c r="U161" s="47" t="n">
        <f aca="false">ROUND(R161-S161-T161,2)</f>
        <v>0</v>
      </c>
      <c r="V161" s="47" t="n">
        <f aca="false">ROUND(Y160*(1+Sorted!$H$6),2)</f>
        <v>0</v>
      </c>
      <c r="W161" s="47" t="n">
        <f aca="false">MIN(V161,Sorted!$G$6)</f>
        <v>0</v>
      </c>
      <c r="X161" s="47" t="n">
        <v>0</v>
      </c>
      <c r="Y161" s="47" t="n">
        <f aca="false">ROUND(V161-W161-X161,2)</f>
        <v>0</v>
      </c>
      <c r="Z161" s="47" t="n">
        <f aca="false">ROUND(AC160*(1+Sorted!$H$7),2)</f>
        <v>0</v>
      </c>
      <c r="AA161" s="47" t="n">
        <f aca="false">MIN(Z161,Sorted!$G$7)</f>
        <v>0</v>
      </c>
      <c r="AB161" s="47" t="n">
        <v>0</v>
      </c>
      <c r="AC161" s="47" t="n">
        <f aca="false">ROUND(Z161-AA161-AB161,2)</f>
        <v>0</v>
      </c>
      <c r="AD161" s="47" t="n">
        <f aca="false">ROUND(AG160*(1+Sorted!$H$8),2)</f>
        <v>0</v>
      </c>
      <c r="AE161" s="47" t="n">
        <f aca="false">MIN(AD161,Sorted!$G$8)</f>
        <v>0</v>
      </c>
      <c r="AF161" s="47" t="n">
        <v>0</v>
      </c>
      <c r="AG161" s="47" t="n">
        <f aca="false">ROUND(AD161-AE161-AF161,2)</f>
        <v>0</v>
      </c>
      <c r="AH161" s="47" t="n">
        <f aca="false">ROUND(AK160*(1+Sorted!$H$9),2)</f>
        <v>0</v>
      </c>
      <c r="AI161" s="47" t="n">
        <f aca="false">MIN(AH161,Sorted!$G$9)</f>
        <v>0</v>
      </c>
      <c r="AJ161" s="47" t="n">
        <v>0</v>
      </c>
      <c r="AK161" s="47" t="n">
        <f aca="false">ROUND(AH161-AI161-AJ161,2)</f>
        <v>0</v>
      </c>
      <c r="AL161" s="47" t="n">
        <f aca="false">ROUND(AO160*(1+Sorted!$H$10),2)</f>
        <v>0</v>
      </c>
      <c r="AM161" s="47" t="n">
        <f aca="false">MIN(AL161,Sorted!$G$10)</f>
        <v>0</v>
      </c>
      <c r="AN161" s="47" t="n">
        <v>0</v>
      </c>
      <c r="AO161" s="47" t="n">
        <f aca="false">ROUND(AL161-AM161-AN161,2)</f>
        <v>0</v>
      </c>
      <c r="AP161" s="47" t="n">
        <f aca="false">ROUND(AS160*(1+Sorted!$H$11),2)</f>
        <v>0</v>
      </c>
      <c r="AQ161" s="47" t="n">
        <f aca="false">MIN(AP161,Sorted!$G$11)</f>
        <v>0</v>
      </c>
      <c r="AR161" s="47" t="n">
        <v>0</v>
      </c>
      <c r="AS161" s="47" t="n">
        <f aca="false">ROUND(AP161-AQ161-AR161,2)</f>
        <v>0</v>
      </c>
    </row>
    <row r="162" customFormat="false" ht="15" hidden="false" customHeight="false" outlineLevel="0" collapsed="false">
      <c r="A162" s="45" t="n">
        <v>159</v>
      </c>
      <c r="B162" s="46" t="n">
        <f aca="false">EDATE('My Debts'!$C$7,A162-1)</f>
        <v>51136</v>
      </c>
      <c r="C162" s="47" t="n">
        <v>0</v>
      </c>
      <c r="D162" s="47" t="n">
        <f aca="false">(F162+J162+N162+R162+V162+Z162+AD162+AH162+AL162+AP162)-(I162+M162+Q162+U162+Y162+AC162+AG162+AK162+AO162+AS162)</f>
        <v>0</v>
      </c>
      <c r="E162" s="48" t="n">
        <f aca="false">I162+M162+Q162+U162+Y162+AC162+AG162+AK162+AO162+AS162</f>
        <v>0</v>
      </c>
      <c r="F162" s="47" t="n">
        <f aca="false">ROUND(I161*(1+Sorted!$H$2),2)</f>
        <v>0</v>
      </c>
      <c r="G162" s="47" t="n">
        <f aca="false">MIN(F162,Sorted!$G$2)</f>
        <v>0</v>
      </c>
      <c r="H162" s="47" t="n">
        <v>0</v>
      </c>
      <c r="I162" s="47" t="n">
        <f aca="false">ROUND(F162-G162-H162,2)</f>
        <v>0</v>
      </c>
      <c r="J162" s="47" t="n">
        <f aca="false">ROUND(M161*(1+Sorted!$H$3),2)</f>
        <v>0</v>
      </c>
      <c r="K162" s="47" t="n">
        <f aca="false">MIN(J162,Sorted!$G$3)</f>
        <v>0</v>
      </c>
      <c r="L162" s="47" t="n">
        <v>0</v>
      </c>
      <c r="M162" s="47" t="n">
        <f aca="false">ROUND(J162-K162-L162,2)</f>
        <v>0</v>
      </c>
      <c r="N162" s="47" t="n">
        <f aca="false">ROUND(Q161*(1+Sorted!$H$4),2)</f>
        <v>0</v>
      </c>
      <c r="O162" s="47" t="n">
        <f aca="false">MIN(N162,Sorted!$G$4)</f>
        <v>0</v>
      </c>
      <c r="P162" s="47" t="n">
        <v>0</v>
      </c>
      <c r="Q162" s="47" t="n">
        <f aca="false">ROUND(N162-O162-P162,2)</f>
        <v>0</v>
      </c>
      <c r="R162" s="47" t="n">
        <f aca="false">ROUND(U161*(1+Sorted!$H$5),2)</f>
        <v>0</v>
      </c>
      <c r="S162" s="47" t="n">
        <f aca="false">MIN(R162,Sorted!$G$5)</f>
        <v>0</v>
      </c>
      <c r="T162" s="47" t="n">
        <v>0</v>
      </c>
      <c r="U162" s="47" t="n">
        <f aca="false">ROUND(R162-S162-T162,2)</f>
        <v>0</v>
      </c>
      <c r="V162" s="47" t="n">
        <f aca="false">ROUND(Y161*(1+Sorted!$H$6),2)</f>
        <v>0</v>
      </c>
      <c r="W162" s="47" t="n">
        <f aca="false">MIN(V162,Sorted!$G$6)</f>
        <v>0</v>
      </c>
      <c r="X162" s="47" t="n">
        <v>0</v>
      </c>
      <c r="Y162" s="47" t="n">
        <f aca="false">ROUND(V162-W162-X162,2)</f>
        <v>0</v>
      </c>
      <c r="Z162" s="47" t="n">
        <f aca="false">ROUND(AC161*(1+Sorted!$H$7),2)</f>
        <v>0</v>
      </c>
      <c r="AA162" s="47" t="n">
        <f aca="false">MIN(Z162,Sorted!$G$7)</f>
        <v>0</v>
      </c>
      <c r="AB162" s="47" t="n">
        <v>0</v>
      </c>
      <c r="AC162" s="47" t="n">
        <f aca="false">ROUND(Z162-AA162-AB162,2)</f>
        <v>0</v>
      </c>
      <c r="AD162" s="47" t="n">
        <f aca="false">ROUND(AG161*(1+Sorted!$H$8),2)</f>
        <v>0</v>
      </c>
      <c r="AE162" s="47" t="n">
        <f aca="false">MIN(AD162,Sorted!$G$8)</f>
        <v>0</v>
      </c>
      <c r="AF162" s="47" t="n">
        <v>0</v>
      </c>
      <c r="AG162" s="47" t="n">
        <f aca="false">ROUND(AD162-AE162-AF162,2)</f>
        <v>0</v>
      </c>
      <c r="AH162" s="47" t="n">
        <f aca="false">ROUND(AK161*(1+Sorted!$H$9),2)</f>
        <v>0</v>
      </c>
      <c r="AI162" s="47" t="n">
        <f aca="false">MIN(AH162,Sorted!$G$9)</f>
        <v>0</v>
      </c>
      <c r="AJ162" s="47" t="n">
        <v>0</v>
      </c>
      <c r="AK162" s="47" t="n">
        <f aca="false">ROUND(AH162-AI162-AJ162,2)</f>
        <v>0</v>
      </c>
      <c r="AL162" s="47" t="n">
        <f aca="false">ROUND(AO161*(1+Sorted!$H$10),2)</f>
        <v>0</v>
      </c>
      <c r="AM162" s="47" t="n">
        <f aca="false">MIN(AL162,Sorted!$G$10)</f>
        <v>0</v>
      </c>
      <c r="AN162" s="47" t="n">
        <v>0</v>
      </c>
      <c r="AO162" s="47" t="n">
        <f aca="false">ROUND(AL162-AM162-AN162,2)</f>
        <v>0</v>
      </c>
      <c r="AP162" s="47" t="n">
        <f aca="false">ROUND(AS161*(1+Sorted!$H$11),2)</f>
        <v>0</v>
      </c>
      <c r="AQ162" s="47" t="n">
        <f aca="false">MIN(AP162,Sorted!$G$11)</f>
        <v>0</v>
      </c>
      <c r="AR162" s="47" t="n">
        <v>0</v>
      </c>
      <c r="AS162" s="47" t="n">
        <f aca="false">ROUND(AP162-AQ162-AR162,2)</f>
        <v>0</v>
      </c>
    </row>
    <row r="163" customFormat="false" ht="15" hidden="false" customHeight="false" outlineLevel="0" collapsed="false">
      <c r="A163" s="45" t="n">
        <v>160</v>
      </c>
      <c r="B163" s="46" t="n">
        <f aca="false">EDATE('My Debts'!$C$7,A163-1)</f>
        <v>51167</v>
      </c>
      <c r="C163" s="47" t="n">
        <v>0</v>
      </c>
      <c r="D163" s="47" t="n">
        <f aca="false">(F163+J163+N163+R163+V163+Z163+AD163+AH163+AL163+AP163)-(I163+M163+Q163+U163+Y163+AC163+AG163+AK163+AO163+AS163)</f>
        <v>0</v>
      </c>
      <c r="E163" s="48" t="n">
        <f aca="false">I163+M163+Q163+U163+Y163+AC163+AG163+AK163+AO163+AS163</f>
        <v>0</v>
      </c>
      <c r="F163" s="47" t="n">
        <f aca="false">ROUND(I162*(1+Sorted!$H$2),2)</f>
        <v>0</v>
      </c>
      <c r="G163" s="47" t="n">
        <f aca="false">MIN(F163,Sorted!$G$2)</f>
        <v>0</v>
      </c>
      <c r="H163" s="47" t="n">
        <v>0</v>
      </c>
      <c r="I163" s="47" t="n">
        <f aca="false">ROUND(F163-G163-H163,2)</f>
        <v>0</v>
      </c>
      <c r="J163" s="47" t="n">
        <f aca="false">ROUND(M162*(1+Sorted!$H$3),2)</f>
        <v>0</v>
      </c>
      <c r="K163" s="47" t="n">
        <f aca="false">MIN(J163,Sorted!$G$3)</f>
        <v>0</v>
      </c>
      <c r="L163" s="47" t="n">
        <v>0</v>
      </c>
      <c r="M163" s="47" t="n">
        <f aca="false">ROUND(J163-K163-L163,2)</f>
        <v>0</v>
      </c>
      <c r="N163" s="47" t="n">
        <f aca="false">ROUND(Q162*(1+Sorted!$H$4),2)</f>
        <v>0</v>
      </c>
      <c r="O163" s="47" t="n">
        <f aca="false">MIN(N163,Sorted!$G$4)</f>
        <v>0</v>
      </c>
      <c r="P163" s="47" t="n">
        <v>0</v>
      </c>
      <c r="Q163" s="47" t="n">
        <f aca="false">ROUND(N163-O163-P163,2)</f>
        <v>0</v>
      </c>
      <c r="R163" s="47" t="n">
        <f aca="false">ROUND(U162*(1+Sorted!$H$5),2)</f>
        <v>0</v>
      </c>
      <c r="S163" s="47" t="n">
        <f aca="false">MIN(R163,Sorted!$G$5)</f>
        <v>0</v>
      </c>
      <c r="T163" s="47" t="n">
        <v>0</v>
      </c>
      <c r="U163" s="47" t="n">
        <f aca="false">ROUND(R163-S163-T163,2)</f>
        <v>0</v>
      </c>
      <c r="V163" s="47" t="n">
        <f aca="false">ROUND(Y162*(1+Sorted!$H$6),2)</f>
        <v>0</v>
      </c>
      <c r="W163" s="47" t="n">
        <f aca="false">MIN(V163,Sorted!$G$6)</f>
        <v>0</v>
      </c>
      <c r="X163" s="47" t="n">
        <v>0</v>
      </c>
      <c r="Y163" s="47" t="n">
        <f aca="false">ROUND(V163-W163-X163,2)</f>
        <v>0</v>
      </c>
      <c r="Z163" s="47" t="n">
        <f aca="false">ROUND(AC162*(1+Sorted!$H$7),2)</f>
        <v>0</v>
      </c>
      <c r="AA163" s="47" t="n">
        <f aca="false">MIN(Z163,Sorted!$G$7)</f>
        <v>0</v>
      </c>
      <c r="AB163" s="47" t="n">
        <v>0</v>
      </c>
      <c r="AC163" s="47" t="n">
        <f aca="false">ROUND(Z163-AA163-AB163,2)</f>
        <v>0</v>
      </c>
      <c r="AD163" s="47" t="n">
        <f aca="false">ROUND(AG162*(1+Sorted!$H$8),2)</f>
        <v>0</v>
      </c>
      <c r="AE163" s="47" t="n">
        <f aca="false">MIN(AD163,Sorted!$G$8)</f>
        <v>0</v>
      </c>
      <c r="AF163" s="47" t="n">
        <v>0</v>
      </c>
      <c r="AG163" s="47" t="n">
        <f aca="false">ROUND(AD163-AE163-AF163,2)</f>
        <v>0</v>
      </c>
      <c r="AH163" s="47" t="n">
        <f aca="false">ROUND(AK162*(1+Sorted!$H$9),2)</f>
        <v>0</v>
      </c>
      <c r="AI163" s="47" t="n">
        <f aca="false">MIN(AH163,Sorted!$G$9)</f>
        <v>0</v>
      </c>
      <c r="AJ163" s="47" t="n">
        <v>0</v>
      </c>
      <c r="AK163" s="47" t="n">
        <f aca="false">ROUND(AH163-AI163-AJ163,2)</f>
        <v>0</v>
      </c>
      <c r="AL163" s="47" t="n">
        <f aca="false">ROUND(AO162*(1+Sorted!$H$10),2)</f>
        <v>0</v>
      </c>
      <c r="AM163" s="47" t="n">
        <f aca="false">MIN(AL163,Sorted!$G$10)</f>
        <v>0</v>
      </c>
      <c r="AN163" s="47" t="n">
        <v>0</v>
      </c>
      <c r="AO163" s="47" t="n">
        <f aca="false">ROUND(AL163-AM163-AN163,2)</f>
        <v>0</v>
      </c>
      <c r="AP163" s="47" t="n">
        <f aca="false">ROUND(AS162*(1+Sorted!$H$11),2)</f>
        <v>0</v>
      </c>
      <c r="AQ163" s="47" t="n">
        <f aca="false">MIN(AP163,Sorted!$G$11)</f>
        <v>0</v>
      </c>
      <c r="AR163" s="47" t="n">
        <v>0</v>
      </c>
      <c r="AS163" s="47" t="n">
        <f aca="false">ROUND(AP163-AQ163-AR163,2)</f>
        <v>0</v>
      </c>
    </row>
    <row r="164" customFormat="false" ht="15" hidden="false" customHeight="false" outlineLevel="0" collapsed="false">
      <c r="A164" s="45" t="n">
        <v>161</v>
      </c>
      <c r="B164" s="46" t="n">
        <f aca="false">EDATE('My Debts'!$C$7,A164-1)</f>
        <v>51196</v>
      </c>
      <c r="C164" s="47" t="n">
        <v>0</v>
      </c>
      <c r="D164" s="47" t="n">
        <f aca="false">(F164+J164+N164+R164+V164+Z164+AD164+AH164+AL164+AP164)-(I164+M164+Q164+U164+Y164+AC164+AG164+AK164+AO164+AS164)</f>
        <v>0</v>
      </c>
      <c r="E164" s="48" t="n">
        <f aca="false">I164+M164+Q164+U164+Y164+AC164+AG164+AK164+AO164+AS164</f>
        <v>0</v>
      </c>
      <c r="F164" s="47" t="n">
        <f aca="false">ROUND(I163*(1+Sorted!$H$2),2)</f>
        <v>0</v>
      </c>
      <c r="G164" s="47" t="n">
        <f aca="false">MIN(F164,Sorted!$G$2)</f>
        <v>0</v>
      </c>
      <c r="H164" s="47" t="n">
        <v>0</v>
      </c>
      <c r="I164" s="47" t="n">
        <f aca="false">ROUND(F164-G164-H164,2)</f>
        <v>0</v>
      </c>
      <c r="J164" s="47" t="n">
        <f aca="false">ROUND(M163*(1+Sorted!$H$3),2)</f>
        <v>0</v>
      </c>
      <c r="K164" s="47" t="n">
        <f aca="false">MIN(J164,Sorted!$G$3)</f>
        <v>0</v>
      </c>
      <c r="L164" s="47" t="n">
        <v>0</v>
      </c>
      <c r="M164" s="47" t="n">
        <f aca="false">ROUND(J164-K164-L164,2)</f>
        <v>0</v>
      </c>
      <c r="N164" s="47" t="n">
        <f aca="false">ROUND(Q163*(1+Sorted!$H$4),2)</f>
        <v>0</v>
      </c>
      <c r="O164" s="47" t="n">
        <f aca="false">MIN(N164,Sorted!$G$4)</f>
        <v>0</v>
      </c>
      <c r="P164" s="47" t="n">
        <v>0</v>
      </c>
      <c r="Q164" s="47" t="n">
        <f aca="false">ROUND(N164-O164-P164,2)</f>
        <v>0</v>
      </c>
      <c r="R164" s="47" t="n">
        <f aca="false">ROUND(U163*(1+Sorted!$H$5),2)</f>
        <v>0</v>
      </c>
      <c r="S164" s="47" t="n">
        <f aca="false">MIN(R164,Sorted!$G$5)</f>
        <v>0</v>
      </c>
      <c r="T164" s="47" t="n">
        <v>0</v>
      </c>
      <c r="U164" s="47" t="n">
        <f aca="false">ROUND(R164-S164-T164,2)</f>
        <v>0</v>
      </c>
      <c r="V164" s="47" t="n">
        <f aca="false">ROUND(Y163*(1+Sorted!$H$6),2)</f>
        <v>0</v>
      </c>
      <c r="W164" s="47" t="n">
        <f aca="false">MIN(V164,Sorted!$G$6)</f>
        <v>0</v>
      </c>
      <c r="X164" s="47" t="n">
        <v>0</v>
      </c>
      <c r="Y164" s="47" t="n">
        <f aca="false">ROUND(V164-W164-X164,2)</f>
        <v>0</v>
      </c>
      <c r="Z164" s="47" t="n">
        <f aca="false">ROUND(AC163*(1+Sorted!$H$7),2)</f>
        <v>0</v>
      </c>
      <c r="AA164" s="47" t="n">
        <f aca="false">MIN(Z164,Sorted!$G$7)</f>
        <v>0</v>
      </c>
      <c r="AB164" s="47" t="n">
        <v>0</v>
      </c>
      <c r="AC164" s="47" t="n">
        <f aca="false">ROUND(Z164-AA164-AB164,2)</f>
        <v>0</v>
      </c>
      <c r="AD164" s="47" t="n">
        <f aca="false">ROUND(AG163*(1+Sorted!$H$8),2)</f>
        <v>0</v>
      </c>
      <c r="AE164" s="47" t="n">
        <f aca="false">MIN(AD164,Sorted!$G$8)</f>
        <v>0</v>
      </c>
      <c r="AF164" s="47" t="n">
        <v>0</v>
      </c>
      <c r="AG164" s="47" t="n">
        <f aca="false">ROUND(AD164-AE164-AF164,2)</f>
        <v>0</v>
      </c>
      <c r="AH164" s="47" t="n">
        <f aca="false">ROUND(AK163*(1+Sorted!$H$9),2)</f>
        <v>0</v>
      </c>
      <c r="AI164" s="47" t="n">
        <f aca="false">MIN(AH164,Sorted!$G$9)</f>
        <v>0</v>
      </c>
      <c r="AJ164" s="47" t="n">
        <v>0</v>
      </c>
      <c r="AK164" s="47" t="n">
        <f aca="false">ROUND(AH164-AI164-AJ164,2)</f>
        <v>0</v>
      </c>
      <c r="AL164" s="47" t="n">
        <f aca="false">ROUND(AO163*(1+Sorted!$H$10),2)</f>
        <v>0</v>
      </c>
      <c r="AM164" s="47" t="n">
        <f aca="false">MIN(AL164,Sorted!$G$10)</f>
        <v>0</v>
      </c>
      <c r="AN164" s="47" t="n">
        <v>0</v>
      </c>
      <c r="AO164" s="47" t="n">
        <f aca="false">ROUND(AL164-AM164-AN164,2)</f>
        <v>0</v>
      </c>
      <c r="AP164" s="47" t="n">
        <f aca="false">ROUND(AS163*(1+Sorted!$H$11),2)</f>
        <v>0</v>
      </c>
      <c r="AQ164" s="47" t="n">
        <f aca="false">MIN(AP164,Sorted!$G$11)</f>
        <v>0</v>
      </c>
      <c r="AR164" s="47" t="n">
        <v>0</v>
      </c>
      <c r="AS164" s="47" t="n">
        <f aca="false">ROUND(AP164-AQ164-AR164,2)</f>
        <v>0</v>
      </c>
    </row>
    <row r="165" customFormat="false" ht="15" hidden="false" customHeight="false" outlineLevel="0" collapsed="false">
      <c r="A165" s="45" t="n">
        <v>162</v>
      </c>
      <c r="B165" s="46" t="n">
        <f aca="false">EDATE('My Debts'!$C$7,A165-1)</f>
        <v>51227</v>
      </c>
      <c r="C165" s="47" t="n">
        <v>0</v>
      </c>
      <c r="D165" s="47" t="n">
        <f aca="false">(F165+J165+N165+R165+V165+Z165+AD165+AH165+AL165+AP165)-(I165+M165+Q165+U165+Y165+AC165+AG165+AK165+AO165+AS165)</f>
        <v>0</v>
      </c>
      <c r="E165" s="48" t="n">
        <f aca="false">I165+M165+Q165+U165+Y165+AC165+AG165+AK165+AO165+AS165</f>
        <v>0</v>
      </c>
      <c r="F165" s="47" t="n">
        <f aca="false">ROUND(I164*(1+Sorted!$H$2),2)</f>
        <v>0</v>
      </c>
      <c r="G165" s="47" t="n">
        <f aca="false">MIN(F165,Sorted!$G$2)</f>
        <v>0</v>
      </c>
      <c r="H165" s="47" t="n">
        <v>0</v>
      </c>
      <c r="I165" s="47" t="n">
        <f aca="false">ROUND(F165-G165-H165,2)</f>
        <v>0</v>
      </c>
      <c r="J165" s="47" t="n">
        <f aca="false">ROUND(M164*(1+Sorted!$H$3),2)</f>
        <v>0</v>
      </c>
      <c r="K165" s="47" t="n">
        <f aca="false">MIN(J165,Sorted!$G$3)</f>
        <v>0</v>
      </c>
      <c r="L165" s="47" t="n">
        <v>0</v>
      </c>
      <c r="M165" s="47" t="n">
        <f aca="false">ROUND(J165-K165-L165,2)</f>
        <v>0</v>
      </c>
      <c r="N165" s="47" t="n">
        <f aca="false">ROUND(Q164*(1+Sorted!$H$4),2)</f>
        <v>0</v>
      </c>
      <c r="O165" s="47" t="n">
        <f aca="false">MIN(N165,Sorted!$G$4)</f>
        <v>0</v>
      </c>
      <c r="P165" s="47" t="n">
        <v>0</v>
      </c>
      <c r="Q165" s="47" t="n">
        <f aca="false">ROUND(N165-O165-P165,2)</f>
        <v>0</v>
      </c>
      <c r="R165" s="47" t="n">
        <f aca="false">ROUND(U164*(1+Sorted!$H$5),2)</f>
        <v>0</v>
      </c>
      <c r="S165" s="47" t="n">
        <f aca="false">MIN(R165,Sorted!$G$5)</f>
        <v>0</v>
      </c>
      <c r="T165" s="47" t="n">
        <v>0</v>
      </c>
      <c r="U165" s="47" t="n">
        <f aca="false">ROUND(R165-S165-T165,2)</f>
        <v>0</v>
      </c>
      <c r="V165" s="47" t="n">
        <f aca="false">ROUND(Y164*(1+Sorted!$H$6),2)</f>
        <v>0</v>
      </c>
      <c r="W165" s="47" t="n">
        <f aca="false">MIN(V165,Sorted!$G$6)</f>
        <v>0</v>
      </c>
      <c r="X165" s="47" t="n">
        <v>0</v>
      </c>
      <c r="Y165" s="47" t="n">
        <f aca="false">ROUND(V165-W165-X165,2)</f>
        <v>0</v>
      </c>
      <c r="Z165" s="47" t="n">
        <f aca="false">ROUND(AC164*(1+Sorted!$H$7),2)</f>
        <v>0</v>
      </c>
      <c r="AA165" s="47" t="n">
        <f aca="false">MIN(Z165,Sorted!$G$7)</f>
        <v>0</v>
      </c>
      <c r="AB165" s="47" t="n">
        <v>0</v>
      </c>
      <c r="AC165" s="47" t="n">
        <f aca="false">ROUND(Z165-AA165-AB165,2)</f>
        <v>0</v>
      </c>
      <c r="AD165" s="47" t="n">
        <f aca="false">ROUND(AG164*(1+Sorted!$H$8),2)</f>
        <v>0</v>
      </c>
      <c r="AE165" s="47" t="n">
        <f aca="false">MIN(AD165,Sorted!$G$8)</f>
        <v>0</v>
      </c>
      <c r="AF165" s="47" t="n">
        <v>0</v>
      </c>
      <c r="AG165" s="47" t="n">
        <f aca="false">ROUND(AD165-AE165-AF165,2)</f>
        <v>0</v>
      </c>
      <c r="AH165" s="47" t="n">
        <f aca="false">ROUND(AK164*(1+Sorted!$H$9),2)</f>
        <v>0</v>
      </c>
      <c r="AI165" s="47" t="n">
        <f aca="false">MIN(AH165,Sorted!$G$9)</f>
        <v>0</v>
      </c>
      <c r="AJ165" s="47" t="n">
        <v>0</v>
      </c>
      <c r="AK165" s="47" t="n">
        <f aca="false">ROUND(AH165-AI165-AJ165,2)</f>
        <v>0</v>
      </c>
      <c r="AL165" s="47" t="n">
        <f aca="false">ROUND(AO164*(1+Sorted!$H$10),2)</f>
        <v>0</v>
      </c>
      <c r="AM165" s="47" t="n">
        <f aca="false">MIN(AL165,Sorted!$G$10)</f>
        <v>0</v>
      </c>
      <c r="AN165" s="47" t="n">
        <v>0</v>
      </c>
      <c r="AO165" s="47" t="n">
        <f aca="false">ROUND(AL165-AM165-AN165,2)</f>
        <v>0</v>
      </c>
      <c r="AP165" s="47" t="n">
        <f aca="false">ROUND(AS164*(1+Sorted!$H$11),2)</f>
        <v>0</v>
      </c>
      <c r="AQ165" s="47" t="n">
        <f aca="false">MIN(AP165,Sorted!$G$11)</f>
        <v>0</v>
      </c>
      <c r="AR165" s="47" t="n">
        <v>0</v>
      </c>
      <c r="AS165" s="47" t="n">
        <f aca="false">ROUND(AP165-AQ165-AR165,2)</f>
        <v>0</v>
      </c>
    </row>
    <row r="166" customFormat="false" ht="15" hidden="false" customHeight="false" outlineLevel="0" collapsed="false">
      <c r="A166" s="45" t="n">
        <v>163</v>
      </c>
      <c r="B166" s="46" t="n">
        <f aca="false">EDATE('My Debts'!$C$7,A166-1)</f>
        <v>51257</v>
      </c>
      <c r="C166" s="47" t="n">
        <v>0</v>
      </c>
      <c r="D166" s="47" t="n">
        <f aca="false">(F166+J166+N166+R166+V166+Z166+AD166+AH166+AL166+AP166)-(I166+M166+Q166+U166+Y166+AC166+AG166+AK166+AO166+AS166)</f>
        <v>0</v>
      </c>
      <c r="E166" s="48" t="n">
        <f aca="false">I166+M166+Q166+U166+Y166+AC166+AG166+AK166+AO166+AS166</f>
        <v>0</v>
      </c>
      <c r="F166" s="47" t="n">
        <f aca="false">ROUND(I165*(1+Sorted!$H$2),2)</f>
        <v>0</v>
      </c>
      <c r="G166" s="47" t="n">
        <f aca="false">MIN(F166,Sorted!$G$2)</f>
        <v>0</v>
      </c>
      <c r="H166" s="47" t="n">
        <v>0</v>
      </c>
      <c r="I166" s="47" t="n">
        <f aca="false">ROUND(F166-G166-H166,2)</f>
        <v>0</v>
      </c>
      <c r="J166" s="47" t="n">
        <f aca="false">ROUND(M165*(1+Sorted!$H$3),2)</f>
        <v>0</v>
      </c>
      <c r="K166" s="47" t="n">
        <f aca="false">MIN(J166,Sorted!$G$3)</f>
        <v>0</v>
      </c>
      <c r="L166" s="47" t="n">
        <v>0</v>
      </c>
      <c r="M166" s="47" t="n">
        <f aca="false">ROUND(J166-K166-L166,2)</f>
        <v>0</v>
      </c>
      <c r="N166" s="47" t="n">
        <f aca="false">ROUND(Q165*(1+Sorted!$H$4),2)</f>
        <v>0</v>
      </c>
      <c r="O166" s="47" t="n">
        <f aca="false">MIN(N166,Sorted!$G$4)</f>
        <v>0</v>
      </c>
      <c r="P166" s="47" t="n">
        <v>0</v>
      </c>
      <c r="Q166" s="47" t="n">
        <f aca="false">ROUND(N166-O166-P166,2)</f>
        <v>0</v>
      </c>
      <c r="R166" s="47" t="n">
        <f aca="false">ROUND(U165*(1+Sorted!$H$5),2)</f>
        <v>0</v>
      </c>
      <c r="S166" s="47" t="n">
        <f aca="false">MIN(R166,Sorted!$G$5)</f>
        <v>0</v>
      </c>
      <c r="T166" s="47" t="n">
        <v>0</v>
      </c>
      <c r="U166" s="47" t="n">
        <f aca="false">ROUND(R166-S166-T166,2)</f>
        <v>0</v>
      </c>
      <c r="V166" s="47" t="n">
        <f aca="false">ROUND(Y165*(1+Sorted!$H$6),2)</f>
        <v>0</v>
      </c>
      <c r="W166" s="47" t="n">
        <f aca="false">MIN(V166,Sorted!$G$6)</f>
        <v>0</v>
      </c>
      <c r="X166" s="47" t="n">
        <v>0</v>
      </c>
      <c r="Y166" s="47" t="n">
        <f aca="false">ROUND(V166-W166-X166,2)</f>
        <v>0</v>
      </c>
      <c r="Z166" s="47" t="n">
        <f aca="false">ROUND(AC165*(1+Sorted!$H$7),2)</f>
        <v>0</v>
      </c>
      <c r="AA166" s="47" t="n">
        <f aca="false">MIN(Z166,Sorted!$G$7)</f>
        <v>0</v>
      </c>
      <c r="AB166" s="47" t="n">
        <v>0</v>
      </c>
      <c r="AC166" s="47" t="n">
        <f aca="false">ROUND(Z166-AA166-AB166,2)</f>
        <v>0</v>
      </c>
      <c r="AD166" s="47" t="n">
        <f aca="false">ROUND(AG165*(1+Sorted!$H$8),2)</f>
        <v>0</v>
      </c>
      <c r="AE166" s="47" t="n">
        <f aca="false">MIN(AD166,Sorted!$G$8)</f>
        <v>0</v>
      </c>
      <c r="AF166" s="47" t="n">
        <v>0</v>
      </c>
      <c r="AG166" s="47" t="n">
        <f aca="false">ROUND(AD166-AE166-AF166,2)</f>
        <v>0</v>
      </c>
      <c r="AH166" s="47" t="n">
        <f aca="false">ROUND(AK165*(1+Sorted!$H$9),2)</f>
        <v>0</v>
      </c>
      <c r="AI166" s="47" t="n">
        <f aca="false">MIN(AH166,Sorted!$G$9)</f>
        <v>0</v>
      </c>
      <c r="AJ166" s="47" t="n">
        <v>0</v>
      </c>
      <c r="AK166" s="47" t="n">
        <f aca="false">ROUND(AH166-AI166-AJ166,2)</f>
        <v>0</v>
      </c>
      <c r="AL166" s="47" t="n">
        <f aca="false">ROUND(AO165*(1+Sorted!$H$10),2)</f>
        <v>0</v>
      </c>
      <c r="AM166" s="47" t="n">
        <f aca="false">MIN(AL166,Sorted!$G$10)</f>
        <v>0</v>
      </c>
      <c r="AN166" s="47" t="n">
        <v>0</v>
      </c>
      <c r="AO166" s="47" t="n">
        <f aca="false">ROUND(AL166-AM166-AN166,2)</f>
        <v>0</v>
      </c>
      <c r="AP166" s="47" t="n">
        <f aca="false">ROUND(AS165*(1+Sorted!$H$11),2)</f>
        <v>0</v>
      </c>
      <c r="AQ166" s="47" t="n">
        <f aca="false">MIN(AP166,Sorted!$G$11)</f>
        <v>0</v>
      </c>
      <c r="AR166" s="47" t="n">
        <v>0</v>
      </c>
      <c r="AS166" s="47" t="n">
        <f aca="false">ROUND(AP166-AQ166-AR166,2)</f>
        <v>0</v>
      </c>
    </row>
    <row r="167" customFormat="false" ht="15" hidden="false" customHeight="false" outlineLevel="0" collapsed="false">
      <c r="A167" s="45" t="n">
        <v>164</v>
      </c>
      <c r="B167" s="46" t="n">
        <f aca="false">EDATE('My Debts'!$C$7,A167-1)</f>
        <v>51288</v>
      </c>
      <c r="C167" s="47" t="n">
        <v>0</v>
      </c>
      <c r="D167" s="47" t="n">
        <f aca="false">(F167+J167+N167+R167+V167+Z167+AD167+AH167+AL167+AP167)-(I167+M167+Q167+U167+Y167+AC167+AG167+AK167+AO167+AS167)</f>
        <v>0</v>
      </c>
      <c r="E167" s="48" t="n">
        <f aca="false">I167+M167+Q167+U167+Y167+AC167+AG167+AK167+AO167+AS167</f>
        <v>0</v>
      </c>
      <c r="F167" s="47" t="n">
        <f aca="false">ROUND(I166*(1+Sorted!$H$2),2)</f>
        <v>0</v>
      </c>
      <c r="G167" s="47" t="n">
        <f aca="false">MIN(F167,Sorted!$G$2)</f>
        <v>0</v>
      </c>
      <c r="H167" s="47" t="n">
        <v>0</v>
      </c>
      <c r="I167" s="47" t="n">
        <f aca="false">ROUND(F167-G167-H167,2)</f>
        <v>0</v>
      </c>
      <c r="J167" s="47" t="n">
        <f aca="false">ROUND(M166*(1+Sorted!$H$3),2)</f>
        <v>0</v>
      </c>
      <c r="K167" s="47" t="n">
        <f aca="false">MIN(J167,Sorted!$G$3)</f>
        <v>0</v>
      </c>
      <c r="L167" s="47" t="n">
        <v>0</v>
      </c>
      <c r="M167" s="47" t="n">
        <f aca="false">ROUND(J167-K167-L167,2)</f>
        <v>0</v>
      </c>
      <c r="N167" s="47" t="n">
        <f aca="false">ROUND(Q166*(1+Sorted!$H$4),2)</f>
        <v>0</v>
      </c>
      <c r="O167" s="47" t="n">
        <f aca="false">MIN(N167,Sorted!$G$4)</f>
        <v>0</v>
      </c>
      <c r="P167" s="47" t="n">
        <v>0</v>
      </c>
      <c r="Q167" s="47" t="n">
        <f aca="false">ROUND(N167-O167-P167,2)</f>
        <v>0</v>
      </c>
      <c r="R167" s="47" t="n">
        <f aca="false">ROUND(U166*(1+Sorted!$H$5),2)</f>
        <v>0</v>
      </c>
      <c r="S167" s="47" t="n">
        <f aca="false">MIN(R167,Sorted!$G$5)</f>
        <v>0</v>
      </c>
      <c r="T167" s="47" t="n">
        <v>0</v>
      </c>
      <c r="U167" s="47" t="n">
        <f aca="false">ROUND(R167-S167-T167,2)</f>
        <v>0</v>
      </c>
      <c r="V167" s="47" t="n">
        <f aca="false">ROUND(Y166*(1+Sorted!$H$6),2)</f>
        <v>0</v>
      </c>
      <c r="W167" s="47" t="n">
        <f aca="false">MIN(V167,Sorted!$G$6)</f>
        <v>0</v>
      </c>
      <c r="X167" s="47" t="n">
        <v>0</v>
      </c>
      <c r="Y167" s="47" t="n">
        <f aca="false">ROUND(V167-W167-X167,2)</f>
        <v>0</v>
      </c>
      <c r="Z167" s="47" t="n">
        <f aca="false">ROUND(AC166*(1+Sorted!$H$7),2)</f>
        <v>0</v>
      </c>
      <c r="AA167" s="47" t="n">
        <f aca="false">MIN(Z167,Sorted!$G$7)</f>
        <v>0</v>
      </c>
      <c r="AB167" s="47" t="n">
        <v>0</v>
      </c>
      <c r="AC167" s="47" t="n">
        <f aca="false">ROUND(Z167-AA167-AB167,2)</f>
        <v>0</v>
      </c>
      <c r="AD167" s="47" t="n">
        <f aca="false">ROUND(AG166*(1+Sorted!$H$8),2)</f>
        <v>0</v>
      </c>
      <c r="AE167" s="47" t="n">
        <f aca="false">MIN(AD167,Sorted!$G$8)</f>
        <v>0</v>
      </c>
      <c r="AF167" s="47" t="n">
        <v>0</v>
      </c>
      <c r="AG167" s="47" t="n">
        <f aca="false">ROUND(AD167-AE167-AF167,2)</f>
        <v>0</v>
      </c>
      <c r="AH167" s="47" t="n">
        <f aca="false">ROUND(AK166*(1+Sorted!$H$9),2)</f>
        <v>0</v>
      </c>
      <c r="AI167" s="47" t="n">
        <f aca="false">MIN(AH167,Sorted!$G$9)</f>
        <v>0</v>
      </c>
      <c r="AJ167" s="47" t="n">
        <v>0</v>
      </c>
      <c r="AK167" s="47" t="n">
        <f aca="false">ROUND(AH167-AI167-AJ167,2)</f>
        <v>0</v>
      </c>
      <c r="AL167" s="47" t="n">
        <f aca="false">ROUND(AO166*(1+Sorted!$H$10),2)</f>
        <v>0</v>
      </c>
      <c r="AM167" s="47" t="n">
        <f aca="false">MIN(AL167,Sorted!$G$10)</f>
        <v>0</v>
      </c>
      <c r="AN167" s="47" t="n">
        <v>0</v>
      </c>
      <c r="AO167" s="47" t="n">
        <f aca="false">ROUND(AL167-AM167-AN167,2)</f>
        <v>0</v>
      </c>
      <c r="AP167" s="47" t="n">
        <f aca="false">ROUND(AS166*(1+Sorted!$H$11),2)</f>
        <v>0</v>
      </c>
      <c r="AQ167" s="47" t="n">
        <f aca="false">MIN(AP167,Sorted!$G$11)</f>
        <v>0</v>
      </c>
      <c r="AR167" s="47" t="n">
        <v>0</v>
      </c>
      <c r="AS167" s="47" t="n">
        <f aca="false">ROUND(AP167-AQ167-AR167,2)</f>
        <v>0</v>
      </c>
    </row>
    <row r="168" customFormat="false" ht="15" hidden="false" customHeight="false" outlineLevel="0" collapsed="false">
      <c r="A168" s="45" t="n">
        <v>165</v>
      </c>
      <c r="B168" s="46" t="n">
        <f aca="false">EDATE('My Debts'!$C$7,A168-1)</f>
        <v>51318</v>
      </c>
      <c r="C168" s="47" t="n">
        <v>0</v>
      </c>
      <c r="D168" s="47" t="n">
        <f aca="false">(F168+J168+N168+R168+V168+Z168+AD168+AH168+AL168+AP168)-(I168+M168+Q168+U168+Y168+AC168+AG168+AK168+AO168+AS168)</f>
        <v>0</v>
      </c>
      <c r="E168" s="48" t="n">
        <f aca="false">I168+M168+Q168+U168+Y168+AC168+AG168+AK168+AO168+AS168</f>
        <v>0</v>
      </c>
      <c r="F168" s="47" t="n">
        <f aca="false">ROUND(I167*(1+Sorted!$H$2),2)</f>
        <v>0</v>
      </c>
      <c r="G168" s="47" t="n">
        <f aca="false">MIN(F168,Sorted!$G$2)</f>
        <v>0</v>
      </c>
      <c r="H168" s="47" t="n">
        <v>0</v>
      </c>
      <c r="I168" s="47" t="n">
        <f aca="false">ROUND(F168-G168-H168,2)</f>
        <v>0</v>
      </c>
      <c r="J168" s="47" t="n">
        <f aca="false">ROUND(M167*(1+Sorted!$H$3),2)</f>
        <v>0</v>
      </c>
      <c r="K168" s="47" t="n">
        <f aca="false">MIN(J168,Sorted!$G$3)</f>
        <v>0</v>
      </c>
      <c r="L168" s="47" t="n">
        <v>0</v>
      </c>
      <c r="M168" s="47" t="n">
        <f aca="false">ROUND(J168-K168-L168,2)</f>
        <v>0</v>
      </c>
      <c r="N168" s="47" t="n">
        <f aca="false">ROUND(Q167*(1+Sorted!$H$4),2)</f>
        <v>0</v>
      </c>
      <c r="O168" s="47" t="n">
        <f aca="false">MIN(N168,Sorted!$G$4)</f>
        <v>0</v>
      </c>
      <c r="P168" s="47" t="n">
        <v>0</v>
      </c>
      <c r="Q168" s="47" t="n">
        <f aca="false">ROUND(N168-O168-P168,2)</f>
        <v>0</v>
      </c>
      <c r="R168" s="47" t="n">
        <f aca="false">ROUND(U167*(1+Sorted!$H$5),2)</f>
        <v>0</v>
      </c>
      <c r="S168" s="47" t="n">
        <f aca="false">MIN(R168,Sorted!$G$5)</f>
        <v>0</v>
      </c>
      <c r="T168" s="47" t="n">
        <v>0</v>
      </c>
      <c r="U168" s="47" t="n">
        <f aca="false">ROUND(R168-S168-T168,2)</f>
        <v>0</v>
      </c>
      <c r="V168" s="47" t="n">
        <f aca="false">ROUND(Y167*(1+Sorted!$H$6),2)</f>
        <v>0</v>
      </c>
      <c r="W168" s="47" t="n">
        <f aca="false">MIN(V168,Sorted!$G$6)</f>
        <v>0</v>
      </c>
      <c r="X168" s="47" t="n">
        <v>0</v>
      </c>
      <c r="Y168" s="47" t="n">
        <f aca="false">ROUND(V168-W168-X168,2)</f>
        <v>0</v>
      </c>
      <c r="Z168" s="47" t="n">
        <f aca="false">ROUND(AC167*(1+Sorted!$H$7),2)</f>
        <v>0</v>
      </c>
      <c r="AA168" s="47" t="n">
        <f aca="false">MIN(Z168,Sorted!$G$7)</f>
        <v>0</v>
      </c>
      <c r="AB168" s="47" t="n">
        <v>0</v>
      </c>
      <c r="AC168" s="47" t="n">
        <f aca="false">ROUND(Z168-AA168-AB168,2)</f>
        <v>0</v>
      </c>
      <c r="AD168" s="47" t="n">
        <f aca="false">ROUND(AG167*(1+Sorted!$H$8),2)</f>
        <v>0</v>
      </c>
      <c r="AE168" s="47" t="n">
        <f aca="false">MIN(AD168,Sorted!$G$8)</f>
        <v>0</v>
      </c>
      <c r="AF168" s="47" t="n">
        <v>0</v>
      </c>
      <c r="AG168" s="47" t="n">
        <f aca="false">ROUND(AD168-AE168-AF168,2)</f>
        <v>0</v>
      </c>
      <c r="AH168" s="47" t="n">
        <f aca="false">ROUND(AK167*(1+Sorted!$H$9),2)</f>
        <v>0</v>
      </c>
      <c r="AI168" s="47" t="n">
        <f aca="false">MIN(AH168,Sorted!$G$9)</f>
        <v>0</v>
      </c>
      <c r="AJ168" s="47" t="n">
        <v>0</v>
      </c>
      <c r="AK168" s="47" t="n">
        <f aca="false">ROUND(AH168-AI168-AJ168,2)</f>
        <v>0</v>
      </c>
      <c r="AL168" s="47" t="n">
        <f aca="false">ROUND(AO167*(1+Sorted!$H$10),2)</f>
        <v>0</v>
      </c>
      <c r="AM168" s="47" t="n">
        <f aca="false">MIN(AL168,Sorted!$G$10)</f>
        <v>0</v>
      </c>
      <c r="AN168" s="47" t="n">
        <v>0</v>
      </c>
      <c r="AO168" s="47" t="n">
        <f aca="false">ROUND(AL168-AM168-AN168,2)</f>
        <v>0</v>
      </c>
      <c r="AP168" s="47" t="n">
        <f aca="false">ROUND(AS167*(1+Sorted!$H$11),2)</f>
        <v>0</v>
      </c>
      <c r="AQ168" s="47" t="n">
        <f aca="false">MIN(AP168,Sorted!$G$11)</f>
        <v>0</v>
      </c>
      <c r="AR168" s="47" t="n">
        <v>0</v>
      </c>
      <c r="AS168" s="47" t="n">
        <f aca="false">ROUND(AP168-AQ168-AR168,2)</f>
        <v>0</v>
      </c>
    </row>
    <row r="169" customFormat="false" ht="15" hidden="false" customHeight="false" outlineLevel="0" collapsed="false">
      <c r="A169" s="45" t="n">
        <v>166</v>
      </c>
      <c r="B169" s="46" t="n">
        <f aca="false">EDATE('My Debts'!$C$7,A169-1)</f>
        <v>51349</v>
      </c>
      <c r="C169" s="47" t="n">
        <v>0</v>
      </c>
      <c r="D169" s="47" t="n">
        <f aca="false">(F169+J169+N169+R169+V169+Z169+AD169+AH169+AL169+AP169)-(I169+M169+Q169+U169+Y169+AC169+AG169+AK169+AO169+AS169)</f>
        <v>0</v>
      </c>
      <c r="E169" s="48" t="n">
        <f aca="false">I169+M169+Q169+U169+Y169+AC169+AG169+AK169+AO169+AS169</f>
        <v>0</v>
      </c>
      <c r="F169" s="47" t="n">
        <f aca="false">ROUND(I168*(1+Sorted!$H$2),2)</f>
        <v>0</v>
      </c>
      <c r="G169" s="47" t="n">
        <f aca="false">MIN(F169,Sorted!$G$2)</f>
        <v>0</v>
      </c>
      <c r="H169" s="47" t="n">
        <v>0</v>
      </c>
      <c r="I169" s="47" t="n">
        <f aca="false">ROUND(F169-G169-H169,2)</f>
        <v>0</v>
      </c>
      <c r="J169" s="47" t="n">
        <f aca="false">ROUND(M168*(1+Sorted!$H$3),2)</f>
        <v>0</v>
      </c>
      <c r="K169" s="47" t="n">
        <f aca="false">MIN(J169,Sorted!$G$3)</f>
        <v>0</v>
      </c>
      <c r="L169" s="47" t="n">
        <v>0</v>
      </c>
      <c r="M169" s="47" t="n">
        <f aca="false">ROUND(J169-K169-L169,2)</f>
        <v>0</v>
      </c>
      <c r="N169" s="47" t="n">
        <f aca="false">ROUND(Q168*(1+Sorted!$H$4),2)</f>
        <v>0</v>
      </c>
      <c r="O169" s="47" t="n">
        <f aca="false">MIN(N169,Sorted!$G$4)</f>
        <v>0</v>
      </c>
      <c r="P169" s="47" t="n">
        <v>0</v>
      </c>
      <c r="Q169" s="47" t="n">
        <f aca="false">ROUND(N169-O169-P169,2)</f>
        <v>0</v>
      </c>
      <c r="R169" s="47" t="n">
        <f aca="false">ROUND(U168*(1+Sorted!$H$5),2)</f>
        <v>0</v>
      </c>
      <c r="S169" s="47" t="n">
        <f aca="false">MIN(R169,Sorted!$G$5)</f>
        <v>0</v>
      </c>
      <c r="T169" s="47" t="n">
        <v>0</v>
      </c>
      <c r="U169" s="47" t="n">
        <f aca="false">ROUND(R169-S169-T169,2)</f>
        <v>0</v>
      </c>
      <c r="V169" s="47" t="n">
        <f aca="false">ROUND(Y168*(1+Sorted!$H$6),2)</f>
        <v>0</v>
      </c>
      <c r="W169" s="47" t="n">
        <f aca="false">MIN(V169,Sorted!$G$6)</f>
        <v>0</v>
      </c>
      <c r="X169" s="47" t="n">
        <v>0</v>
      </c>
      <c r="Y169" s="47" t="n">
        <f aca="false">ROUND(V169-W169-X169,2)</f>
        <v>0</v>
      </c>
      <c r="Z169" s="47" t="n">
        <f aca="false">ROUND(AC168*(1+Sorted!$H$7),2)</f>
        <v>0</v>
      </c>
      <c r="AA169" s="47" t="n">
        <f aca="false">MIN(Z169,Sorted!$G$7)</f>
        <v>0</v>
      </c>
      <c r="AB169" s="47" t="n">
        <v>0</v>
      </c>
      <c r="AC169" s="47" t="n">
        <f aca="false">ROUND(Z169-AA169-AB169,2)</f>
        <v>0</v>
      </c>
      <c r="AD169" s="47" t="n">
        <f aca="false">ROUND(AG168*(1+Sorted!$H$8),2)</f>
        <v>0</v>
      </c>
      <c r="AE169" s="47" t="n">
        <f aca="false">MIN(AD169,Sorted!$G$8)</f>
        <v>0</v>
      </c>
      <c r="AF169" s="47" t="n">
        <v>0</v>
      </c>
      <c r="AG169" s="47" t="n">
        <f aca="false">ROUND(AD169-AE169-AF169,2)</f>
        <v>0</v>
      </c>
      <c r="AH169" s="47" t="n">
        <f aca="false">ROUND(AK168*(1+Sorted!$H$9),2)</f>
        <v>0</v>
      </c>
      <c r="AI169" s="47" t="n">
        <f aca="false">MIN(AH169,Sorted!$G$9)</f>
        <v>0</v>
      </c>
      <c r="AJ169" s="47" t="n">
        <v>0</v>
      </c>
      <c r="AK169" s="47" t="n">
        <f aca="false">ROUND(AH169-AI169-AJ169,2)</f>
        <v>0</v>
      </c>
      <c r="AL169" s="47" t="n">
        <f aca="false">ROUND(AO168*(1+Sorted!$H$10),2)</f>
        <v>0</v>
      </c>
      <c r="AM169" s="47" t="n">
        <f aca="false">MIN(AL169,Sorted!$G$10)</f>
        <v>0</v>
      </c>
      <c r="AN169" s="47" t="n">
        <v>0</v>
      </c>
      <c r="AO169" s="47" t="n">
        <f aca="false">ROUND(AL169-AM169-AN169,2)</f>
        <v>0</v>
      </c>
      <c r="AP169" s="47" t="n">
        <f aca="false">ROUND(AS168*(1+Sorted!$H$11),2)</f>
        <v>0</v>
      </c>
      <c r="AQ169" s="47" t="n">
        <f aca="false">MIN(AP169,Sorted!$G$11)</f>
        <v>0</v>
      </c>
      <c r="AR169" s="47" t="n">
        <v>0</v>
      </c>
      <c r="AS169" s="47" t="n">
        <f aca="false">ROUND(AP169-AQ169-AR169,2)</f>
        <v>0</v>
      </c>
    </row>
    <row r="170" customFormat="false" ht="15" hidden="false" customHeight="false" outlineLevel="0" collapsed="false">
      <c r="A170" s="45" t="n">
        <v>167</v>
      </c>
      <c r="B170" s="46" t="n">
        <f aca="false">EDATE('My Debts'!$C$7,A170-1)</f>
        <v>51380</v>
      </c>
      <c r="C170" s="47" t="n">
        <v>0</v>
      </c>
      <c r="D170" s="47" t="n">
        <f aca="false">(F170+J170+N170+R170+V170+Z170+AD170+AH170+AL170+AP170)-(I170+M170+Q170+U170+Y170+AC170+AG170+AK170+AO170+AS170)</f>
        <v>0</v>
      </c>
      <c r="E170" s="48" t="n">
        <f aca="false">I170+M170+Q170+U170+Y170+AC170+AG170+AK170+AO170+AS170</f>
        <v>0</v>
      </c>
      <c r="F170" s="47" t="n">
        <f aca="false">ROUND(I169*(1+Sorted!$H$2),2)</f>
        <v>0</v>
      </c>
      <c r="G170" s="47" t="n">
        <f aca="false">MIN(F170,Sorted!$G$2)</f>
        <v>0</v>
      </c>
      <c r="H170" s="47" t="n">
        <v>0</v>
      </c>
      <c r="I170" s="47" t="n">
        <f aca="false">ROUND(F170-G170-H170,2)</f>
        <v>0</v>
      </c>
      <c r="J170" s="47" t="n">
        <f aca="false">ROUND(M169*(1+Sorted!$H$3),2)</f>
        <v>0</v>
      </c>
      <c r="K170" s="47" t="n">
        <f aca="false">MIN(J170,Sorted!$G$3)</f>
        <v>0</v>
      </c>
      <c r="L170" s="47" t="n">
        <v>0</v>
      </c>
      <c r="M170" s="47" t="n">
        <f aca="false">ROUND(J170-K170-L170,2)</f>
        <v>0</v>
      </c>
      <c r="N170" s="47" t="n">
        <f aca="false">ROUND(Q169*(1+Sorted!$H$4),2)</f>
        <v>0</v>
      </c>
      <c r="O170" s="47" t="n">
        <f aca="false">MIN(N170,Sorted!$G$4)</f>
        <v>0</v>
      </c>
      <c r="P170" s="47" t="n">
        <v>0</v>
      </c>
      <c r="Q170" s="47" t="n">
        <f aca="false">ROUND(N170-O170-P170,2)</f>
        <v>0</v>
      </c>
      <c r="R170" s="47" t="n">
        <f aca="false">ROUND(U169*(1+Sorted!$H$5),2)</f>
        <v>0</v>
      </c>
      <c r="S170" s="47" t="n">
        <f aca="false">MIN(R170,Sorted!$G$5)</f>
        <v>0</v>
      </c>
      <c r="T170" s="47" t="n">
        <v>0</v>
      </c>
      <c r="U170" s="47" t="n">
        <f aca="false">ROUND(R170-S170-T170,2)</f>
        <v>0</v>
      </c>
      <c r="V170" s="47" t="n">
        <f aca="false">ROUND(Y169*(1+Sorted!$H$6),2)</f>
        <v>0</v>
      </c>
      <c r="W170" s="47" t="n">
        <f aca="false">MIN(V170,Sorted!$G$6)</f>
        <v>0</v>
      </c>
      <c r="X170" s="47" t="n">
        <v>0</v>
      </c>
      <c r="Y170" s="47" t="n">
        <f aca="false">ROUND(V170-W170-X170,2)</f>
        <v>0</v>
      </c>
      <c r="Z170" s="47" t="n">
        <f aca="false">ROUND(AC169*(1+Sorted!$H$7),2)</f>
        <v>0</v>
      </c>
      <c r="AA170" s="47" t="n">
        <f aca="false">MIN(Z170,Sorted!$G$7)</f>
        <v>0</v>
      </c>
      <c r="AB170" s="47" t="n">
        <v>0</v>
      </c>
      <c r="AC170" s="47" t="n">
        <f aca="false">ROUND(Z170-AA170-AB170,2)</f>
        <v>0</v>
      </c>
      <c r="AD170" s="47" t="n">
        <f aca="false">ROUND(AG169*(1+Sorted!$H$8),2)</f>
        <v>0</v>
      </c>
      <c r="AE170" s="47" t="n">
        <f aca="false">MIN(AD170,Sorted!$G$8)</f>
        <v>0</v>
      </c>
      <c r="AF170" s="47" t="n">
        <v>0</v>
      </c>
      <c r="AG170" s="47" t="n">
        <f aca="false">ROUND(AD170-AE170-AF170,2)</f>
        <v>0</v>
      </c>
      <c r="AH170" s="47" t="n">
        <f aca="false">ROUND(AK169*(1+Sorted!$H$9),2)</f>
        <v>0</v>
      </c>
      <c r="AI170" s="47" t="n">
        <f aca="false">MIN(AH170,Sorted!$G$9)</f>
        <v>0</v>
      </c>
      <c r="AJ170" s="47" t="n">
        <v>0</v>
      </c>
      <c r="AK170" s="47" t="n">
        <f aca="false">ROUND(AH170-AI170-AJ170,2)</f>
        <v>0</v>
      </c>
      <c r="AL170" s="47" t="n">
        <f aca="false">ROUND(AO169*(1+Sorted!$H$10),2)</f>
        <v>0</v>
      </c>
      <c r="AM170" s="47" t="n">
        <f aca="false">MIN(AL170,Sorted!$G$10)</f>
        <v>0</v>
      </c>
      <c r="AN170" s="47" t="n">
        <v>0</v>
      </c>
      <c r="AO170" s="47" t="n">
        <f aca="false">ROUND(AL170-AM170-AN170,2)</f>
        <v>0</v>
      </c>
      <c r="AP170" s="47" t="n">
        <f aca="false">ROUND(AS169*(1+Sorted!$H$11),2)</f>
        <v>0</v>
      </c>
      <c r="AQ170" s="47" t="n">
        <f aca="false">MIN(AP170,Sorted!$G$11)</f>
        <v>0</v>
      </c>
      <c r="AR170" s="47" t="n">
        <v>0</v>
      </c>
      <c r="AS170" s="47" t="n">
        <f aca="false">ROUND(AP170-AQ170-AR170,2)</f>
        <v>0</v>
      </c>
    </row>
    <row r="171" customFormat="false" ht="15" hidden="false" customHeight="false" outlineLevel="0" collapsed="false">
      <c r="A171" s="45" t="n">
        <v>168</v>
      </c>
      <c r="B171" s="46" t="n">
        <f aca="false">EDATE('My Debts'!$C$7,A171-1)</f>
        <v>51410</v>
      </c>
      <c r="C171" s="47" t="n">
        <v>0</v>
      </c>
      <c r="D171" s="47" t="n">
        <f aca="false">(F171+J171+N171+R171+V171+Z171+AD171+AH171+AL171+AP171)-(I171+M171+Q171+U171+Y171+AC171+AG171+AK171+AO171+AS171)</f>
        <v>0</v>
      </c>
      <c r="E171" s="48" t="n">
        <f aca="false">I171+M171+Q171+U171+Y171+AC171+AG171+AK171+AO171+AS171</f>
        <v>0</v>
      </c>
      <c r="F171" s="47" t="n">
        <f aca="false">ROUND(I170*(1+Sorted!$H$2),2)</f>
        <v>0</v>
      </c>
      <c r="G171" s="47" t="n">
        <f aca="false">MIN(F171,Sorted!$G$2)</f>
        <v>0</v>
      </c>
      <c r="H171" s="47" t="n">
        <v>0</v>
      </c>
      <c r="I171" s="47" t="n">
        <f aca="false">ROUND(F171-G171-H171,2)</f>
        <v>0</v>
      </c>
      <c r="J171" s="47" t="n">
        <f aca="false">ROUND(M170*(1+Sorted!$H$3),2)</f>
        <v>0</v>
      </c>
      <c r="K171" s="47" t="n">
        <f aca="false">MIN(J171,Sorted!$G$3)</f>
        <v>0</v>
      </c>
      <c r="L171" s="47" t="n">
        <v>0</v>
      </c>
      <c r="M171" s="47" t="n">
        <f aca="false">ROUND(J171-K171-L171,2)</f>
        <v>0</v>
      </c>
      <c r="N171" s="47" t="n">
        <f aca="false">ROUND(Q170*(1+Sorted!$H$4),2)</f>
        <v>0</v>
      </c>
      <c r="O171" s="47" t="n">
        <f aca="false">MIN(N171,Sorted!$G$4)</f>
        <v>0</v>
      </c>
      <c r="P171" s="47" t="n">
        <v>0</v>
      </c>
      <c r="Q171" s="47" t="n">
        <f aca="false">ROUND(N171-O171-P171,2)</f>
        <v>0</v>
      </c>
      <c r="R171" s="47" t="n">
        <f aca="false">ROUND(U170*(1+Sorted!$H$5),2)</f>
        <v>0</v>
      </c>
      <c r="S171" s="47" t="n">
        <f aca="false">MIN(R171,Sorted!$G$5)</f>
        <v>0</v>
      </c>
      <c r="T171" s="47" t="n">
        <v>0</v>
      </c>
      <c r="U171" s="47" t="n">
        <f aca="false">ROUND(R171-S171-T171,2)</f>
        <v>0</v>
      </c>
      <c r="V171" s="47" t="n">
        <f aca="false">ROUND(Y170*(1+Sorted!$H$6),2)</f>
        <v>0</v>
      </c>
      <c r="W171" s="47" t="n">
        <f aca="false">MIN(V171,Sorted!$G$6)</f>
        <v>0</v>
      </c>
      <c r="X171" s="47" t="n">
        <v>0</v>
      </c>
      <c r="Y171" s="47" t="n">
        <f aca="false">ROUND(V171-W171-X171,2)</f>
        <v>0</v>
      </c>
      <c r="Z171" s="47" t="n">
        <f aca="false">ROUND(AC170*(1+Sorted!$H$7),2)</f>
        <v>0</v>
      </c>
      <c r="AA171" s="47" t="n">
        <f aca="false">MIN(Z171,Sorted!$G$7)</f>
        <v>0</v>
      </c>
      <c r="AB171" s="47" t="n">
        <v>0</v>
      </c>
      <c r="AC171" s="47" t="n">
        <f aca="false">ROUND(Z171-AA171-AB171,2)</f>
        <v>0</v>
      </c>
      <c r="AD171" s="47" t="n">
        <f aca="false">ROUND(AG170*(1+Sorted!$H$8),2)</f>
        <v>0</v>
      </c>
      <c r="AE171" s="47" t="n">
        <f aca="false">MIN(AD171,Sorted!$G$8)</f>
        <v>0</v>
      </c>
      <c r="AF171" s="47" t="n">
        <v>0</v>
      </c>
      <c r="AG171" s="47" t="n">
        <f aca="false">ROUND(AD171-AE171-AF171,2)</f>
        <v>0</v>
      </c>
      <c r="AH171" s="47" t="n">
        <f aca="false">ROUND(AK170*(1+Sorted!$H$9),2)</f>
        <v>0</v>
      </c>
      <c r="AI171" s="47" t="n">
        <f aca="false">MIN(AH171,Sorted!$G$9)</f>
        <v>0</v>
      </c>
      <c r="AJ171" s="47" t="n">
        <v>0</v>
      </c>
      <c r="AK171" s="47" t="n">
        <f aca="false">ROUND(AH171-AI171-AJ171,2)</f>
        <v>0</v>
      </c>
      <c r="AL171" s="47" t="n">
        <f aca="false">ROUND(AO170*(1+Sorted!$H$10),2)</f>
        <v>0</v>
      </c>
      <c r="AM171" s="47" t="n">
        <f aca="false">MIN(AL171,Sorted!$G$10)</f>
        <v>0</v>
      </c>
      <c r="AN171" s="47" t="n">
        <v>0</v>
      </c>
      <c r="AO171" s="47" t="n">
        <f aca="false">ROUND(AL171-AM171-AN171,2)</f>
        <v>0</v>
      </c>
      <c r="AP171" s="47" t="n">
        <f aca="false">ROUND(AS170*(1+Sorted!$H$11),2)</f>
        <v>0</v>
      </c>
      <c r="AQ171" s="47" t="n">
        <f aca="false">MIN(AP171,Sorted!$G$11)</f>
        <v>0</v>
      </c>
      <c r="AR171" s="47" t="n">
        <v>0</v>
      </c>
      <c r="AS171" s="47" t="n">
        <f aca="false">ROUND(AP171-AQ171-AR171,2)</f>
        <v>0</v>
      </c>
    </row>
    <row r="172" customFormat="false" ht="15" hidden="false" customHeight="false" outlineLevel="0" collapsed="false">
      <c r="A172" s="45" t="n">
        <v>169</v>
      </c>
      <c r="B172" s="46" t="n">
        <f aca="false">EDATE('My Debts'!$C$7,A172-1)</f>
        <v>51441</v>
      </c>
      <c r="C172" s="47" t="n">
        <v>0</v>
      </c>
      <c r="D172" s="47" t="n">
        <f aca="false">(F172+J172+N172+R172+V172+Z172+AD172+AH172+AL172+AP172)-(I172+M172+Q172+U172+Y172+AC172+AG172+AK172+AO172+AS172)</f>
        <v>0</v>
      </c>
      <c r="E172" s="48" t="n">
        <f aca="false">I172+M172+Q172+U172+Y172+AC172+AG172+AK172+AO172+AS172</f>
        <v>0</v>
      </c>
      <c r="F172" s="47" t="n">
        <f aca="false">ROUND(I171*(1+Sorted!$H$2),2)</f>
        <v>0</v>
      </c>
      <c r="G172" s="47" t="n">
        <f aca="false">MIN(F172,Sorted!$G$2)</f>
        <v>0</v>
      </c>
      <c r="H172" s="47" t="n">
        <v>0</v>
      </c>
      <c r="I172" s="47" t="n">
        <f aca="false">ROUND(F172-G172-H172,2)</f>
        <v>0</v>
      </c>
      <c r="J172" s="47" t="n">
        <f aca="false">ROUND(M171*(1+Sorted!$H$3),2)</f>
        <v>0</v>
      </c>
      <c r="K172" s="47" t="n">
        <f aca="false">MIN(J172,Sorted!$G$3)</f>
        <v>0</v>
      </c>
      <c r="L172" s="47" t="n">
        <v>0</v>
      </c>
      <c r="M172" s="47" t="n">
        <f aca="false">ROUND(J172-K172-L172,2)</f>
        <v>0</v>
      </c>
      <c r="N172" s="47" t="n">
        <f aca="false">ROUND(Q171*(1+Sorted!$H$4),2)</f>
        <v>0</v>
      </c>
      <c r="O172" s="47" t="n">
        <f aca="false">MIN(N172,Sorted!$G$4)</f>
        <v>0</v>
      </c>
      <c r="P172" s="47" t="n">
        <v>0</v>
      </c>
      <c r="Q172" s="47" t="n">
        <f aca="false">ROUND(N172-O172-P172,2)</f>
        <v>0</v>
      </c>
      <c r="R172" s="47" t="n">
        <f aca="false">ROUND(U171*(1+Sorted!$H$5),2)</f>
        <v>0</v>
      </c>
      <c r="S172" s="47" t="n">
        <f aca="false">MIN(R172,Sorted!$G$5)</f>
        <v>0</v>
      </c>
      <c r="T172" s="47" t="n">
        <v>0</v>
      </c>
      <c r="U172" s="47" t="n">
        <f aca="false">ROUND(R172-S172-T172,2)</f>
        <v>0</v>
      </c>
      <c r="V172" s="47" t="n">
        <f aca="false">ROUND(Y171*(1+Sorted!$H$6),2)</f>
        <v>0</v>
      </c>
      <c r="W172" s="47" t="n">
        <f aca="false">MIN(V172,Sorted!$G$6)</f>
        <v>0</v>
      </c>
      <c r="X172" s="47" t="n">
        <v>0</v>
      </c>
      <c r="Y172" s="47" t="n">
        <f aca="false">ROUND(V172-W172-X172,2)</f>
        <v>0</v>
      </c>
      <c r="Z172" s="47" t="n">
        <f aca="false">ROUND(AC171*(1+Sorted!$H$7),2)</f>
        <v>0</v>
      </c>
      <c r="AA172" s="47" t="n">
        <f aca="false">MIN(Z172,Sorted!$G$7)</f>
        <v>0</v>
      </c>
      <c r="AB172" s="47" t="n">
        <v>0</v>
      </c>
      <c r="AC172" s="47" t="n">
        <f aca="false">ROUND(Z172-AA172-AB172,2)</f>
        <v>0</v>
      </c>
      <c r="AD172" s="47" t="n">
        <f aca="false">ROUND(AG171*(1+Sorted!$H$8),2)</f>
        <v>0</v>
      </c>
      <c r="AE172" s="47" t="n">
        <f aca="false">MIN(AD172,Sorted!$G$8)</f>
        <v>0</v>
      </c>
      <c r="AF172" s="47" t="n">
        <v>0</v>
      </c>
      <c r="AG172" s="47" t="n">
        <f aca="false">ROUND(AD172-AE172-AF172,2)</f>
        <v>0</v>
      </c>
      <c r="AH172" s="47" t="n">
        <f aca="false">ROUND(AK171*(1+Sorted!$H$9),2)</f>
        <v>0</v>
      </c>
      <c r="AI172" s="47" t="n">
        <f aca="false">MIN(AH172,Sorted!$G$9)</f>
        <v>0</v>
      </c>
      <c r="AJ172" s="47" t="n">
        <v>0</v>
      </c>
      <c r="AK172" s="47" t="n">
        <f aca="false">ROUND(AH172-AI172-AJ172,2)</f>
        <v>0</v>
      </c>
      <c r="AL172" s="47" t="n">
        <f aca="false">ROUND(AO171*(1+Sorted!$H$10),2)</f>
        <v>0</v>
      </c>
      <c r="AM172" s="47" t="n">
        <f aca="false">MIN(AL172,Sorted!$G$10)</f>
        <v>0</v>
      </c>
      <c r="AN172" s="47" t="n">
        <v>0</v>
      </c>
      <c r="AO172" s="47" t="n">
        <f aca="false">ROUND(AL172-AM172-AN172,2)</f>
        <v>0</v>
      </c>
      <c r="AP172" s="47" t="n">
        <f aca="false">ROUND(AS171*(1+Sorted!$H$11),2)</f>
        <v>0</v>
      </c>
      <c r="AQ172" s="47" t="n">
        <f aca="false">MIN(AP172,Sorted!$G$11)</f>
        <v>0</v>
      </c>
      <c r="AR172" s="47" t="n">
        <v>0</v>
      </c>
      <c r="AS172" s="47" t="n">
        <f aca="false">ROUND(AP172-AQ172-AR172,2)</f>
        <v>0</v>
      </c>
    </row>
    <row r="173" customFormat="false" ht="15" hidden="false" customHeight="false" outlineLevel="0" collapsed="false">
      <c r="A173" s="45" t="n">
        <v>170</v>
      </c>
      <c r="B173" s="46" t="n">
        <f aca="false">EDATE('My Debts'!$C$7,A173-1)</f>
        <v>51471</v>
      </c>
      <c r="C173" s="47" t="n">
        <v>0</v>
      </c>
      <c r="D173" s="47" t="n">
        <f aca="false">(F173+J173+N173+R173+V173+Z173+AD173+AH173+AL173+AP173)-(I173+M173+Q173+U173+Y173+AC173+AG173+AK173+AO173+AS173)</f>
        <v>0</v>
      </c>
      <c r="E173" s="48" t="n">
        <f aca="false">I173+M173+Q173+U173+Y173+AC173+AG173+AK173+AO173+AS173</f>
        <v>0</v>
      </c>
      <c r="F173" s="47" t="n">
        <f aca="false">ROUND(I172*(1+Sorted!$H$2),2)</f>
        <v>0</v>
      </c>
      <c r="G173" s="47" t="n">
        <f aca="false">MIN(F173,Sorted!$G$2)</f>
        <v>0</v>
      </c>
      <c r="H173" s="47" t="n">
        <v>0</v>
      </c>
      <c r="I173" s="47" t="n">
        <f aca="false">ROUND(F173-G173-H173,2)</f>
        <v>0</v>
      </c>
      <c r="J173" s="47" t="n">
        <f aca="false">ROUND(M172*(1+Sorted!$H$3),2)</f>
        <v>0</v>
      </c>
      <c r="K173" s="47" t="n">
        <f aca="false">MIN(J173,Sorted!$G$3)</f>
        <v>0</v>
      </c>
      <c r="L173" s="47" t="n">
        <v>0</v>
      </c>
      <c r="M173" s="47" t="n">
        <f aca="false">ROUND(J173-K173-L173,2)</f>
        <v>0</v>
      </c>
      <c r="N173" s="47" t="n">
        <f aca="false">ROUND(Q172*(1+Sorted!$H$4),2)</f>
        <v>0</v>
      </c>
      <c r="O173" s="47" t="n">
        <f aca="false">MIN(N173,Sorted!$G$4)</f>
        <v>0</v>
      </c>
      <c r="P173" s="47" t="n">
        <v>0</v>
      </c>
      <c r="Q173" s="47" t="n">
        <f aca="false">ROUND(N173-O173-P173,2)</f>
        <v>0</v>
      </c>
      <c r="R173" s="47" t="n">
        <f aca="false">ROUND(U172*(1+Sorted!$H$5),2)</f>
        <v>0</v>
      </c>
      <c r="S173" s="47" t="n">
        <f aca="false">MIN(R173,Sorted!$G$5)</f>
        <v>0</v>
      </c>
      <c r="T173" s="47" t="n">
        <v>0</v>
      </c>
      <c r="U173" s="47" t="n">
        <f aca="false">ROUND(R173-S173-T173,2)</f>
        <v>0</v>
      </c>
      <c r="V173" s="47" t="n">
        <f aca="false">ROUND(Y172*(1+Sorted!$H$6),2)</f>
        <v>0</v>
      </c>
      <c r="W173" s="47" t="n">
        <f aca="false">MIN(V173,Sorted!$G$6)</f>
        <v>0</v>
      </c>
      <c r="X173" s="47" t="n">
        <v>0</v>
      </c>
      <c r="Y173" s="47" t="n">
        <f aca="false">ROUND(V173-W173-X173,2)</f>
        <v>0</v>
      </c>
      <c r="Z173" s="47" t="n">
        <f aca="false">ROUND(AC172*(1+Sorted!$H$7),2)</f>
        <v>0</v>
      </c>
      <c r="AA173" s="47" t="n">
        <f aca="false">MIN(Z173,Sorted!$G$7)</f>
        <v>0</v>
      </c>
      <c r="AB173" s="47" t="n">
        <v>0</v>
      </c>
      <c r="AC173" s="47" t="n">
        <f aca="false">ROUND(Z173-AA173-AB173,2)</f>
        <v>0</v>
      </c>
      <c r="AD173" s="47" t="n">
        <f aca="false">ROUND(AG172*(1+Sorted!$H$8),2)</f>
        <v>0</v>
      </c>
      <c r="AE173" s="47" t="n">
        <f aca="false">MIN(AD173,Sorted!$G$8)</f>
        <v>0</v>
      </c>
      <c r="AF173" s="47" t="n">
        <v>0</v>
      </c>
      <c r="AG173" s="47" t="n">
        <f aca="false">ROUND(AD173-AE173-AF173,2)</f>
        <v>0</v>
      </c>
      <c r="AH173" s="47" t="n">
        <f aca="false">ROUND(AK172*(1+Sorted!$H$9),2)</f>
        <v>0</v>
      </c>
      <c r="AI173" s="47" t="n">
        <f aca="false">MIN(AH173,Sorted!$G$9)</f>
        <v>0</v>
      </c>
      <c r="AJ173" s="47" t="n">
        <v>0</v>
      </c>
      <c r="AK173" s="47" t="n">
        <f aca="false">ROUND(AH173-AI173-AJ173,2)</f>
        <v>0</v>
      </c>
      <c r="AL173" s="47" t="n">
        <f aca="false">ROUND(AO172*(1+Sorted!$H$10),2)</f>
        <v>0</v>
      </c>
      <c r="AM173" s="47" t="n">
        <f aca="false">MIN(AL173,Sorted!$G$10)</f>
        <v>0</v>
      </c>
      <c r="AN173" s="47" t="n">
        <v>0</v>
      </c>
      <c r="AO173" s="47" t="n">
        <f aca="false">ROUND(AL173-AM173-AN173,2)</f>
        <v>0</v>
      </c>
      <c r="AP173" s="47" t="n">
        <f aca="false">ROUND(AS172*(1+Sorted!$H$11),2)</f>
        <v>0</v>
      </c>
      <c r="AQ173" s="47" t="n">
        <f aca="false">MIN(AP173,Sorted!$G$11)</f>
        <v>0</v>
      </c>
      <c r="AR173" s="47" t="n">
        <v>0</v>
      </c>
      <c r="AS173" s="47" t="n">
        <f aca="false">ROUND(AP173-AQ173-AR173,2)</f>
        <v>0</v>
      </c>
    </row>
    <row r="174" customFormat="false" ht="15" hidden="false" customHeight="false" outlineLevel="0" collapsed="false">
      <c r="A174" s="45" t="n">
        <v>171</v>
      </c>
      <c r="B174" s="46" t="n">
        <f aca="false">EDATE('My Debts'!$C$7,A174-1)</f>
        <v>51502</v>
      </c>
      <c r="C174" s="47" t="n">
        <v>0</v>
      </c>
      <c r="D174" s="47" t="n">
        <f aca="false">(F174+J174+N174+R174+V174+Z174+AD174+AH174+AL174+AP174)-(I174+M174+Q174+U174+Y174+AC174+AG174+AK174+AO174+AS174)</f>
        <v>0</v>
      </c>
      <c r="E174" s="48" t="n">
        <f aca="false">I174+M174+Q174+U174+Y174+AC174+AG174+AK174+AO174+AS174</f>
        <v>0</v>
      </c>
      <c r="F174" s="47" t="n">
        <f aca="false">ROUND(I173*(1+Sorted!$H$2),2)</f>
        <v>0</v>
      </c>
      <c r="G174" s="47" t="n">
        <f aca="false">MIN(F174,Sorted!$G$2)</f>
        <v>0</v>
      </c>
      <c r="H174" s="47" t="n">
        <v>0</v>
      </c>
      <c r="I174" s="47" t="n">
        <f aca="false">ROUND(F174-G174-H174,2)</f>
        <v>0</v>
      </c>
      <c r="J174" s="47" t="n">
        <f aca="false">ROUND(M173*(1+Sorted!$H$3),2)</f>
        <v>0</v>
      </c>
      <c r="K174" s="47" t="n">
        <f aca="false">MIN(J174,Sorted!$G$3)</f>
        <v>0</v>
      </c>
      <c r="L174" s="47" t="n">
        <v>0</v>
      </c>
      <c r="M174" s="47" t="n">
        <f aca="false">ROUND(J174-K174-L174,2)</f>
        <v>0</v>
      </c>
      <c r="N174" s="47" t="n">
        <f aca="false">ROUND(Q173*(1+Sorted!$H$4),2)</f>
        <v>0</v>
      </c>
      <c r="O174" s="47" t="n">
        <f aca="false">MIN(N174,Sorted!$G$4)</f>
        <v>0</v>
      </c>
      <c r="P174" s="47" t="n">
        <v>0</v>
      </c>
      <c r="Q174" s="47" t="n">
        <f aca="false">ROUND(N174-O174-P174,2)</f>
        <v>0</v>
      </c>
      <c r="R174" s="47" t="n">
        <f aca="false">ROUND(U173*(1+Sorted!$H$5),2)</f>
        <v>0</v>
      </c>
      <c r="S174" s="47" t="n">
        <f aca="false">MIN(R174,Sorted!$G$5)</f>
        <v>0</v>
      </c>
      <c r="T174" s="47" t="n">
        <v>0</v>
      </c>
      <c r="U174" s="47" t="n">
        <f aca="false">ROUND(R174-S174-T174,2)</f>
        <v>0</v>
      </c>
      <c r="V174" s="47" t="n">
        <f aca="false">ROUND(Y173*(1+Sorted!$H$6),2)</f>
        <v>0</v>
      </c>
      <c r="W174" s="47" t="n">
        <f aca="false">MIN(V174,Sorted!$G$6)</f>
        <v>0</v>
      </c>
      <c r="X174" s="47" t="n">
        <v>0</v>
      </c>
      <c r="Y174" s="47" t="n">
        <f aca="false">ROUND(V174-W174-X174,2)</f>
        <v>0</v>
      </c>
      <c r="Z174" s="47" t="n">
        <f aca="false">ROUND(AC173*(1+Sorted!$H$7),2)</f>
        <v>0</v>
      </c>
      <c r="AA174" s="47" t="n">
        <f aca="false">MIN(Z174,Sorted!$G$7)</f>
        <v>0</v>
      </c>
      <c r="AB174" s="47" t="n">
        <v>0</v>
      </c>
      <c r="AC174" s="47" t="n">
        <f aca="false">ROUND(Z174-AA174-AB174,2)</f>
        <v>0</v>
      </c>
      <c r="AD174" s="47" t="n">
        <f aca="false">ROUND(AG173*(1+Sorted!$H$8),2)</f>
        <v>0</v>
      </c>
      <c r="AE174" s="47" t="n">
        <f aca="false">MIN(AD174,Sorted!$G$8)</f>
        <v>0</v>
      </c>
      <c r="AF174" s="47" t="n">
        <v>0</v>
      </c>
      <c r="AG174" s="47" t="n">
        <f aca="false">ROUND(AD174-AE174-AF174,2)</f>
        <v>0</v>
      </c>
      <c r="AH174" s="47" t="n">
        <f aca="false">ROUND(AK173*(1+Sorted!$H$9),2)</f>
        <v>0</v>
      </c>
      <c r="AI174" s="47" t="n">
        <f aca="false">MIN(AH174,Sorted!$G$9)</f>
        <v>0</v>
      </c>
      <c r="AJ174" s="47" t="n">
        <v>0</v>
      </c>
      <c r="AK174" s="47" t="n">
        <f aca="false">ROUND(AH174-AI174-AJ174,2)</f>
        <v>0</v>
      </c>
      <c r="AL174" s="47" t="n">
        <f aca="false">ROUND(AO173*(1+Sorted!$H$10),2)</f>
        <v>0</v>
      </c>
      <c r="AM174" s="47" t="n">
        <f aca="false">MIN(AL174,Sorted!$G$10)</f>
        <v>0</v>
      </c>
      <c r="AN174" s="47" t="n">
        <v>0</v>
      </c>
      <c r="AO174" s="47" t="n">
        <f aca="false">ROUND(AL174-AM174-AN174,2)</f>
        <v>0</v>
      </c>
      <c r="AP174" s="47" t="n">
        <f aca="false">ROUND(AS173*(1+Sorted!$H$11),2)</f>
        <v>0</v>
      </c>
      <c r="AQ174" s="47" t="n">
        <f aca="false">MIN(AP174,Sorted!$G$11)</f>
        <v>0</v>
      </c>
      <c r="AR174" s="47" t="n">
        <v>0</v>
      </c>
      <c r="AS174" s="47" t="n">
        <f aca="false">ROUND(AP174-AQ174-AR174,2)</f>
        <v>0</v>
      </c>
    </row>
    <row r="175" customFormat="false" ht="15" hidden="false" customHeight="false" outlineLevel="0" collapsed="false">
      <c r="A175" s="45" t="n">
        <v>172</v>
      </c>
      <c r="B175" s="46" t="n">
        <f aca="false">EDATE('My Debts'!$C$7,A175-1)</f>
        <v>51533</v>
      </c>
      <c r="C175" s="47" t="n">
        <v>0</v>
      </c>
      <c r="D175" s="47" t="n">
        <f aca="false">(F175+J175+N175+R175+V175+Z175+AD175+AH175+AL175+AP175)-(I175+M175+Q175+U175+Y175+AC175+AG175+AK175+AO175+AS175)</f>
        <v>0</v>
      </c>
      <c r="E175" s="48" t="n">
        <f aca="false">I175+M175+Q175+U175+Y175+AC175+AG175+AK175+AO175+AS175</f>
        <v>0</v>
      </c>
      <c r="F175" s="47" t="n">
        <f aca="false">ROUND(I174*(1+Sorted!$H$2),2)</f>
        <v>0</v>
      </c>
      <c r="G175" s="47" t="n">
        <f aca="false">MIN(F175,Sorted!$G$2)</f>
        <v>0</v>
      </c>
      <c r="H175" s="47" t="n">
        <v>0</v>
      </c>
      <c r="I175" s="47" t="n">
        <f aca="false">ROUND(F175-G175-H175,2)</f>
        <v>0</v>
      </c>
      <c r="J175" s="47" t="n">
        <f aca="false">ROUND(M174*(1+Sorted!$H$3),2)</f>
        <v>0</v>
      </c>
      <c r="K175" s="47" t="n">
        <f aca="false">MIN(J175,Sorted!$G$3)</f>
        <v>0</v>
      </c>
      <c r="L175" s="47" t="n">
        <v>0</v>
      </c>
      <c r="M175" s="47" t="n">
        <f aca="false">ROUND(J175-K175-L175,2)</f>
        <v>0</v>
      </c>
      <c r="N175" s="47" t="n">
        <f aca="false">ROUND(Q174*(1+Sorted!$H$4),2)</f>
        <v>0</v>
      </c>
      <c r="O175" s="47" t="n">
        <f aca="false">MIN(N175,Sorted!$G$4)</f>
        <v>0</v>
      </c>
      <c r="P175" s="47" t="n">
        <v>0</v>
      </c>
      <c r="Q175" s="47" t="n">
        <f aca="false">ROUND(N175-O175-P175,2)</f>
        <v>0</v>
      </c>
      <c r="R175" s="47" t="n">
        <f aca="false">ROUND(U174*(1+Sorted!$H$5),2)</f>
        <v>0</v>
      </c>
      <c r="S175" s="47" t="n">
        <f aca="false">MIN(R175,Sorted!$G$5)</f>
        <v>0</v>
      </c>
      <c r="T175" s="47" t="n">
        <v>0</v>
      </c>
      <c r="U175" s="47" t="n">
        <f aca="false">ROUND(R175-S175-T175,2)</f>
        <v>0</v>
      </c>
      <c r="V175" s="47" t="n">
        <f aca="false">ROUND(Y174*(1+Sorted!$H$6),2)</f>
        <v>0</v>
      </c>
      <c r="W175" s="47" t="n">
        <f aca="false">MIN(V175,Sorted!$G$6)</f>
        <v>0</v>
      </c>
      <c r="X175" s="47" t="n">
        <v>0</v>
      </c>
      <c r="Y175" s="47" t="n">
        <f aca="false">ROUND(V175-W175-X175,2)</f>
        <v>0</v>
      </c>
      <c r="Z175" s="47" t="n">
        <f aca="false">ROUND(AC174*(1+Sorted!$H$7),2)</f>
        <v>0</v>
      </c>
      <c r="AA175" s="47" t="n">
        <f aca="false">MIN(Z175,Sorted!$G$7)</f>
        <v>0</v>
      </c>
      <c r="AB175" s="47" t="n">
        <v>0</v>
      </c>
      <c r="AC175" s="47" t="n">
        <f aca="false">ROUND(Z175-AA175-AB175,2)</f>
        <v>0</v>
      </c>
      <c r="AD175" s="47" t="n">
        <f aca="false">ROUND(AG174*(1+Sorted!$H$8),2)</f>
        <v>0</v>
      </c>
      <c r="AE175" s="47" t="n">
        <f aca="false">MIN(AD175,Sorted!$G$8)</f>
        <v>0</v>
      </c>
      <c r="AF175" s="47" t="n">
        <v>0</v>
      </c>
      <c r="AG175" s="47" t="n">
        <f aca="false">ROUND(AD175-AE175-AF175,2)</f>
        <v>0</v>
      </c>
      <c r="AH175" s="47" t="n">
        <f aca="false">ROUND(AK174*(1+Sorted!$H$9),2)</f>
        <v>0</v>
      </c>
      <c r="AI175" s="47" t="n">
        <f aca="false">MIN(AH175,Sorted!$G$9)</f>
        <v>0</v>
      </c>
      <c r="AJ175" s="47" t="n">
        <v>0</v>
      </c>
      <c r="AK175" s="47" t="n">
        <f aca="false">ROUND(AH175-AI175-AJ175,2)</f>
        <v>0</v>
      </c>
      <c r="AL175" s="47" t="n">
        <f aca="false">ROUND(AO174*(1+Sorted!$H$10),2)</f>
        <v>0</v>
      </c>
      <c r="AM175" s="47" t="n">
        <f aca="false">MIN(AL175,Sorted!$G$10)</f>
        <v>0</v>
      </c>
      <c r="AN175" s="47" t="n">
        <v>0</v>
      </c>
      <c r="AO175" s="47" t="n">
        <f aca="false">ROUND(AL175-AM175-AN175,2)</f>
        <v>0</v>
      </c>
      <c r="AP175" s="47" t="n">
        <f aca="false">ROUND(AS174*(1+Sorted!$H$11),2)</f>
        <v>0</v>
      </c>
      <c r="AQ175" s="47" t="n">
        <f aca="false">MIN(AP175,Sorted!$G$11)</f>
        <v>0</v>
      </c>
      <c r="AR175" s="47" t="n">
        <v>0</v>
      </c>
      <c r="AS175" s="47" t="n">
        <f aca="false">ROUND(AP175-AQ175-AR175,2)</f>
        <v>0</v>
      </c>
    </row>
    <row r="176" customFormat="false" ht="15" hidden="false" customHeight="false" outlineLevel="0" collapsed="false">
      <c r="A176" s="45" t="n">
        <v>173</v>
      </c>
      <c r="B176" s="46" t="n">
        <f aca="false">EDATE('My Debts'!$C$7,A176-1)</f>
        <v>51561</v>
      </c>
      <c r="C176" s="47" t="n">
        <v>0</v>
      </c>
      <c r="D176" s="47" t="n">
        <f aca="false">(F176+J176+N176+R176+V176+Z176+AD176+AH176+AL176+AP176)-(I176+M176+Q176+U176+Y176+AC176+AG176+AK176+AO176+AS176)</f>
        <v>0</v>
      </c>
      <c r="E176" s="48" t="n">
        <f aca="false">I176+M176+Q176+U176+Y176+AC176+AG176+AK176+AO176+AS176</f>
        <v>0</v>
      </c>
      <c r="F176" s="47" t="n">
        <f aca="false">ROUND(I175*(1+Sorted!$H$2),2)</f>
        <v>0</v>
      </c>
      <c r="G176" s="47" t="n">
        <f aca="false">MIN(F176,Sorted!$G$2)</f>
        <v>0</v>
      </c>
      <c r="H176" s="47" t="n">
        <v>0</v>
      </c>
      <c r="I176" s="47" t="n">
        <f aca="false">ROUND(F176-G176-H176,2)</f>
        <v>0</v>
      </c>
      <c r="J176" s="47" t="n">
        <f aca="false">ROUND(M175*(1+Sorted!$H$3),2)</f>
        <v>0</v>
      </c>
      <c r="K176" s="47" t="n">
        <f aca="false">MIN(J176,Sorted!$G$3)</f>
        <v>0</v>
      </c>
      <c r="L176" s="47" t="n">
        <v>0</v>
      </c>
      <c r="M176" s="47" t="n">
        <f aca="false">ROUND(J176-K176-L176,2)</f>
        <v>0</v>
      </c>
      <c r="N176" s="47" t="n">
        <f aca="false">ROUND(Q175*(1+Sorted!$H$4),2)</f>
        <v>0</v>
      </c>
      <c r="O176" s="47" t="n">
        <f aca="false">MIN(N176,Sorted!$G$4)</f>
        <v>0</v>
      </c>
      <c r="P176" s="47" t="n">
        <v>0</v>
      </c>
      <c r="Q176" s="47" t="n">
        <f aca="false">ROUND(N176-O176-P176,2)</f>
        <v>0</v>
      </c>
      <c r="R176" s="47" t="n">
        <f aca="false">ROUND(U175*(1+Sorted!$H$5),2)</f>
        <v>0</v>
      </c>
      <c r="S176" s="47" t="n">
        <f aca="false">MIN(R176,Sorted!$G$5)</f>
        <v>0</v>
      </c>
      <c r="T176" s="47" t="n">
        <v>0</v>
      </c>
      <c r="U176" s="47" t="n">
        <f aca="false">ROUND(R176-S176-T176,2)</f>
        <v>0</v>
      </c>
      <c r="V176" s="47" t="n">
        <f aca="false">ROUND(Y175*(1+Sorted!$H$6),2)</f>
        <v>0</v>
      </c>
      <c r="W176" s="47" t="n">
        <f aca="false">MIN(V176,Sorted!$G$6)</f>
        <v>0</v>
      </c>
      <c r="X176" s="47" t="n">
        <v>0</v>
      </c>
      <c r="Y176" s="47" t="n">
        <f aca="false">ROUND(V176-W176-X176,2)</f>
        <v>0</v>
      </c>
      <c r="Z176" s="47" t="n">
        <f aca="false">ROUND(AC175*(1+Sorted!$H$7),2)</f>
        <v>0</v>
      </c>
      <c r="AA176" s="47" t="n">
        <f aca="false">MIN(Z176,Sorted!$G$7)</f>
        <v>0</v>
      </c>
      <c r="AB176" s="47" t="n">
        <v>0</v>
      </c>
      <c r="AC176" s="47" t="n">
        <f aca="false">ROUND(Z176-AA176-AB176,2)</f>
        <v>0</v>
      </c>
      <c r="AD176" s="47" t="n">
        <f aca="false">ROUND(AG175*(1+Sorted!$H$8),2)</f>
        <v>0</v>
      </c>
      <c r="AE176" s="47" t="n">
        <f aca="false">MIN(AD176,Sorted!$G$8)</f>
        <v>0</v>
      </c>
      <c r="AF176" s="47" t="n">
        <v>0</v>
      </c>
      <c r="AG176" s="47" t="n">
        <f aca="false">ROUND(AD176-AE176-AF176,2)</f>
        <v>0</v>
      </c>
      <c r="AH176" s="47" t="n">
        <f aca="false">ROUND(AK175*(1+Sorted!$H$9),2)</f>
        <v>0</v>
      </c>
      <c r="AI176" s="47" t="n">
        <f aca="false">MIN(AH176,Sorted!$G$9)</f>
        <v>0</v>
      </c>
      <c r="AJ176" s="47" t="n">
        <v>0</v>
      </c>
      <c r="AK176" s="47" t="n">
        <f aca="false">ROUND(AH176-AI176-AJ176,2)</f>
        <v>0</v>
      </c>
      <c r="AL176" s="47" t="n">
        <f aca="false">ROUND(AO175*(1+Sorted!$H$10),2)</f>
        <v>0</v>
      </c>
      <c r="AM176" s="47" t="n">
        <f aca="false">MIN(AL176,Sorted!$G$10)</f>
        <v>0</v>
      </c>
      <c r="AN176" s="47" t="n">
        <v>0</v>
      </c>
      <c r="AO176" s="47" t="n">
        <f aca="false">ROUND(AL176-AM176-AN176,2)</f>
        <v>0</v>
      </c>
      <c r="AP176" s="47" t="n">
        <f aca="false">ROUND(AS175*(1+Sorted!$H$11),2)</f>
        <v>0</v>
      </c>
      <c r="AQ176" s="47" t="n">
        <f aca="false">MIN(AP176,Sorted!$G$11)</f>
        <v>0</v>
      </c>
      <c r="AR176" s="47" t="n">
        <v>0</v>
      </c>
      <c r="AS176" s="47" t="n">
        <f aca="false">ROUND(AP176-AQ176-AR176,2)</f>
        <v>0</v>
      </c>
    </row>
    <row r="177" customFormat="false" ht="15" hidden="false" customHeight="false" outlineLevel="0" collapsed="false">
      <c r="A177" s="45" t="n">
        <v>174</v>
      </c>
      <c r="B177" s="46" t="n">
        <f aca="false">EDATE('My Debts'!$C$7,A177-1)</f>
        <v>51592</v>
      </c>
      <c r="C177" s="47" t="n">
        <v>0</v>
      </c>
      <c r="D177" s="47" t="n">
        <f aca="false">(F177+J177+N177+R177+V177+Z177+AD177+AH177+AL177+AP177)-(I177+M177+Q177+U177+Y177+AC177+AG177+AK177+AO177+AS177)</f>
        <v>0</v>
      </c>
      <c r="E177" s="48" t="n">
        <f aca="false">I177+M177+Q177+U177+Y177+AC177+AG177+AK177+AO177+AS177</f>
        <v>0</v>
      </c>
      <c r="F177" s="47" t="n">
        <f aca="false">ROUND(I176*(1+Sorted!$H$2),2)</f>
        <v>0</v>
      </c>
      <c r="G177" s="47" t="n">
        <f aca="false">MIN(F177,Sorted!$G$2)</f>
        <v>0</v>
      </c>
      <c r="H177" s="47" t="n">
        <v>0</v>
      </c>
      <c r="I177" s="47" t="n">
        <f aca="false">ROUND(F177-G177-H177,2)</f>
        <v>0</v>
      </c>
      <c r="J177" s="47" t="n">
        <f aca="false">ROUND(M176*(1+Sorted!$H$3),2)</f>
        <v>0</v>
      </c>
      <c r="K177" s="47" t="n">
        <f aca="false">MIN(J177,Sorted!$G$3)</f>
        <v>0</v>
      </c>
      <c r="L177" s="47" t="n">
        <v>0</v>
      </c>
      <c r="M177" s="47" t="n">
        <f aca="false">ROUND(J177-K177-L177,2)</f>
        <v>0</v>
      </c>
      <c r="N177" s="47" t="n">
        <f aca="false">ROUND(Q176*(1+Sorted!$H$4),2)</f>
        <v>0</v>
      </c>
      <c r="O177" s="47" t="n">
        <f aca="false">MIN(N177,Sorted!$G$4)</f>
        <v>0</v>
      </c>
      <c r="P177" s="47" t="n">
        <v>0</v>
      </c>
      <c r="Q177" s="47" t="n">
        <f aca="false">ROUND(N177-O177-P177,2)</f>
        <v>0</v>
      </c>
      <c r="R177" s="47" t="n">
        <f aca="false">ROUND(U176*(1+Sorted!$H$5),2)</f>
        <v>0</v>
      </c>
      <c r="S177" s="47" t="n">
        <f aca="false">MIN(R177,Sorted!$G$5)</f>
        <v>0</v>
      </c>
      <c r="T177" s="47" t="n">
        <v>0</v>
      </c>
      <c r="U177" s="47" t="n">
        <f aca="false">ROUND(R177-S177-T177,2)</f>
        <v>0</v>
      </c>
      <c r="V177" s="47" t="n">
        <f aca="false">ROUND(Y176*(1+Sorted!$H$6),2)</f>
        <v>0</v>
      </c>
      <c r="W177" s="47" t="n">
        <f aca="false">MIN(V177,Sorted!$G$6)</f>
        <v>0</v>
      </c>
      <c r="X177" s="47" t="n">
        <v>0</v>
      </c>
      <c r="Y177" s="47" t="n">
        <f aca="false">ROUND(V177-W177-X177,2)</f>
        <v>0</v>
      </c>
      <c r="Z177" s="47" t="n">
        <f aca="false">ROUND(AC176*(1+Sorted!$H$7),2)</f>
        <v>0</v>
      </c>
      <c r="AA177" s="47" t="n">
        <f aca="false">MIN(Z177,Sorted!$G$7)</f>
        <v>0</v>
      </c>
      <c r="AB177" s="47" t="n">
        <v>0</v>
      </c>
      <c r="AC177" s="47" t="n">
        <f aca="false">ROUND(Z177-AA177-AB177,2)</f>
        <v>0</v>
      </c>
      <c r="AD177" s="47" t="n">
        <f aca="false">ROUND(AG176*(1+Sorted!$H$8),2)</f>
        <v>0</v>
      </c>
      <c r="AE177" s="47" t="n">
        <f aca="false">MIN(AD177,Sorted!$G$8)</f>
        <v>0</v>
      </c>
      <c r="AF177" s="47" t="n">
        <v>0</v>
      </c>
      <c r="AG177" s="47" t="n">
        <f aca="false">ROUND(AD177-AE177-AF177,2)</f>
        <v>0</v>
      </c>
      <c r="AH177" s="47" t="n">
        <f aca="false">ROUND(AK176*(1+Sorted!$H$9),2)</f>
        <v>0</v>
      </c>
      <c r="AI177" s="47" t="n">
        <f aca="false">MIN(AH177,Sorted!$G$9)</f>
        <v>0</v>
      </c>
      <c r="AJ177" s="47" t="n">
        <v>0</v>
      </c>
      <c r="AK177" s="47" t="n">
        <f aca="false">ROUND(AH177-AI177-AJ177,2)</f>
        <v>0</v>
      </c>
      <c r="AL177" s="47" t="n">
        <f aca="false">ROUND(AO176*(1+Sorted!$H$10),2)</f>
        <v>0</v>
      </c>
      <c r="AM177" s="47" t="n">
        <f aca="false">MIN(AL177,Sorted!$G$10)</f>
        <v>0</v>
      </c>
      <c r="AN177" s="47" t="n">
        <v>0</v>
      </c>
      <c r="AO177" s="47" t="n">
        <f aca="false">ROUND(AL177-AM177-AN177,2)</f>
        <v>0</v>
      </c>
      <c r="AP177" s="47" t="n">
        <f aca="false">ROUND(AS176*(1+Sorted!$H$11),2)</f>
        <v>0</v>
      </c>
      <c r="AQ177" s="47" t="n">
        <f aca="false">MIN(AP177,Sorted!$G$11)</f>
        <v>0</v>
      </c>
      <c r="AR177" s="47" t="n">
        <v>0</v>
      </c>
      <c r="AS177" s="47" t="n">
        <f aca="false">ROUND(AP177-AQ177-AR177,2)</f>
        <v>0</v>
      </c>
    </row>
    <row r="178" customFormat="false" ht="15" hidden="false" customHeight="false" outlineLevel="0" collapsed="false">
      <c r="A178" s="45" t="n">
        <v>175</v>
      </c>
      <c r="B178" s="46" t="n">
        <f aca="false">EDATE('My Debts'!$C$7,A178-1)</f>
        <v>51622</v>
      </c>
      <c r="C178" s="47" t="n">
        <v>0</v>
      </c>
      <c r="D178" s="47" t="n">
        <f aca="false">(F178+J178+N178+R178+V178+Z178+AD178+AH178+AL178+AP178)-(I178+M178+Q178+U178+Y178+AC178+AG178+AK178+AO178+AS178)</f>
        <v>0</v>
      </c>
      <c r="E178" s="48" t="n">
        <f aca="false">I178+M178+Q178+U178+Y178+AC178+AG178+AK178+AO178+AS178</f>
        <v>0</v>
      </c>
      <c r="F178" s="47" t="n">
        <f aca="false">ROUND(I177*(1+Sorted!$H$2),2)</f>
        <v>0</v>
      </c>
      <c r="G178" s="47" t="n">
        <f aca="false">MIN(F178,Sorted!$G$2)</f>
        <v>0</v>
      </c>
      <c r="H178" s="47" t="n">
        <v>0</v>
      </c>
      <c r="I178" s="47" t="n">
        <f aca="false">ROUND(F178-G178-H178,2)</f>
        <v>0</v>
      </c>
      <c r="J178" s="47" t="n">
        <f aca="false">ROUND(M177*(1+Sorted!$H$3),2)</f>
        <v>0</v>
      </c>
      <c r="K178" s="47" t="n">
        <f aca="false">MIN(J178,Sorted!$G$3)</f>
        <v>0</v>
      </c>
      <c r="L178" s="47" t="n">
        <v>0</v>
      </c>
      <c r="M178" s="47" t="n">
        <f aca="false">ROUND(J178-K178-L178,2)</f>
        <v>0</v>
      </c>
      <c r="N178" s="47" t="n">
        <f aca="false">ROUND(Q177*(1+Sorted!$H$4),2)</f>
        <v>0</v>
      </c>
      <c r="O178" s="47" t="n">
        <f aca="false">MIN(N178,Sorted!$G$4)</f>
        <v>0</v>
      </c>
      <c r="P178" s="47" t="n">
        <v>0</v>
      </c>
      <c r="Q178" s="47" t="n">
        <f aca="false">ROUND(N178-O178-P178,2)</f>
        <v>0</v>
      </c>
      <c r="R178" s="47" t="n">
        <f aca="false">ROUND(U177*(1+Sorted!$H$5),2)</f>
        <v>0</v>
      </c>
      <c r="S178" s="47" t="n">
        <f aca="false">MIN(R178,Sorted!$G$5)</f>
        <v>0</v>
      </c>
      <c r="T178" s="47" t="n">
        <v>0</v>
      </c>
      <c r="U178" s="47" t="n">
        <f aca="false">ROUND(R178-S178-T178,2)</f>
        <v>0</v>
      </c>
      <c r="V178" s="47" t="n">
        <f aca="false">ROUND(Y177*(1+Sorted!$H$6),2)</f>
        <v>0</v>
      </c>
      <c r="W178" s="47" t="n">
        <f aca="false">MIN(V178,Sorted!$G$6)</f>
        <v>0</v>
      </c>
      <c r="X178" s="47" t="n">
        <v>0</v>
      </c>
      <c r="Y178" s="47" t="n">
        <f aca="false">ROUND(V178-W178-X178,2)</f>
        <v>0</v>
      </c>
      <c r="Z178" s="47" t="n">
        <f aca="false">ROUND(AC177*(1+Sorted!$H$7),2)</f>
        <v>0</v>
      </c>
      <c r="AA178" s="47" t="n">
        <f aca="false">MIN(Z178,Sorted!$G$7)</f>
        <v>0</v>
      </c>
      <c r="AB178" s="47" t="n">
        <v>0</v>
      </c>
      <c r="AC178" s="47" t="n">
        <f aca="false">ROUND(Z178-AA178-AB178,2)</f>
        <v>0</v>
      </c>
      <c r="AD178" s="47" t="n">
        <f aca="false">ROUND(AG177*(1+Sorted!$H$8),2)</f>
        <v>0</v>
      </c>
      <c r="AE178" s="47" t="n">
        <f aca="false">MIN(AD178,Sorted!$G$8)</f>
        <v>0</v>
      </c>
      <c r="AF178" s="47" t="n">
        <v>0</v>
      </c>
      <c r="AG178" s="47" t="n">
        <f aca="false">ROUND(AD178-AE178-AF178,2)</f>
        <v>0</v>
      </c>
      <c r="AH178" s="47" t="n">
        <f aca="false">ROUND(AK177*(1+Sorted!$H$9),2)</f>
        <v>0</v>
      </c>
      <c r="AI178" s="47" t="n">
        <f aca="false">MIN(AH178,Sorted!$G$9)</f>
        <v>0</v>
      </c>
      <c r="AJ178" s="47" t="n">
        <v>0</v>
      </c>
      <c r="AK178" s="47" t="n">
        <f aca="false">ROUND(AH178-AI178-AJ178,2)</f>
        <v>0</v>
      </c>
      <c r="AL178" s="47" t="n">
        <f aca="false">ROUND(AO177*(1+Sorted!$H$10),2)</f>
        <v>0</v>
      </c>
      <c r="AM178" s="47" t="n">
        <f aca="false">MIN(AL178,Sorted!$G$10)</f>
        <v>0</v>
      </c>
      <c r="AN178" s="47" t="n">
        <v>0</v>
      </c>
      <c r="AO178" s="47" t="n">
        <f aca="false">ROUND(AL178-AM178-AN178,2)</f>
        <v>0</v>
      </c>
      <c r="AP178" s="47" t="n">
        <f aca="false">ROUND(AS177*(1+Sorted!$H$11),2)</f>
        <v>0</v>
      </c>
      <c r="AQ178" s="47" t="n">
        <f aca="false">MIN(AP178,Sorted!$G$11)</f>
        <v>0</v>
      </c>
      <c r="AR178" s="47" t="n">
        <v>0</v>
      </c>
      <c r="AS178" s="47" t="n">
        <f aca="false">ROUND(AP178-AQ178-AR178,2)</f>
        <v>0</v>
      </c>
    </row>
    <row r="179" customFormat="false" ht="15" hidden="false" customHeight="false" outlineLevel="0" collapsed="false">
      <c r="A179" s="45" t="n">
        <v>176</v>
      </c>
      <c r="B179" s="46" t="n">
        <f aca="false">EDATE('My Debts'!$C$7,A179-1)</f>
        <v>51653</v>
      </c>
      <c r="C179" s="47" t="n">
        <v>0</v>
      </c>
      <c r="D179" s="47" t="n">
        <f aca="false">(F179+J179+N179+R179+V179+Z179+AD179+AH179+AL179+AP179)-(I179+M179+Q179+U179+Y179+AC179+AG179+AK179+AO179+AS179)</f>
        <v>0</v>
      </c>
      <c r="E179" s="48" t="n">
        <f aca="false">I179+M179+Q179+U179+Y179+AC179+AG179+AK179+AO179+AS179</f>
        <v>0</v>
      </c>
      <c r="F179" s="47" t="n">
        <f aca="false">ROUND(I178*(1+Sorted!$H$2),2)</f>
        <v>0</v>
      </c>
      <c r="G179" s="47" t="n">
        <f aca="false">MIN(F179,Sorted!$G$2)</f>
        <v>0</v>
      </c>
      <c r="H179" s="47" t="n">
        <v>0</v>
      </c>
      <c r="I179" s="47" t="n">
        <f aca="false">ROUND(F179-G179-H179,2)</f>
        <v>0</v>
      </c>
      <c r="J179" s="47" t="n">
        <f aca="false">ROUND(M178*(1+Sorted!$H$3),2)</f>
        <v>0</v>
      </c>
      <c r="K179" s="47" t="n">
        <f aca="false">MIN(J179,Sorted!$G$3)</f>
        <v>0</v>
      </c>
      <c r="L179" s="47" t="n">
        <v>0</v>
      </c>
      <c r="M179" s="47" t="n">
        <f aca="false">ROUND(J179-K179-L179,2)</f>
        <v>0</v>
      </c>
      <c r="N179" s="47" t="n">
        <f aca="false">ROUND(Q178*(1+Sorted!$H$4),2)</f>
        <v>0</v>
      </c>
      <c r="O179" s="47" t="n">
        <f aca="false">MIN(N179,Sorted!$G$4)</f>
        <v>0</v>
      </c>
      <c r="P179" s="47" t="n">
        <v>0</v>
      </c>
      <c r="Q179" s="47" t="n">
        <f aca="false">ROUND(N179-O179-P179,2)</f>
        <v>0</v>
      </c>
      <c r="R179" s="47" t="n">
        <f aca="false">ROUND(U178*(1+Sorted!$H$5),2)</f>
        <v>0</v>
      </c>
      <c r="S179" s="47" t="n">
        <f aca="false">MIN(R179,Sorted!$G$5)</f>
        <v>0</v>
      </c>
      <c r="T179" s="47" t="n">
        <v>0</v>
      </c>
      <c r="U179" s="47" t="n">
        <f aca="false">ROUND(R179-S179-T179,2)</f>
        <v>0</v>
      </c>
      <c r="V179" s="47" t="n">
        <f aca="false">ROUND(Y178*(1+Sorted!$H$6),2)</f>
        <v>0</v>
      </c>
      <c r="W179" s="47" t="n">
        <f aca="false">MIN(V179,Sorted!$G$6)</f>
        <v>0</v>
      </c>
      <c r="X179" s="47" t="n">
        <v>0</v>
      </c>
      <c r="Y179" s="47" t="n">
        <f aca="false">ROUND(V179-W179-X179,2)</f>
        <v>0</v>
      </c>
      <c r="Z179" s="47" t="n">
        <f aca="false">ROUND(AC178*(1+Sorted!$H$7),2)</f>
        <v>0</v>
      </c>
      <c r="AA179" s="47" t="n">
        <f aca="false">MIN(Z179,Sorted!$G$7)</f>
        <v>0</v>
      </c>
      <c r="AB179" s="47" t="n">
        <v>0</v>
      </c>
      <c r="AC179" s="47" t="n">
        <f aca="false">ROUND(Z179-AA179-AB179,2)</f>
        <v>0</v>
      </c>
      <c r="AD179" s="47" t="n">
        <f aca="false">ROUND(AG178*(1+Sorted!$H$8),2)</f>
        <v>0</v>
      </c>
      <c r="AE179" s="47" t="n">
        <f aca="false">MIN(AD179,Sorted!$G$8)</f>
        <v>0</v>
      </c>
      <c r="AF179" s="47" t="n">
        <v>0</v>
      </c>
      <c r="AG179" s="47" t="n">
        <f aca="false">ROUND(AD179-AE179-AF179,2)</f>
        <v>0</v>
      </c>
      <c r="AH179" s="47" t="n">
        <f aca="false">ROUND(AK178*(1+Sorted!$H$9),2)</f>
        <v>0</v>
      </c>
      <c r="AI179" s="47" t="n">
        <f aca="false">MIN(AH179,Sorted!$G$9)</f>
        <v>0</v>
      </c>
      <c r="AJ179" s="47" t="n">
        <v>0</v>
      </c>
      <c r="AK179" s="47" t="n">
        <f aca="false">ROUND(AH179-AI179-AJ179,2)</f>
        <v>0</v>
      </c>
      <c r="AL179" s="47" t="n">
        <f aca="false">ROUND(AO178*(1+Sorted!$H$10),2)</f>
        <v>0</v>
      </c>
      <c r="AM179" s="47" t="n">
        <f aca="false">MIN(AL179,Sorted!$G$10)</f>
        <v>0</v>
      </c>
      <c r="AN179" s="47" t="n">
        <v>0</v>
      </c>
      <c r="AO179" s="47" t="n">
        <f aca="false">ROUND(AL179-AM179-AN179,2)</f>
        <v>0</v>
      </c>
      <c r="AP179" s="47" t="n">
        <f aca="false">ROUND(AS178*(1+Sorted!$H$11),2)</f>
        <v>0</v>
      </c>
      <c r="AQ179" s="47" t="n">
        <f aca="false">MIN(AP179,Sorted!$G$11)</f>
        <v>0</v>
      </c>
      <c r="AR179" s="47" t="n">
        <v>0</v>
      </c>
      <c r="AS179" s="47" t="n">
        <f aca="false">ROUND(AP179-AQ179-AR179,2)</f>
        <v>0</v>
      </c>
    </row>
    <row r="180" customFormat="false" ht="15" hidden="false" customHeight="false" outlineLevel="0" collapsed="false">
      <c r="A180" s="45" t="n">
        <v>177</v>
      </c>
      <c r="B180" s="46" t="n">
        <f aca="false">EDATE('My Debts'!$C$7,A180-1)</f>
        <v>51683</v>
      </c>
      <c r="C180" s="47" t="n">
        <v>0</v>
      </c>
      <c r="D180" s="47" t="n">
        <f aca="false">(F180+J180+N180+R180+V180+Z180+AD180+AH180+AL180+AP180)-(I180+M180+Q180+U180+Y180+AC180+AG180+AK180+AO180+AS180)</f>
        <v>0</v>
      </c>
      <c r="E180" s="48" t="n">
        <f aca="false">I180+M180+Q180+U180+Y180+AC180+AG180+AK180+AO180+AS180</f>
        <v>0</v>
      </c>
      <c r="F180" s="47" t="n">
        <f aca="false">ROUND(I179*(1+Sorted!$H$2),2)</f>
        <v>0</v>
      </c>
      <c r="G180" s="47" t="n">
        <f aca="false">MIN(F180,Sorted!$G$2)</f>
        <v>0</v>
      </c>
      <c r="H180" s="47" t="n">
        <v>0</v>
      </c>
      <c r="I180" s="47" t="n">
        <f aca="false">ROUND(F180-G180-H180,2)</f>
        <v>0</v>
      </c>
      <c r="J180" s="47" t="n">
        <f aca="false">ROUND(M179*(1+Sorted!$H$3),2)</f>
        <v>0</v>
      </c>
      <c r="K180" s="47" t="n">
        <f aca="false">MIN(J180,Sorted!$G$3)</f>
        <v>0</v>
      </c>
      <c r="L180" s="47" t="n">
        <v>0</v>
      </c>
      <c r="M180" s="47" t="n">
        <f aca="false">ROUND(J180-K180-L180,2)</f>
        <v>0</v>
      </c>
      <c r="N180" s="47" t="n">
        <f aca="false">ROUND(Q179*(1+Sorted!$H$4),2)</f>
        <v>0</v>
      </c>
      <c r="O180" s="47" t="n">
        <f aca="false">MIN(N180,Sorted!$G$4)</f>
        <v>0</v>
      </c>
      <c r="P180" s="47" t="n">
        <v>0</v>
      </c>
      <c r="Q180" s="47" t="n">
        <f aca="false">ROUND(N180-O180-P180,2)</f>
        <v>0</v>
      </c>
      <c r="R180" s="47" t="n">
        <f aca="false">ROUND(U179*(1+Sorted!$H$5),2)</f>
        <v>0</v>
      </c>
      <c r="S180" s="47" t="n">
        <f aca="false">MIN(R180,Sorted!$G$5)</f>
        <v>0</v>
      </c>
      <c r="T180" s="47" t="n">
        <v>0</v>
      </c>
      <c r="U180" s="47" t="n">
        <f aca="false">ROUND(R180-S180-T180,2)</f>
        <v>0</v>
      </c>
      <c r="V180" s="47" t="n">
        <f aca="false">ROUND(Y179*(1+Sorted!$H$6),2)</f>
        <v>0</v>
      </c>
      <c r="W180" s="47" t="n">
        <f aca="false">MIN(V180,Sorted!$G$6)</f>
        <v>0</v>
      </c>
      <c r="X180" s="47" t="n">
        <v>0</v>
      </c>
      <c r="Y180" s="47" t="n">
        <f aca="false">ROUND(V180-W180-X180,2)</f>
        <v>0</v>
      </c>
      <c r="Z180" s="47" t="n">
        <f aca="false">ROUND(AC179*(1+Sorted!$H$7),2)</f>
        <v>0</v>
      </c>
      <c r="AA180" s="47" t="n">
        <f aca="false">MIN(Z180,Sorted!$G$7)</f>
        <v>0</v>
      </c>
      <c r="AB180" s="47" t="n">
        <v>0</v>
      </c>
      <c r="AC180" s="47" t="n">
        <f aca="false">ROUND(Z180-AA180-AB180,2)</f>
        <v>0</v>
      </c>
      <c r="AD180" s="47" t="n">
        <f aca="false">ROUND(AG179*(1+Sorted!$H$8),2)</f>
        <v>0</v>
      </c>
      <c r="AE180" s="47" t="n">
        <f aca="false">MIN(AD180,Sorted!$G$8)</f>
        <v>0</v>
      </c>
      <c r="AF180" s="47" t="n">
        <v>0</v>
      </c>
      <c r="AG180" s="47" t="n">
        <f aca="false">ROUND(AD180-AE180-AF180,2)</f>
        <v>0</v>
      </c>
      <c r="AH180" s="47" t="n">
        <f aca="false">ROUND(AK179*(1+Sorted!$H$9),2)</f>
        <v>0</v>
      </c>
      <c r="AI180" s="47" t="n">
        <f aca="false">MIN(AH180,Sorted!$G$9)</f>
        <v>0</v>
      </c>
      <c r="AJ180" s="47" t="n">
        <v>0</v>
      </c>
      <c r="AK180" s="47" t="n">
        <f aca="false">ROUND(AH180-AI180-AJ180,2)</f>
        <v>0</v>
      </c>
      <c r="AL180" s="47" t="n">
        <f aca="false">ROUND(AO179*(1+Sorted!$H$10),2)</f>
        <v>0</v>
      </c>
      <c r="AM180" s="47" t="n">
        <f aca="false">MIN(AL180,Sorted!$G$10)</f>
        <v>0</v>
      </c>
      <c r="AN180" s="47" t="n">
        <v>0</v>
      </c>
      <c r="AO180" s="47" t="n">
        <f aca="false">ROUND(AL180-AM180-AN180,2)</f>
        <v>0</v>
      </c>
      <c r="AP180" s="47" t="n">
        <f aca="false">ROUND(AS179*(1+Sorted!$H$11),2)</f>
        <v>0</v>
      </c>
      <c r="AQ180" s="47" t="n">
        <f aca="false">MIN(AP180,Sorted!$G$11)</f>
        <v>0</v>
      </c>
      <c r="AR180" s="47" t="n">
        <v>0</v>
      </c>
      <c r="AS180" s="47" t="n">
        <f aca="false">ROUND(AP180-AQ180-AR180,2)</f>
        <v>0</v>
      </c>
    </row>
    <row r="181" customFormat="false" ht="15" hidden="false" customHeight="false" outlineLevel="0" collapsed="false">
      <c r="A181" s="45" t="n">
        <v>178</v>
      </c>
      <c r="B181" s="46" t="n">
        <f aca="false">EDATE('My Debts'!$C$7,A181-1)</f>
        <v>51714</v>
      </c>
      <c r="C181" s="47" t="n">
        <v>0</v>
      </c>
      <c r="D181" s="47" t="n">
        <f aca="false">(F181+J181+N181+R181+V181+Z181+AD181+AH181+AL181+AP181)-(I181+M181+Q181+U181+Y181+AC181+AG181+AK181+AO181+AS181)</f>
        <v>0</v>
      </c>
      <c r="E181" s="48" t="n">
        <f aca="false">I181+M181+Q181+U181+Y181+AC181+AG181+AK181+AO181+AS181</f>
        <v>0</v>
      </c>
      <c r="F181" s="47" t="n">
        <f aca="false">ROUND(I180*(1+Sorted!$H$2),2)</f>
        <v>0</v>
      </c>
      <c r="G181" s="47" t="n">
        <f aca="false">MIN(F181,Sorted!$G$2)</f>
        <v>0</v>
      </c>
      <c r="H181" s="47" t="n">
        <v>0</v>
      </c>
      <c r="I181" s="47" t="n">
        <f aca="false">ROUND(F181-G181-H181,2)</f>
        <v>0</v>
      </c>
      <c r="J181" s="47" t="n">
        <f aca="false">ROUND(M180*(1+Sorted!$H$3),2)</f>
        <v>0</v>
      </c>
      <c r="K181" s="47" t="n">
        <f aca="false">MIN(J181,Sorted!$G$3)</f>
        <v>0</v>
      </c>
      <c r="L181" s="47" t="n">
        <v>0</v>
      </c>
      <c r="M181" s="47" t="n">
        <f aca="false">ROUND(J181-K181-L181,2)</f>
        <v>0</v>
      </c>
      <c r="N181" s="47" t="n">
        <f aca="false">ROUND(Q180*(1+Sorted!$H$4),2)</f>
        <v>0</v>
      </c>
      <c r="O181" s="47" t="n">
        <f aca="false">MIN(N181,Sorted!$G$4)</f>
        <v>0</v>
      </c>
      <c r="P181" s="47" t="n">
        <v>0</v>
      </c>
      <c r="Q181" s="47" t="n">
        <f aca="false">ROUND(N181-O181-P181,2)</f>
        <v>0</v>
      </c>
      <c r="R181" s="47" t="n">
        <f aca="false">ROUND(U180*(1+Sorted!$H$5),2)</f>
        <v>0</v>
      </c>
      <c r="S181" s="47" t="n">
        <f aca="false">MIN(R181,Sorted!$G$5)</f>
        <v>0</v>
      </c>
      <c r="T181" s="47" t="n">
        <v>0</v>
      </c>
      <c r="U181" s="47" t="n">
        <f aca="false">ROUND(R181-S181-T181,2)</f>
        <v>0</v>
      </c>
      <c r="V181" s="47" t="n">
        <f aca="false">ROUND(Y180*(1+Sorted!$H$6),2)</f>
        <v>0</v>
      </c>
      <c r="W181" s="47" t="n">
        <f aca="false">MIN(V181,Sorted!$G$6)</f>
        <v>0</v>
      </c>
      <c r="X181" s="47" t="n">
        <v>0</v>
      </c>
      <c r="Y181" s="47" t="n">
        <f aca="false">ROUND(V181-W181-X181,2)</f>
        <v>0</v>
      </c>
      <c r="Z181" s="47" t="n">
        <f aca="false">ROUND(AC180*(1+Sorted!$H$7),2)</f>
        <v>0</v>
      </c>
      <c r="AA181" s="47" t="n">
        <f aca="false">MIN(Z181,Sorted!$G$7)</f>
        <v>0</v>
      </c>
      <c r="AB181" s="47" t="n">
        <v>0</v>
      </c>
      <c r="AC181" s="47" t="n">
        <f aca="false">ROUND(Z181-AA181-AB181,2)</f>
        <v>0</v>
      </c>
      <c r="AD181" s="47" t="n">
        <f aca="false">ROUND(AG180*(1+Sorted!$H$8),2)</f>
        <v>0</v>
      </c>
      <c r="AE181" s="47" t="n">
        <f aca="false">MIN(AD181,Sorted!$G$8)</f>
        <v>0</v>
      </c>
      <c r="AF181" s="47" t="n">
        <v>0</v>
      </c>
      <c r="AG181" s="47" t="n">
        <f aca="false">ROUND(AD181-AE181-AF181,2)</f>
        <v>0</v>
      </c>
      <c r="AH181" s="47" t="n">
        <f aca="false">ROUND(AK180*(1+Sorted!$H$9),2)</f>
        <v>0</v>
      </c>
      <c r="AI181" s="47" t="n">
        <f aca="false">MIN(AH181,Sorted!$G$9)</f>
        <v>0</v>
      </c>
      <c r="AJ181" s="47" t="n">
        <v>0</v>
      </c>
      <c r="AK181" s="47" t="n">
        <f aca="false">ROUND(AH181-AI181-AJ181,2)</f>
        <v>0</v>
      </c>
      <c r="AL181" s="47" t="n">
        <f aca="false">ROUND(AO180*(1+Sorted!$H$10),2)</f>
        <v>0</v>
      </c>
      <c r="AM181" s="47" t="n">
        <f aca="false">MIN(AL181,Sorted!$G$10)</f>
        <v>0</v>
      </c>
      <c r="AN181" s="47" t="n">
        <v>0</v>
      </c>
      <c r="AO181" s="47" t="n">
        <f aca="false">ROUND(AL181-AM181-AN181,2)</f>
        <v>0</v>
      </c>
      <c r="AP181" s="47" t="n">
        <f aca="false">ROUND(AS180*(1+Sorted!$H$11),2)</f>
        <v>0</v>
      </c>
      <c r="AQ181" s="47" t="n">
        <f aca="false">MIN(AP181,Sorted!$G$11)</f>
        <v>0</v>
      </c>
      <c r="AR181" s="47" t="n">
        <v>0</v>
      </c>
      <c r="AS181" s="47" t="n">
        <f aca="false">ROUND(AP181-AQ181-AR181,2)</f>
        <v>0</v>
      </c>
    </row>
    <row r="182" customFormat="false" ht="15" hidden="false" customHeight="false" outlineLevel="0" collapsed="false">
      <c r="A182" s="45" t="n">
        <v>179</v>
      </c>
      <c r="B182" s="46" t="n">
        <f aca="false">EDATE('My Debts'!$C$7,A182-1)</f>
        <v>51745</v>
      </c>
      <c r="C182" s="47" t="n">
        <v>0</v>
      </c>
      <c r="D182" s="47" t="n">
        <f aca="false">(F182+J182+N182+R182+V182+Z182+AD182+AH182+AL182+AP182)-(I182+M182+Q182+U182+Y182+AC182+AG182+AK182+AO182+AS182)</f>
        <v>0</v>
      </c>
      <c r="E182" s="48" t="n">
        <f aca="false">I182+M182+Q182+U182+Y182+AC182+AG182+AK182+AO182+AS182</f>
        <v>0</v>
      </c>
      <c r="F182" s="47" t="n">
        <f aca="false">ROUND(I181*(1+Sorted!$H$2),2)</f>
        <v>0</v>
      </c>
      <c r="G182" s="47" t="n">
        <f aca="false">MIN(F182,Sorted!$G$2)</f>
        <v>0</v>
      </c>
      <c r="H182" s="47" t="n">
        <v>0</v>
      </c>
      <c r="I182" s="47" t="n">
        <f aca="false">ROUND(F182-G182-H182,2)</f>
        <v>0</v>
      </c>
      <c r="J182" s="47" t="n">
        <f aca="false">ROUND(M181*(1+Sorted!$H$3),2)</f>
        <v>0</v>
      </c>
      <c r="K182" s="47" t="n">
        <f aca="false">MIN(J182,Sorted!$G$3)</f>
        <v>0</v>
      </c>
      <c r="L182" s="47" t="n">
        <v>0</v>
      </c>
      <c r="M182" s="47" t="n">
        <f aca="false">ROUND(J182-K182-L182,2)</f>
        <v>0</v>
      </c>
      <c r="N182" s="47" t="n">
        <f aca="false">ROUND(Q181*(1+Sorted!$H$4),2)</f>
        <v>0</v>
      </c>
      <c r="O182" s="47" t="n">
        <f aca="false">MIN(N182,Sorted!$G$4)</f>
        <v>0</v>
      </c>
      <c r="P182" s="47" t="n">
        <v>0</v>
      </c>
      <c r="Q182" s="47" t="n">
        <f aca="false">ROUND(N182-O182-P182,2)</f>
        <v>0</v>
      </c>
      <c r="R182" s="47" t="n">
        <f aca="false">ROUND(U181*(1+Sorted!$H$5),2)</f>
        <v>0</v>
      </c>
      <c r="S182" s="47" t="n">
        <f aca="false">MIN(R182,Sorted!$G$5)</f>
        <v>0</v>
      </c>
      <c r="T182" s="47" t="n">
        <v>0</v>
      </c>
      <c r="U182" s="47" t="n">
        <f aca="false">ROUND(R182-S182-T182,2)</f>
        <v>0</v>
      </c>
      <c r="V182" s="47" t="n">
        <f aca="false">ROUND(Y181*(1+Sorted!$H$6),2)</f>
        <v>0</v>
      </c>
      <c r="W182" s="47" t="n">
        <f aca="false">MIN(V182,Sorted!$G$6)</f>
        <v>0</v>
      </c>
      <c r="X182" s="47" t="n">
        <v>0</v>
      </c>
      <c r="Y182" s="47" t="n">
        <f aca="false">ROUND(V182-W182-X182,2)</f>
        <v>0</v>
      </c>
      <c r="Z182" s="47" t="n">
        <f aca="false">ROUND(AC181*(1+Sorted!$H$7),2)</f>
        <v>0</v>
      </c>
      <c r="AA182" s="47" t="n">
        <f aca="false">MIN(Z182,Sorted!$G$7)</f>
        <v>0</v>
      </c>
      <c r="AB182" s="47" t="n">
        <v>0</v>
      </c>
      <c r="AC182" s="47" t="n">
        <f aca="false">ROUND(Z182-AA182-AB182,2)</f>
        <v>0</v>
      </c>
      <c r="AD182" s="47" t="n">
        <f aca="false">ROUND(AG181*(1+Sorted!$H$8),2)</f>
        <v>0</v>
      </c>
      <c r="AE182" s="47" t="n">
        <f aca="false">MIN(AD182,Sorted!$G$8)</f>
        <v>0</v>
      </c>
      <c r="AF182" s="47" t="n">
        <v>0</v>
      </c>
      <c r="AG182" s="47" t="n">
        <f aca="false">ROUND(AD182-AE182-AF182,2)</f>
        <v>0</v>
      </c>
      <c r="AH182" s="47" t="n">
        <f aca="false">ROUND(AK181*(1+Sorted!$H$9),2)</f>
        <v>0</v>
      </c>
      <c r="AI182" s="47" t="n">
        <f aca="false">MIN(AH182,Sorted!$G$9)</f>
        <v>0</v>
      </c>
      <c r="AJ182" s="47" t="n">
        <v>0</v>
      </c>
      <c r="AK182" s="47" t="n">
        <f aca="false">ROUND(AH182-AI182-AJ182,2)</f>
        <v>0</v>
      </c>
      <c r="AL182" s="47" t="n">
        <f aca="false">ROUND(AO181*(1+Sorted!$H$10),2)</f>
        <v>0</v>
      </c>
      <c r="AM182" s="47" t="n">
        <f aca="false">MIN(AL182,Sorted!$G$10)</f>
        <v>0</v>
      </c>
      <c r="AN182" s="47" t="n">
        <v>0</v>
      </c>
      <c r="AO182" s="47" t="n">
        <f aca="false">ROUND(AL182-AM182-AN182,2)</f>
        <v>0</v>
      </c>
      <c r="AP182" s="47" t="n">
        <f aca="false">ROUND(AS181*(1+Sorted!$H$11),2)</f>
        <v>0</v>
      </c>
      <c r="AQ182" s="47" t="n">
        <f aca="false">MIN(AP182,Sorted!$G$11)</f>
        <v>0</v>
      </c>
      <c r="AR182" s="47" t="n">
        <v>0</v>
      </c>
      <c r="AS182" s="47" t="n">
        <f aca="false">ROUND(AP182-AQ182-AR182,2)</f>
        <v>0</v>
      </c>
    </row>
    <row r="183" customFormat="false" ht="15" hidden="false" customHeight="false" outlineLevel="0" collapsed="false">
      <c r="A183" s="45" t="n">
        <v>180</v>
      </c>
      <c r="B183" s="46" t="n">
        <f aca="false">EDATE('My Debts'!$C$7,A183-1)</f>
        <v>51775</v>
      </c>
      <c r="C183" s="47" t="n">
        <v>0</v>
      </c>
      <c r="D183" s="47" t="n">
        <f aca="false">(F183+J183+N183+R183+V183+Z183+AD183+AH183+AL183+AP183)-(I183+M183+Q183+U183+Y183+AC183+AG183+AK183+AO183+AS183)</f>
        <v>0</v>
      </c>
      <c r="E183" s="48" t="n">
        <f aca="false">I183+M183+Q183+U183+Y183+AC183+AG183+AK183+AO183+AS183</f>
        <v>0</v>
      </c>
      <c r="F183" s="47" t="n">
        <f aca="false">ROUND(I182*(1+Sorted!$H$2),2)</f>
        <v>0</v>
      </c>
      <c r="G183" s="47" t="n">
        <f aca="false">MIN(F183,Sorted!$G$2)</f>
        <v>0</v>
      </c>
      <c r="H183" s="47" t="n">
        <v>0</v>
      </c>
      <c r="I183" s="47" t="n">
        <f aca="false">ROUND(F183-G183-H183,2)</f>
        <v>0</v>
      </c>
      <c r="J183" s="47" t="n">
        <f aca="false">ROUND(M182*(1+Sorted!$H$3),2)</f>
        <v>0</v>
      </c>
      <c r="K183" s="47" t="n">
        <f aca="false">MIN(J183,Sorted!$G$3)</f>
        <v>0</v>
      </c>
      <c r="L183" s="47" t="n">
        <v>0</v>
      </c>
      <c r="M183" s="47" t="n">
        <f aca="false">ROUND(J183-K183-L183,2)</f>
        <v>0</v>
      </c>
      <c r="N183" s="47" t="n">
        <f aca="false">ROUND(Q182*(1+Sorted!$H$4),2)</f>
        <v>0</v>
      </c>
      <c r="O183" s="47" t="n">
        <f aca="false">MIN(N183,Sorted!$G$4)</f>
        <v>0</v>
      </c>
      <c r="P183" s="47" t="n">
        <v>0</v>
      </c>
      <c r="Q183" s="47" t="n">
        <f aca="false">ROUND(N183-O183-P183,2)</f>
        <v>0</v>
      </c>
      <c r="R183" s="47" t="n">
        <f aca="false">ROUND(U182*(1+Sorted!$H$5),2)</f>
        <v>0</v>
      </c>
      <c r="S183" s="47" t="n">
        <f aca="false">MIN(R183,Sorted!$G$5)</f>
        <v>0</v>
      </c>
      <c r="T183" s="47" t="n">
        <v>0</v>
      </c>
      <c r="U183" s="47" t="n">
        <f aca="false">ROUND(R183-S183-T183,2)</f>
        <v>0</v>
      </c>
      <c r="V183" s="47" t="n">
        <f aca="false">ROUND(Y182*(1+Sorted!$H$6),2)</f>
        <v>0</v>
      </c>
      <c r="W183" s="47" t="n">
        <f aca="false">MIN(V183,Sorted!$G$6)</f>
        <v>0</v>
      </c>
      <c r="X183" s="47" t="n">
        <v>0</v>
      </c>
      <c r="Y183" s="47" t="n">
        <f aca="false">ROUND(V183-W183-X183,2)</f>
        <v>0</v>
      </c>
      <c r="Z183" s="47" t="n">
        <f aca="false">ROUND(AC182*(1+Sorted!$H$7),2)</f>
        <v>0</v>
      </c>
      <c r="AA183" s="47" t="n">
        <f aca="false">MIN(Z183,Sorted!$G$7)</f>
        <v>0</v>
      </c>
      <c r="AB183" s="47" t="n">
        <v>0</v>
      </c>
      <c r="AC183" s="47" t="n">
        <f aca="false">ROUND(Z183-AA183-AB183,2)</f>
        <v>0</v>
      </c>
      <c r="AD183" s="47" t="n">
        <f aca="false">ROUND(AG182*(1+Sorted!$H$8),2)</f>
        <v>0</v>
      </c>
      <c r="AE183" s="47" t="n">
        <f aca="false">MIN(AD183,Sorted!$G$8)</f>
        <v>0</v>
      </c>
      <c r="AF183" s="47" t="n">
        <v>0</v>
      </c>
      <c r="AG183" s="47" t="n">
        <f aca="false">ROUND(AD183-AE183-AF183,2)</f>
        <v>0</v>
      </c>
      <c r="AH183" s="47" t="n">
        <f aca="false">ROUND(AK182*(1+Sorted!$H$9),2)</f>
        <v>0</v>
      </c>
      <c r="AI183" s="47" t="n">
        <f aca="false">MIN(AH183,Sorted!$G$9)</f>
        <v>0</v>
      </c>
      <c r="AJ183" s="47" t="n">
        <v>0</v>
      </c>
      <c r="AK183" s="47" t="n">
        <f aca="false">ROUND(AH183-AI183-AJ183,2)</f>
        <v>0</v>
      </c>
      <c r="AL183" s="47" t="n">
        <f aca="false">ROUND(AO182*(1+Sorted!$H$10),2)</f>
        <v>0</v>
      </c>
      <c r="AM183" s="47" t="n">
        <f aca="false">MIN(AL183,Sorted!$G$10)</f>
        <v>0</v>
      </c>
      <c r="AN183" s="47" t="n">
        <v>0</v>
      </c>
      <c r="AO183" s="47" t="n">
        <f aca="false">ROUND(AL183-AM183-AN183,2)</f>
        <v>0</v>
      </c>
      <c r="AP183" s="47" t="n">
        <f aca="false">ROUND(AS182*(1+Sorted!$H$11),2)</f>
        <v>0</v>
      </c>
      <c r="AQ183" s="47" t="n">
        <f aca="false">MIN(AP183,Sorted!$G$11)</f>
        <v>0</v>
      </c>
      <c r="AR183" s="47" t="n">
        <v>0</v>
      </c>
      <c r="AS183" s="47" t="n">
        <f aca="false">ROUND(AP183-AQ183-AR183,2)</f>
        <v>0</v>
      </c>
    </row>
    <row r="184" customFormat="false" ht="15" hidden="false" customHeight="false" outlineLevel="0" collapsed="false">
      <c r="A184" s="45" t="n">
        <v>181</v>
      </c>
      <c r="B184" s="46" t="n">
        <f aca="false">EDATE('My Debts'!$C$7,A184-1)</f>
        <v>51806</v>
      </c>
      <c r="C184" s="47" t="n">
        <v>0</v>
      </c>
      <c r="D184" s="47" t="n">
        <f aca="false">(F184+J184+N184+R184+V184+Z184+AD184+AH184+AL184+AP184)-(I184+M184+Q184+U184+Y184+AC184+AG184+AK184+AO184+AS184)</f>
        <v>0</v>
      </c>
      <c r="E184" s="48" t="n">
        <f aca="false">I184+M184+Q184+U184+Y184+AC184+AG184+AK184+AO184+AS184</f>
        <v>0</v>
      </c>
      <c r="F184" s="47" t="n">
        <f aca="false">ROUND(I183*(1+Sorted!$H$2),2)</f>
        <v>0</v>
      </c>
      <c r="G184" s="47" t="n">
        <f aca="false">MIN(F184,Sorted!$G$2)</f>
        <v>0</v>
      </c>
      <c r="H184" s="47" t="n">
        <v>0</v>
      </c>
      <c r="I184" s="47" t="n">
        <f aca="false">ROUND(F184-G184-H184,2)</f>
        <v>0</v>
      </c>
      <c r="J184" s="47" t="n">
        <f aca="false">ROUND(M183*(1+Sorted!$H$3),2)</f>
        <v>0</v>
      </c>
      <c r="K184" s="47" t="n">
        <f aca="false">MIN(J184,Sorted!$G$3)</f>
        <v>0</v>
      </c>
      <c r="L184" s="47" t="n">
        <v>0</v>
      </c>
      <c r="M184" s="47" t="n">
        <f aca="false">ROUND(J184-K184-L184,2)</f>
        <v>0</v>
      </c>
      <c r="N184" s="47" t="n">
        <f aca="false">ROUND(Q183*(1+Sorted!$H$4),2)</f>
        <v>0</v>
      </c>
      <c r="O184" s="47" t="n">
        <f aca="false">MIN(N184,Sorted!$G$4)</f>
        <v>0</v>
      </c>
      <c r="P184" s="47" t="n">
        <v>0</v>
      </c>
      <c r="Q184" s="47" t="n">
        <f aca="false">ROUND(N184-O184-P184,2)</f>
        <v>0</v>
      </c>
      <c r="R184" s="47" t="n">
        <f aca="false">ROUND(U183*(1+Sorted!$H$5),2)</f>
        <v>0</v>
      </c>
      <c r="S184" s="47" t="n">
        <f aca="false">MIN(R184,Sorted!$G$5)</f>
        <v>0</v>
      </c>
      <c r="T184" s="47" t="n">
        <v>0</v>
      </c>
      <c r="U184" s="47" t="n">
        <f aca="false">ROUND(R184-S184-T184,2)</f>
        <v>0</v>
      </c>
      <c r="V184" s="47" t="n">
        <f aca="false">ROUND(Y183*(1+Sorted!$H$6),2)</f>
        <v>0</v>
      </c>
      <c r="W184" s="47" t="n">
        <f aca="false">MIN(V184,Sorted!$G$6)</f>
        <v>0</v>
      </c>
      <c r="X184" s="47" t="n">
        <v>0</v>
      </c>
      <c r="Y184" s="47" t="n">
        <f aca="false">ROUND(V184-W184-X184,2)</f>
        <v>0</v>
      </c>
      <c r="Z184" s="47" t="n">
        <f aca="false">ROUND(AC183*(1+Sorted!$H$7),2)</f>
        <v>0</v>
      </c>
      <c r="AA184" s="47" t="n">
        <f aca="false">MIN(Z184,Sorted!$G$7)</f>
        <v>0</v>
      </c>
      <c r="AB184" s="47" t="n">
        <v>0</v>
      </c>
      <c r="AC184" s="47" t="n">
        <f aca="false">ROUND(Z184-AA184-AB184,2)</f>
        <v>0</v>
      </c>
      <c r="AD184" s="47" t="n">
        <f aca="false">ROUND(AG183*(1+Sorted!$H$8),2)</f>
        <v>0</v>
      </c>
      <c r="AE184" s="47" t="n">
        <f aca="false">MIN(AD184,Sorted!$G$8)</f>
        <v>0</v>
      </c>
      <c r="AF184" s="47" t="n">
        <v>0</v>
      </c>
      <c r="AG184" s="47" t="n">
        <f aca="false">ROUND(AD184-AE184-AF184,2)</f>
        <v>0</v>
      </c>
      <c r="AH184" s="47" t="n">
        <f aca="false">ROUND(AK183*(1+Sorted!$H$9),2)</f>
        <v>0</v>
      </c>
      <c r="AI184" s="47" t="n">
        <f aca="false">MIN(AH184,Sorted!$G$9)</f>
        <v>0</v>
      </c>
      <c r="AJ184" s="47" t="n">
        <v>0</v>
      </c>
      <c r="AK184" s="47" t="n">
        <f aca="false">ROUND(AH184-AI184-AJ184,2)</f>
        <v>0</v>
      </c>
      <c r="AL184" s="47" t="n">
        <f aca="false">ROUND(AO183*(1+Sorted!$H$10),2)</f>
        <v>0</v>
      </c>
      <c r="AM184" s="47" t="n">
        <f aca="false">MIN(AL184,Sorted!$G$10)</f>
        <v>0</v>
      </c>
      <c r="AN184" s="47" t="n">
        <v>0</v>
      </c>
      <c r="AO184" s="47" t="n">
        <f aca="false">ROUND(AL184-AM184-AN184,2)</f>
        <v>0</v>
      </c>
      <c r="AP184" s="47" t="n">
        <f aca="false">ROUND(AS183*(1+Sorted!$H$11),2)</f>
        <v>0</v>
      </c>
      <c r="AQ184" s="47" t="n">
        <f aca="false">MIN(AP184,Sorted!$G$11)</f>
        <v>0</v>
      </c>
      <c r="AR184" s="47" t="n">
        <v>0</v>
      </c>
      <c r="AS184" s="47" t="n">
        <f aca="false">ROUND(AP184-AQ184-AR184,2)</f>
        <v>0</v>
      </c>
    </row>
    <row r="185" customFormat="false" ht="15" hidden="false" customHeight="false" outlineLevel="0" collapsed="false">
      <c r="A185" s="45" t="n">
        <v>182</v>
      </c>
      <c r="B185" s="46" t="n">
        <f aca="false">EDATE('My Debts'!$C$7,A185-1)</f>
        <v>51836</v>
      </c>
      <c r="C185" s="47" t="n">
        <v>0</v>
      </c>
      <c r="D185" s="47" t="n">
        <f aca="false">(F185+J185+N185+R185+V185+Z185+AD185+AH185+AL185+AP185)-(I185+M185+Q185+U185+Y185+AC185+AG185+AK185+AO185+AS185)</f>
        <v>0</v>
      </c>
      <c r="E185" s="48" t="n">
        <f aca="false">I185+M185+Q185+U185+Y185+AC185+AG185+AK185+AO185+AS185</f>
        <v>0</v>
      </c>
      <c r="F185" s="47" t="n">
        <f aca="false">ROUND(I184*(1+Sorted!$H$2),2)</f>
        <v>0</v>
      </c>
      <c r="G185" s="47" t="n">
        <f aca="false">MIN(F185,Sorted!$G$2)</f>
        <v>0</v>
      </c>
      <c r="H185" s="47" t="n">
        <v>0</v>
      </c>
      <c r="I185" s="47" t="n">
        <f aca="false">ROUND(F185-G185-H185,2)</f>
        <v>0</v>
      </c>
      <c r="J185" s="47" t="n">
        <f aca="false">ROUND(M184*(1+Sorted!$H$3),2)</f>
        <v>0</v>
      </c>
      <c r="K185" s="47" t="n">
        <f aca="false">MIN(J185,Sorted!$G$3)</f>
        <v>0</v>
      </c>
      <c r="L185" s="47" t="n">
        <v>0</v>
      </c>
      <c r="M185" s="47" t="n">
        <f aca="false">ROUND(J185-K185-L185,2)</f>
        <v>0</v>
      </c>
      <c r="N185" s="47" t="n">
        <f aca="false">ROUND(Q184*(1+Sorted!$H$4),2)</f>
        <v>0</v>
      </c>
      <c r="O185" s="47" t="n">
        <f aca="false">MIN(N185,Sorted!$G$4)</f>
        <v>0</v>
      </c>
      <c r="P185" s="47" t="n">
        <v>0</v>
      </c>
      <c r="Q185" s="47" t="n">
        <f aca="false">ROUND(N185-O185-P185,2)</f>
        <v>0</v>
      </c>
      <c r="R185" s="47" t="n">
        <f aca="false">ROUND(U184*(1+Sorted!$H$5),2)</f>
        <v>0</v>
      </c>
      <c r="S185" s="47" t="n">
        <f aca="false">MIN(R185,Sorted!$G$5)</f>
        <v>0</v>
      </c>
      <c r="T185" s="47" t="n">
        <v>0</v>
      </c>
      <c r="U185" s="47" t="n">
        <f aca="false">ROUND(R185-S185-T185,2)</f>
        <v>0</v>
      </c>
      <c r="V185" s="47" t="n">
        <f aca="false">ROUND(Y184*(1+Sorted!$H$6),2)</f>
        <v>0</v>
      </c>
      <c r="W185" s="47" t="n">
        <f aca="false">MIN(V185,Sorted!$G$6)</f>
        <v>0</v>
      </c>
      <c r="X185" s="47" t="n">
        <v>0</v>
      </c>
      <c r="Y185" s="47" t="n">
        <f aca="false">ROUND(V185-W185-X185,2)</f>
        <v>0</v>
      </c>
      <c r="Z185" s="47" t="n">
        <f aca="false">ROUND(AC184*(1+Sorted!$H$7),2)</f>
        <v>0</v>
      </c>
      <c r="AA185" s="47" t="n">
        <f aca="false">MIN(Z185,Sorted!$G$7)</f>
        <v>0</v>
      </c>
      <c r="AB185" s="47" t="n">
        <v>0</v>
      </c>
      <c r="AC185" s="47" t="n">
        <f aca="false">ROUND(Z185-AA185-AB185,2)</f>
        <v>0</v>
      </c>
      <c r="AD185" s="47" t="n">
        <f aca="false">ROUND(AG184*(1+Sorted!$H$8),2)</f>
        <v>0</v>
      </c>
      <c r="AE185" s="47" t="n">
        <f aca="false">MIN(AD185,Sorted!$G$8)</f>
        <v>0</v>
      </c>
      <c r="AF185" s="47" t="n">
        <v>0</v>
      </c>
      <c r="AG185" s="47" t="n">
        <f aca="false">ROUND(AD185-AE185-AF185,2)</f>
        <v>0</v>
      </c>
      <c r="AH185" s="47" t="n">
        <f aca="false">ROUND(AK184*(1+Sorted!$H$9),2)</f>
        <v>0</v>
      </c>
      <c r="AI185" s="47" t="n">
        <f aca="false">MIN(AH185,Sorted!$G$9)</f>
        <v>0</v>
      </c>
      <c r="AJ185" s="47" t="n">
        <v>0</v>
      </c>
      <c r="AK185" s="47" t="n">
        <f aca="false">ROUND(AH185-AI185-AJ185,2)</f>
        <v>0</v>
      </c>
      <c r="AL185" s="47" t="n">
        <f aca="false">ROUND(AO184*(1+Sorted!$H$10),2)</f>
        <v>0</v>
      </c>
      <c r="AM185" s="47" t="n">
        <f aca="false">MIN(AL185,Sorted!$G$10)</f>
        <v>0</v>
      </c>
      <c r="AN185" s="47" t="n">
        <v>0</v>
      </c>
      <c r="AO185" s="47" t="n">
        <f aca="false">ROUND(AL185-AM185-AN185,2)</f>
        <v>0</v>
      </c>
      <c r="AP185" s="47" t="n">
        <f aca="false">ROUND(AS184*(1+Sorted!$H$11),2)</f>
        <v>0</v>
      </c>
      <c r="AQ185" s="47" t="n">
        <f aca="false">MIN(AP185,Sorted!$G$11)</f>
        <v>0</v>
      </c>
      <c r="AR185" s="47" t="n">
        <v>0</v>
      </c>
      <c r="AS185" s="47" t="n">
        <f aca="false">ROUND(AP185-AQ185-AR185,2)</f>
        <v>0</v>
      </c>
    </row>
    <row r="186" customFormat="false" ht="15" hidden="false" customHeight="false" outlineLevel="0" collapsed="false">
      <c r="A186" s="45" t="n">
        <v>183</v>
      </c>
      <c r="B186" s="46" t="n">
        <f aca="false">EDATE('My Debts'!$C$7,A186-1)</f>
        <v>51867</v>
      </c>
      <c r="C186" s="47" t="n">
        <v>0</v>
      </c>
      <c r="D186" s="47" t="n">
        <f aca="false">(F186+J186+N186+R186+V186+Z186+AD186+AH186+AL186+AP186)-(I186+M186+Q186+U186+Y186+AC186+AG186+AK186+AO186+AS186)</f>
        <v>0</v>
      </c>
      <c r="E186" s="48" t="n">
        <f aca="false">I186+M186+Q186+U186+Y186+AC186+AG186+AK186+AO186+AS186</f>
        <v>0</v>
      </c>
      <c r="F186" s="47" t="n">
        <f aca="false">ROUND(I185*(1+Sorted!$H$2),2)</f>
        <v>0</v>
      </c>
      <c r="G186" s="47" t="n">
        <f aca="false">MIN(F186,Sorted!$G$2)</f>
        <v>0</v>
      </c>
      <c r="H186" s="47" t="n">
        <v>0</v>
      </c>
      <c r="I186" s="47" t="n">
        <f aca="false">ROUND(F186-G186-H186,2)</f>
        <v>0</v>
      </c>
      <c r="J186" s="47" t="n">
        <f aca="false">ROUND(M185*(1+Sorted!$H$3),2)</f>
        <v>0</v>
      </c>
      <c r="K186" s="47" t="n">
        <f aca="false">MIN(J186,Sorted!$G$3)</f>
        <v>0</v>
      </c>
      <c r="L186" s="47" t="n">
        <v>0</v>
      </c>
      <c r="M186" s="47" t="n">
        <f aca="false">ROUND(J186-K186-L186,2)</f>
        <v>0</v>
      </c>
      <c r="N186" s="47" t="n">
        <f aca="false">ROUND(Q185*(1+Sorted!$H$4),2)</f>
        <v>0</v>
      </c>
      <c r="O186" s="47" t="n">
        <f aca="false">MIN(N186,Sorted!$G$4)</f>
        <v>0</v>
      </c>
      <c r="P186" s="47" t="n">
        <v>0</v>
      </c>
      <c r="Q186" s="47" t="n">
        <f aca="false">ROUND(N186-O186-P186,2)</f>
        <v>0</v>
      </c>
      <c r="R186" s="47" t="n">
        <f aca="false">ROUND(U185*(1+Sorted!$H$5),2)</f>
        <v>0</v>
      </c>
      <c r="S186" s="47" t="n">
        <f aca="false">MIN(R186,Sorted!$G$5)</f>
        <v>0</v>
      </c>
      <c r="T186" s="47" t="n">
        <v>0</v>
      </c>
      <c r="U186" s="47" t="n">
        <f aca="false">ROUND(R186-S186-T186,2)</f>
        <v>0</v>
      </c>
      <c r="V186" s="47" t="n">
        <f aca="false">ROUND(Y185*(1+Sorted!$H$6),2)</f>
        <v>0</v>
      </c>
      <c r="W186" s="47" t="n">
        <f aca="false">MIN(V186,Sorted!$G$6)</f>
        <v>0</v>
      </c>
      <c r="X186" s="47" t="n">
        <v>0</v>
      </c>
      <c r="Y186" s="47" t="n">
        <f aca="false">ROUND(V186-W186-X186,2)</f>
        <v>0</v>
      </c>
      <c r="Z186" s="47" t="n">
        <f aca="false">ROUND(AC185*(1+Sorted!$H$7),2)</f>
        <v>0</v>
      </c>
      <c r="AA186" s="47" t="n">
        <f aca="false">MIN(Z186,Sorted!$G$7)</f>
        <v>0</v>
      </c>
      <c r="AB186" s="47" t="n">
        <v>0</v>
      </c>
      <c r="AC186" s="47" t="n">
        <f aca="false">ROUND(Z186-AA186-AB186,2)</f>
        <v>0</v>
      </c>
      <c r="AD186" s="47" t="n">
        <f aca="false">ROUND(AG185*(1+Sorted!$H$8),2)</f>
        <v>0</v>
      </c>
      <c r="AE186" s="47" t="n">
        <f aca="false">MIN(AD186,Sorted!$G$8)</f>
        <v>0</v>
      </c>
      <c r="AF186" s="47" t="n">
        <v>0</v>
      </c>
      <c r="AG186" s="47" t="n">
        <f aca="false">ROUND(AD186-AE186-AF186,2)</f>
        <v>0</v>
      </c>
      <c r="AH186" s="47" t="n">
        <f aca="false">ROUND(AK185*(1+Sorted!$H$9),2)</f>
        <v>0</v>
      </c>
      <c r="AI186" s="47" t="n">
        <f aca="false">MIN(AH186,Sorted!$G$9)</f>
        <v>0</v>
      </c>
      <c r="AJ186" s="47" t="n">
        <v>0</v>
      </c>
      <c r="AK186" s="47" t="n">
        <f aca="false">ROUND(AH186-AI186-AJ186,2)</f>
        <v>0</v>
      </c>
      <c r="AL186" s="47" t="n">
        <f aca="false">ROUND(AO185*(1+Sorted!$H$10),2)</f>
        <v>0</v>
      </c>
      <c r="AM186" s="47" t="n">
        <f aca="false">MIN(AL186,Sorted!$G$10)</f>
        <v>0</v>
      </c>
      <c r="AN186" s="47" t="n">
        <v>0</v>
      </c>
      <c r="AO186" s="47" t="n">
        <f aca="false">ROUND(AL186-AM186-AN186,2)</f>
        <v>0</v>
      </c>
      <c r="AP186" s="47" t="n">
        <f aca="false">ROUND(AS185*(1+Sorted!$H$11),2)</f>
        <v>0</v>
      </c>
      <c r="AQ186" s="47" t="n">
        <f aca="false">MIN(AP186,Sorted!$G$11)</f>
        <v>0</v>
      </c>
      <c r="AR186" s="47" t="n">
        <v>0</v>
      </c>
      <c r="AS186" s="47" t="n">
        <f aca="false">ROUND(AP186-AQ186-AR186,2)</f>
        <v>0</v>
      </c>
    </row>
    <row r="187" customFormat="false" ht="15" hidden="false" customHeight="false" outlineLevel="0" collapsed="false">
      <c r="A187" s="45" t="n">
        <v>184</v>
      </c>
      <c r="B187" s="46" t="n">
        <f aca="false">EDATE('My Debts'!$C$7,A187-1)</f>
        <v>51898</v>
      </c>
      <c r="C187" s="47" t="n">
        <v>0</v>
      </c>
      <c r="D187" s="47" t="n">
        <f aca="false">(F187+J187+N187+R187+V187+Z187+AD187+AH187+AL187+AP187)-(I187+M187+Q187+U187+Y187+AC187+AG187+AK187+AO187+AS187)</f>
        <v>0</v>
      </c>
      <c r="E187" s="48" t="n">
        <f aca="false">I187+M187+Q187+U187+Y187+AC187+AG187+AK187+AO187+AS187</f>
        <v>0</v>
      </c>
      <c r="F187" s="47" t="n">
        <f aca="false">ROUND(I186*(1+Sorted!$H$2),2)</f>
        <v>0</v>
      </c>
      <c r="G187" s="47" t="n">
        <f aca="false">MIN(F187,Sorted!$G$2)</f>
        <v>0</v>
      </c>
      <c r="H187" s="47" t="n">
        <v>0</v>
      </c>
      <c r="I187" s="47" t="n">
        <f aca="false">ROUND(F187-G187-H187,2)</f>
        <v>0</v>
      </c>
      <c r="J187" s="47" t="n">
        <f aca="false">ROUND(M186*(1+Sorted!$H$3),2)</f>
        <v>0</v>
      </c>
      <c r="K187" s="47" t="n">
        <f aca="false">MIN(J187,Sorted!$G$3)</f>
        <v>0</v>
      </c>
      <c r="L187" s="47" t="n">
        <v>0</v>
      </c>
      <c r="M187" s="47" t="n">
        <f aca="false">ROUND(J187-K187-L187,2)</f>
        <v>0</v>
      </c>
      <c r="N187" s="47" t="n">
        <f aca="false">ROUND(Q186*(1+Sorted!$H$4),2)</f>
        <v>0</v>
      </c>
      <c r="O187" s="47" t="n">
        <f aca="false">MIN(N187,Sorted!$G$4)</f>
        <v>0</v>
      </c>
      <c r="P187" s="47" t="n">
        <v>0</v>
      </c>
      <c r="Q187" s="47" t="n">
        <f aca="false">ROUND(N187-O187-P187,2)</f>
        <v>0</v>
      </c>
      <c r="R187" s="47" t="n">
        <f aca="false">ROUND(U186*(1+Sorted!$H$5),2)</f>
        <v>0</v>
      </c>
      <c r="S187" s="47" t="n">
        <f aca="false">MIN(R187,Sorted!$G$5)</f>
        <v>0</v>
      </c>
      <c r="T187" s="47" t="n">
        <v>0</v>
      </c>
      <c r="U187" s="47" t="n">
        <f aca="false">ROUND(R187-S187-T187,2)</f>
        <v>0</v>
      </c>
      <c r="V187" s="47" t="n">
        <f aca="false">ROUND(Y186*(1+Sorted!$H$6),2)</f>
        <v>0</v>
      </c>
      <c r="W187" s="47" t="n">
        <f aca="false">MIN(V187,Sorted!$G$6)</f>
        <v>0</v>
      </c>
      <c r="X187" s="47" t="n">
        <v>0</v>
      </c>
      <c r="Y187" s="47" t="n">
        <f aca="false">ROUND(V187-W187-X187,2)</f>
        <v>0</v>
      </c>
      <c r="Z187" s="47" t="n">
        <f aca="false">ROUND(AC186*(1+Sorted!$H$7),2)</f>
        <v>0</v>
      </c>
      <c r="AA187" s="47" t="n">
        <f aca="false">MIN(Z187,Sorted!$G$7)</f>
        <v>0</v>
      </c>
      <c r="AB187" s="47" t="n">
        <v>0</v>
      </c>
      <c r="AC187" s="47" t="n">
        <f aca="false">ROUND(Z187-AA187-AB187,2)</f>
        <v>0</v>
      </c>
      <c r="AD187" s="47" t="n">
        <f aca="false">ROUND(AG186*(1+Sorted!$H$8),2)</f>
        <v>0</v>
      </c>
      <c r="AE187" s="47" t="n">
        <f aca="false">MIN(AD187,Sorted!$G$8)</f>
        <v>0</v>
      </c>
      <c r="AF187" s="47" t="n">
        <v>0</v>
      </c>
      <c r="AG187" s="47" t="n">
        <f aca="false">ROUND(AD187-AE187-AF187,2)</f>
        <v>0</v>
      </c>
      <c r="AH187" s="47" t="n">
        <f aca="false">ROUND(AK186*(1+Sorted!$H$9),2)</f>
        <v>0</v>
      </c>
      <c r="AI187" s="47" t="n">
        <f aca="false">MIN(AH187,Sorted!$G$9)</f>
        <v>0</v>
      </c>
      <c r="AJ187" s="47" t="n">
        <v>0</v>
      </c>
      <c r="AK187" s="47" t="n">
        <f aca="false">ROUND(AH187-AI187-AJ187,2)</f>
        <v>0</v>
      </c>
      <c r="AL187" s="47" t="n">
        <f aca="false">ROUND(AO186*(1+Sorted!$H$10),2)</f>
        <v>0</v>
      </c>
      <c r="AM187" s="47" t="n">
        <f aca="false">MIN(AL187,Sorted!$G$10)</f>
        <v>0</v>
      </c>
      <c r="AN187" s="47" t="n">
        <v>0</v>
      </c>
      <c r="AO187" s="47" t="n">
        <f aca="false">ROUND(AL187-AM187-AN187,2)</f>
        <v>0</v>
      </c>
      <c r="AP187" s="47" t="n">
        <f aca="false">ROUND(AS186*(1+Sorted!$H$11),2)</f>
        <v>0</v>
      </c>
      <c r="AQ187" s="47" t="n">
        <f aca="false">MIN(AP187,Sorted!$G$11)</f>
        <v>0</v>
      </c>
      <c r="AR187" s="47" t="n">
        <v>0</v>
      </c>
      <c r="AS187" s="47" t="n">
        <f aca="false">ROUND(AP187-AQ187-AR187,2)</f>
        <v>0</v>
      </c>
    </row>
    <row r="188" customFormat="false" ht="15" hidden="false" customHeight="false" outlineLevel="0" collapsed="false">
      <c r="A188" s="45" t="n">
        <v>185</v>
      </c>
      <c r="B188" s="46" t="n">
        <f aca="false">EDATE('My Debts'!$C$7,A188-1)</f>
        <v>51926</v>
      </c>
      <c r="C188" s="47" t="n">
        <v>0</v>
      </c>
      <c r="D188" s="47" t="n">
        <f aca="false">(F188+J188+N188+R188+V188+Z188+AD188+AH188+AL188+AP188)-(I188+M188+Q188+U188+Y188+AC188+AG188+AK188+AO188+AS188)</f>
        <v>0</v>
      </c>
      <c r="E188" s="48" t="n">
        <f aca="false">I188+M188+Q188+U188+Y188+AC188+AG188+AK188+AO188+AS188</f>
        <v>0</v>
      </c>
      <c r="F188" s="47" t="n">
        <f aca="false">ROUND(I187*(1+Sorted!$H$2),2)</f>
        <v>0</v>
      </c>
      <c r="G188" s="47" t="n">
        <f aca="false">MIN(F188,Sorted!$G$2)</f>
        <v>0</v>
      </c>
      <c r="H188" s="47" t="n">
        <v>0</v>
      </c>
      <c r="I188" s="47" t="n">
        <f aca="false">ROUND(F188-G188-H188,2)</f>
        <v>0</v>
      </c>
      <c r="J188" s="47" t="n">
        <f aca="false">ROUND(M187*(1+Sorted!$H$3),2)</f>
        <v>0</v>
      </c>
      <c r="K188" s="47" t="n">
        <f aca="false">MIN(J188,Sorted!$G$3)</f>
        <v>0</v>
      </c>
      <c r="L188" s="47" t="n">
        <v>0</v>
      </c>
      <c r="M188" s="47" t="n">
        <f aca="false">ROUND(J188-K188-L188,2)</f>
        <v>0</v>
      </c>
      <c r="N188" s="47" t="n">
        <f aca="false">ROUND(Q187*(1+Sorted!$H$4),2)</f>
        <v>0</v>
      </c>
      <c r="O188" s="47" t="n">
        <f aca="false">MIN(N188,Sorted!$G$4)</f>
        <v>0</v>
      </c>
      <c r="P188" s="47" t="n">
        <v>0</v>
      </c>
      <c r="Q188" s="47" t="n">
        <f aca="false">ROUND(N188-O188-P188,2)</f>
        <v>0</v>
      </c>
      <c r="R188" s="47" t="n">
        <f aca="false">ROUND(U187*(1+Sorted!$H$5),2)</f>
        <v>0</v>
      </c>
      <c r="S188" s="47" t="n">
        <f aca="false">MIN(R188,Sorted!$G$5)</f>
        <v>0</v>
      </c>
      <c r="T188" s="47" t="n">
        <v>0</v>
      </c>
      <c r="U188" s="47" t="n">
        <f aca="false">ROUND(R188-S188-T188,2)</f>
        <v>0</v>
      </c>
      <c r="V188" s="47" t="n">
        <f aca="false">ROUND(Y187*(1+Sorted!$H$6),2)</f>
        <v>0</v>
      </c>
      <c r="W188" s="47" t="n">
        <f aca="false">MIN(V188,Sorted!$G$6)</f>
        <v>0</v>
      </c>
      <c r="X188" s="47" t="n">
        <v>0</v>
      </c>
      <c r="Y188" s="47" t="n">
        <f aca="false">ROUND(V188-W188-X188,2)</f>
        <v>0</v>
      </c>
      <c r="Z188" s="47" t="n">
        <f aca="false">ROUND(AC187*(1+Sorted!$H$7),2)</f>
        <v>0</v>
      </c>
      <c r="AA188" s="47" t="n">
        <f aca="false">MIN(Z188,Sorted!$G$7)</f>
        <v>0</v>
      </c>
      <c r="AB188" s="47" t="n">
        <v>0</v>
      </c>
      <c r="AC188" s="47" t="n">
        <f aca="false">ROUND(Z188-AA188-AB188,2)</f>
        <v>0</v>
      </c>
      <c r="AD188" s="47" t="n">
        <f aca="false">ROUND(AG187*(1+Sorted!$H$8),2)</f>
        <v>0</v>
      </c>
      <c r="AE188" s="47" t="n">
        <f aca="false">MIN(AD188,Sorted!$G$8)</f>
        <v>0</v>
      </c>
      <c r="AF188" s="47" t="n">
        <v>0</v>
      </c>
      <c r="AG188" s="47" t="n">
        <f aca="false">ROUND(AD188-AE188-AF188,2)</f>
        <v>0</v>
      </c>
      <c r="AH188" s="47" t="n">
        <f aca="false">ROUND(AK187*(1+Sorted!$H$9),2)</f>
        <v>0</v>
      </c>
      <c r="AI188" s="47" t="n">
        <f aca="false">MIN(AH188,Sorted!$G$9)</f>
        <v>0</v>
      </c>
      <c r="AJ188" s="47" t="n">
        <v>0</v>
      </c>
      <c r="AK188" s="47" t="n">
        <f aca="false">ROUND(AH188-AI188-AJ188,2)</f>
        <v>0</v>
      </c>
      <c r="AL188" s="47" t="n">
        <f aca="false">ROUND(AO187*(1+Sorted!$H$10),2)</f>
        <v>0</v>
      </c>
      <c r="AM188" s="47" t="n">
        <f aca="false">MIN(AL188,Sorted!$G$10)</f>
        <v>0</v>
      </c>
      <c r="AN188" s="47" t="n">
        <v>0</v>
      </c>
      <c r="AO188" s="47" t="n">
        <f aca="false">ROUND(AL188-AM188-AN188,2)</f>
        <v>0</v>
      </c>
      <c r="AP188" s="47" t="n">
        <f aca="false">ROUND(AS187*(1+Sorted!$H$11),2)</f>
        <v>0</v>
      </c>
      <c r="AQ188" s="47" t="n">
        <f aca="false">MIN(AP188,Sorted!$G$11)</f>
        <v>0</v>
      </c>
      <c r="AR188" s="47" t="n">
        <v>0</v>
      </c>
      <c r="AS188" s="47" t="n">
        <f aca="false">ROUND(AP188-AQ188-AR188,2)</f>
        <v>0</v>
      </c>
    </row>
    <row r="189" customFormat="false" ht="15" hidden="false" customHeight="false" outlineLevel="0" collapsed="false">
      <c r="A189" s="45" t="n">
        <v>186</v>
      </c>
      <c r="B189" s="46" t="n">
        <f aca="false">EDATE('My Debts'!$C$7,A189-1)</f>
        <v>51957</v>
      </c>
      <c r="C189" s="47" t="n">
        <v>0</v>
      </c>
      <c r="D189" s="47" t="n">
        <f aca="false">(F189+J189+N189+R189+V189+Z189+AD189+AH189+AL189+AP189)-(I189+M189+Q189+U189+Y189+AC189+AG189+AK189+AO189+AS189)</f>
        <v>0</v>
      </c>
      <c r="E189" s="48" t="n">
        <f aca="false">I189+M189+Q189+U189+Y189+AC189+AG189+AK189+AO189+AS189</f>
        <v>0</v>
      </c>
      <c r="F189" s="47" t="n">
        <f aca="false">ROUND(I188*(1+Sorted!$H$2),2)</f>
        <v>0</v>
      </c>
      <c r="G189" s="47" t="n">
        <f aca="false">MIN(F189,Sorted!$G$2)</f>
        <v>0</v>
      </c>
      <c r="H189" s="47" t="n">
        <v>0</v>
      </c>
      <c r="I189" s="47" t="n">
        <f aca="false">ROUND(F189-G189-H189,2)</f>
        <v>0</v>
      </c>
      <c r="J189" s="47" t="n">
        <f aca="false">ROUND(M188*(1+Sorted!$H$3),2)</f>
        <v>0</v>
      </c>
      <c r="K189" s="47" t="n">
        <f aca="false">MIN(J189,Sorted!$G$3)</f>
        <v>0</v>
      </c>
      <c r="L189" s="47" t="n">
        <v>0</v>
      </c>
      <c r="M189" s="47" t="n">
        <f aca="false">ROUND(J189-K189-L189,2)</f>
        <v>0</v>
      </c>
      <c r="N189" s="47" t="n">
        <f aca="false">ROUND(Q188*(1+Sorted!$H$4),2)</f>
        <v>0</v>
      </c>
      <c r="O189" s="47" t="n">
        <f aca="false">MIN(N189,Sorted!$G$4)</f>
        <v>0</v>
      </c>
      <c r="P189" s="47" t="n">
        <v>0</v>
      </c>
      <c r="Q189" s="47" t="n">
        <f aca="false">ROUND(N189-O189-P189,2)</f>
        <v>0</v>
      </c>
      <c r="R189" s="47" t="n">
        <f aca="false">ROUND(U188*(1+Sorted!$H$5),2)</f>
        <v>0</v>
      </c>
      <c r="S189" s="47" t="n">
        <f aca="false">MIN(R189,Sorted!$G$5)</f>
        <v>0</v>
      </c>
      <c r="T189" s="47" t="n">
        <v>0</v>
      </c>
      <c r="U189" s="47" t="n">
        <f aca="false">ROUND(R189-S189-T189,2)</f>
        <v>0</v>
      </c>
      <c r="V189" s="47" t="n">
        <f aca="false">ROUND(Y188*(1+Sorted!$H$6),2)</f>
        <v>0</v>
      </c>
      <c r="W189" s="47" t="n">
        <f aca="false">MIN(V189,Sorted!$G$6)</f>
        <v>0</v>
      </c>
      <c r="X189" s="47" t="n">
        <v>0</v>
      </c>
      <c r="Y189" s="47" t="n">
        <f aca="false">ROUND(V189-W189-X189,2)</f>
        <v>0</v>
      </c>
      <c r="Z189" s="47" t="n">
        <f aca="false">ROUND(AC188*(1+Sorted!$H$7),2)</f>
        <v>0</v>
      </c>
      <c r="AA189" s="47" t="n">
        <f aca="false">MIN(Z189,Sorted!$G$7)</f>
        <v>0</v>
      </c>
      <c r="AB189" s="47" t="n">
        <v>0</v>
      </c>
      <c r="AC189" s="47" t="n">
        <f aca="false">ROUND(Z189-AA189-AB189,2)</f>
        <v>0</v>
      </c>
      <c r="AD189" s="47" t="n">
        <f aca="false">ROUND(AG188*(1+Sorted!$H$8),2)</f>
        <v>0</v>
      </c>
      <c r="AE189" s="47" t="n">
        <f aca="false">MIN(AD189,Sorted!$G$8)</f>
        <v>0</v>
      </c>
      <c r="AF189" s="47" t="n">
        <v>0</v>
      </c>
      <c r="AG189" s="47" t="n">
        <f aca="false">ROUND(AD189-AE189-AF189,2)</f>
        <v>0</v>
      </c>
      <c r="AH189" s="47" t="n">
        <f aca="false">ROUND(AK188*(1+Sorted!$H$9),2)</f>
        <v>0</v>
      </c>
      <c r="AI189" s="47" t="n">
        <f aca="false">MIN(AH189,Sorted!$G$9)</f>
        <v>0</v>
      </c>
      <c r="AJ189" s="47" t="n">
        <v>0</v>
      </c>
      <c r="AK189" s="47" t="n">
        <f aca="false">ROUND(AH189-AI189-AJ189,2)</f>
        <v>0</v>
      </c>
      <c r="AL189" s="47" t="n">
        <f aca="false">ROUND(AO188*(1+Sorted!$H$10),2)</f>
        <v>0</v>
      </c>
      <c r="AM189" s="47" t="n">
        <f aca="false">MIN(AL189,Sorted!$G$10)</f>
        <v>0</v>
      </c>
      <c r="AN189" s="47" t="n">
        <v>0</v>
      </c>
      <c r="AO189" s="47" t="n">
        <f aca="false">ROUND(AL189-AM189-AN189,2)</f>
        <v>0</v>
      </c>
      <c r="AP189" s="47" t="n">
        <f aca="false">ROUND(AS188*(1+Sorted!$H$11),2)</f>
        <v>0</v>
      </c>
      <c r="AQ189" s="47" t="n">
        <f aca="false">MIN(AP189,Sorted!$G$11)</f>
        <v>0</v>
      </c>
      <c r="AR189" s="47" t="n">
        <v>0</v>
      </c>
      <c r="AS189" s="47" t="n">
        <f aca="false">ROUND(AP189-AQ189-AR189,2)</f>
        <v>0</v>
      </c>
    </row>
    <row r="190" customFormat="false" ht="15" hidden="false" customHeight="false" outlineLevel="0" collapsed="false">
      <c r="A190" s="45" t="n">
        <v>187</v>
      </c>
      <c r="B190" s="46" t="n">
        <f aca="false">EDATE('My Debts'!$C$7,A190-1)</f>
        <v>51987</v>
      </c>
      <c r="C190" s="47" t="n">
        <v>0</v>
      </c>
      <c r="D190" s="47" t="n">
        <f aca="false">(F190+J190+N190+R190+V190+Z190+AD190+AH190+AL190+AP190)-(I190+M190+Q190+U190+Y190+AC190+AG190+AK190+AO190+AS190)</f>
        <v>0</v>
      </c>
      <c r="E190" s="48" t="n">
        <f aca="false">I190+M190+Q190+U190+Y190+AC190+AG190+AK190+AO190+AS190</f>
        <v>0</v>
      </c>
      <c r="F190" s="47" t="n">
        <f aca="false">ROUND(I189*(1+Sorted!$H$2),2)</f>
        <v>0</v>
      </c>
      <c r="G190" s="47" t="n">
        <f aca="false">MIN(F190,Sorted!$G$2)</f>
        <v>0</v>
      </c>
      <c r="H190" s="47" t="n">
        <v>0</v>
      </c>
      <c r="I190" s="47" t="n">
        <f aca="false">ROUND(F190-G190-H190,2)</f>
        <v>0</v>
      </c>
      <c r="J190" s="47" t="n">
        <f aca="false">ROUND(M189*(1+Sorted!$H$3),2)</f>
        <v>0</v>
      </c>
      <c r="K190" s="47" t="n">
        <f aca="false">MIN(J190,Sorted!$G$3)</f>
        <v>0</v>
      </c>
      <c r="L190" s="47" t="n">
        <v>0</v>
      </c>
      <c r="M190" s="47" t="n">
        <f aca="false">ROUND(J190-K190-L190,2)</f>
        <v>0</v>
      </c>
      <c r="N190" s="47" t="n">
        <f aca="false">ROUND(Q189*(1+Sorted!$H$4),2)</f>
        <v>0</v>
      </c>
      <c r="O190" s="47" t="n">
        <f aca="false">MIN(N190,Sorted!$G$4)</f>
        <v>0</v>
      </c>
      <c r="P190" s="47" t="n">
        <v>0</v>
      </c>
      <c r="Q190" s="47" t="n">
        <f aca="false">ROUND(N190-O190-P190,2)</f>
        <v>0</v>
      </c>
      <c r="R190" s="47" t="n">
        <f aca="false">ROUND(U189*(1+Sorted!$H$5),2)</f>
        <v>0</v>
      </c>
      <c r="S190" s="47" t="n">
        <f aca="false">MIN(R190,Sorted!$G$5)</f>
        <v>0</v>
      </c>
      <c r="T190" s="47" t="n">
        <v>0</v>
      </c>
      <c r="U190" s="47" t="n">
        <f aca="false">ROUND(R190-S190-T190,2)</f>
        <v>0</v>
      </c>
      <c r="V190" s="47" t="n">
        <f aca="false">ROUND(Y189*(1+Sorted!$H$6),2)</f>
        <v>0</v>
      </c>
      <c r="W190" s="47" t="n">
        <f aca="false">MIN(V190,Sorted!$G$6)</f>
        <v>0</v>
      </c>
      <c r="X190" s="47" t="n">
        <v>0</v>
      </c>
      <c r="Y190" s="47" t="n">
        <f aca="false">ROUND(V190-W190-X190,2)</f>
        <v>0</v>
      </c>
      <c r="Z190" s="47" t="n">
        <f aca="false">ROUND(AC189*(1+Sorted!$H$7),2)</f>
        <v>0</v>
      </c>
      <c r="AA190" s="47" t="n">
        <f aca="false">MIN(Z190,Sorted!$G$7)</f>
        <v>0</v>
      </c>
      <c r="AB190" s="47" t="n">
        <v>0</v>
      </c>
      <c r="AC190" s="47" t="n">
        <f aca="false">ROUND(Z190-AA190-AB190,2)</f>
        <v>0</v>
      </c>
      <c r="AD190" s="47" t="n">
        <f aca="false">ROUND(AG189*(1+Sorted!$H$8),2)</f>
        <v>0</v>
      </c>
      <c r="AE190" s="47" t="n">
        <f aca="false">MIN(AD190,Sorted!$G$8)</f>
        <v>0</v>
      </c>
      <c r="AF190" s="47" t="n">
        <v>0</v>
      </c>
      <c r="AG190" s="47" t="n">
        <f aca="false">ROUND(AD190-AE190-AF190,2)</f>
        <v>0</v>
      </c>
      <c r="AH190" s="47" t="n">
        <f aca="false">ROUND(AK189*(1+Sorted!$H$9),2)</f>
        <v>0</v>
      </c>
      <c r="AI190" s="47" t="n">
        <f aca="false">MIN(AH190,Sorted!$G$9)</f>
        <v>0</v>
      </c>
      <c r="AJ190" s="47" t="n">
        <v>0</v>
      </c>
      <c r="AK190" s="47" t="n">
        <f aca="false">ROUND(AH190-AI190-AJ190,2)</f>
        <v>0</v>
      </c>
      <c r="AL190" s="47" t="n">
        <f aca="false">ROUND(AO189*(1+Sorted!$H$10),2)</f>
        <v>0</v>
      </c>
      <c r="AM190" s="47" t="n">
        <f aca="false">MIN(AL190,Sorted!$G$10)</f>
        <v>0</v>
      </c>
      <c r="AN190" s="47" t="n">
        <v>0</v>
      </c>
      <c r="AO190" s="47" t="n">
        <f aca="false">ROUND(AL190-AM190-AN190,2)</f>
        <v>0</v>
      </c>
      <c r="AP190" s="47" t="n">
        <f aca="false">ROUND(AS189*(1+Sorted!$H$11),2)</f>
        <v>0</v>
      </c>
      <c r="AQ190" s="47" t="n">
        <f aca="false">MIN(AP190,Sorted!$G$11)</f>
        <v>0</v>
      </c>
      <c r="AR190" s="47" t="n">
        <v>0</v>
      </c>
      <c r="AS190" s="47" t="n">
        <f aca="false">ROUND(AP190-AQ190-AR190,2)</f>
        <v>0</v>
      </c>
    </row>
    <row r="191" customFormat="false" ht="15" hidden="false" customHeight="false" outlineLevel="0" collapsed="false">
      <c r="A191" s="45" t="n">
        <v>188</v>
      </c>
      <c r="B191" s="46" t="n">
        <f aca="false">EDATE('My Debts'!$C$7,A191-1)</f>
        <v>52018</v>
      </c>
      <c r="C191" s="47" t="n">
        <v>0</v>
      </c>
      <c r="D191" s="47" t="n">
        <f aca="false">(F191+J191+N191+R191+V191+Z191+AD191+AH191+AL191+AP191)-(I191+M191+Q191+U191+Y191+AC191+AG191+AK191+AO191+AS191)</f>
        <v>0</v>
      </c>
      <c r="E191" s="48" t="n">
        <f aca="false">I191+M191+Q191+U191+Y191+AC191+AG191+AK191+AO191+AS191</f>
        <v>0</v>
      </c>
      <c r="F191" s="47" t="n">
        <f aca="false">ROUND(I190*(1+Sorted!$H$2),2)</f>
        <v>0</v>
      </c>
      <c r="G191" s="47" t="n">
        <f aca="false">MIN(F191,Sorted!$G$2)</f>
        <v>0</v>
      </c>
      <c r="H191" s="47" t="n">
        <v>0</v>
      </c>
      <c r="I191" s="47" t="n">
        <f aca="false">ROUND(F191-G191-H191,2)</f>
        <v>0</v>
      </c>
      <c r="J191" s="47" t="n">
        <f aca="false">ROUND(M190*(1+Sorted!$H$3),2)</f>
        <v>0</v>
      </c>
      <c r="K191" s="47" t="n">
        <f aca="false">MIN(J191,Sorted!$G$3)</f>
        <v>0</v>
      </c>
      <c r="L191" s="47" t="n">
        <v>0</v>
      </c>
      <c r="M191" s="47" t="n">
        <f aca="false">ROUND(J191-K191-L191,2)</f>
        <v>0</v>
      </c>
      <c r="N191" s="47" t="n">
        <f aca="false">ROUND(Q190*(1+Sorted!$H$4),2)</f>
        <v>0</v>
      </c>
      <c r="O191" s="47" t="n">
        <f aca="false">MIN(N191,Sorted!$G$4)</f>
        <v>0</v>
      </c>
      <c r="P191" s="47" t="n">
        <v>0</v>
      </c>
      <c r="Q191" s="47" t="n">
        <f aca="false">ROUND(N191-O191-P191,2)</f>
        <v>0</v>
      </c>
      <c r="R191" s="47" t="n">
        <f aca="false">ROUND(U190*(1+Sorted!$H$5),2)</f>
        <v>0</v>
      </c>
      <c r="S191" s="47" t="n">
        <f aca="false">MIN(R191,Sorted!$G$5)</f>
        <v>0</v>
      </c>
      <c r="T191" s="47" t="n">
        <v>0</v>
      </c>
      <c r="U191" s="47" t="n">
        <f aca="false">ROUND(R191-S191-T191,2)</f>
        <v>0</v>
      </c>
      <c r="V191" s="47" t="n">
        <f aca="false">ROUND(Y190*(1+Sorted!$H$6),2)</f>
        <v>0</v>
      </c>
      <c r="W191" s="47" t="n">
        <f aca="false">MIN(V191,Sorted!$G$6)</f>
        <v>0</v>
      </c>
      <c r="X191" s="47" t="n">
        <v>0</v>
      </c>
      <c r="Y191" s="47" t="n">
        <f aca="false">ROUND(V191-W191-X191,2)</f>
        <v>0</v>
      </c>
      <c r="Z191" s="47" t="n">
        <f aca="false">ROUND(AC190*(1+Sorted!$H$7),2)</f>
        <v>0</v>
      </c>
      <c r="AA191" s="47" t="n">
        <f aca="false">MIN(Z191,Sorted!$G$7)</f>
        <v>0</v>
      </c>
      <c r="AB191" s="47" t="n">
        <v>0</v>
      </c>
      <c r="AC191" s="47" t="n">
        <f aca="false">ROUND(Z191-AA191-AB191,2)</f>
        <v>0</v>
      </c>
      <c r="AD191" s="47" t="n">
        <f aca="false">ROUND(AG190*(1+Sorted!$H$8),2)</f>
        <v>0</v>
      </c>
      <c r="AE191" s="47" t="n">
        <f aca="false">MIN(AD191,Sorted!$G$8)</f>
        <v>0</v>
      </c>
      <c r="AF191" s="47" t="n">
        <v>0</v>
      </c>
      <c r="AG191" s="47" t="n">
        <f aca="false">ROUND(AD191-AE191-AF191,2)</f>
        <v>0</v>
      </c>
      <c r="AH191" s="47" t="n">
        <f aca="false">ROUND(AK190*(1+Sorted!$H$9),2)</f>
        <v>0</v>
      </c>
      <c r="AI191" s="47" t="n">
        <f aca="false">MIN(AH191,Sorted!$G$9)</f>
        <v>0</v>
      </c>
      <c r="AJ191" s="47" t="n">
        <v>0</v>
      </c>
      <c r="AK191" s="47" t="n">
        <f aca="false">ROUND(AH191-AI191-AJ191,2)</f>
        <v>0</v>
      </c>
      <c r="AL191" s="47" t="n">
        <f aca="false">ROUND(AO190*(1+Sorted!$H$10),2)</f>
        <v>0</v>
      </c>
      <c r="AM191" s="47" t="n">
        <f aca="false">MIN(AL191,Sorted!$G$10)</f>
        <v>0</v>
      </c>
      <c r="AN191" s="47" t="n">
        <v>0</v>
      </c>
      <c r="AO191" s="47" t="n">
        <f aca="false">ROUND(AL191-AM191-AN191,2)</f>
        <v>0</v>
      </c>
      <c r="AP191" s="47" t="n">
        <f aca="false">ROUND(AS190*(1+Sorted!$H$11),2)</f>
        <v>0</v>
      </c>
      <c r="AQ191" s="47" t="n">
        <f aca="false">MIN(AP191,Sorted!$G$11)</f>
        <v>0</v>
      </c>
      <c r="AR191" s="47" t="n">
        <v>0</v>
      </c>
      <c r="AS191" s="47" t="n">
        <f aca="false">ROUND(AP191-AQ191-AR191,2)</f>
        <v>0</v>
      </c>
    </row>
    <row r="192" customFormat="false" ht="15" hidden="false" customHeight="false" outlineLevel="0" collapsed="false">
      <c r="A192" s="45" t="n">
        <v>189</v>
      </c>
      <c r="B192" s="46" t="n">
        <f aca="false">EDATE('My Debts'!$C$7,A192-1)</f>
        <v>52048</v>
      </c>
      <c r="C192" s="47" t="n">
        <v>0</v>
      </c>
      <c r="D192" s="47" t="n">
        <f aca="false">(F192+J192+N192+R192+V192+Z192+AD192+AH192+AL192+AP192)-(I192+M192+Q192+U192+Y192+AC192+AG192+AK192+AO192+AS192)</f>
        <v>0</v>
      </c>
      <c r="E192" s="48" t="n">
        <f aca="false">I192+M192+Q192+U192+Y192+AC192+AG192+AK192+AO192+AS192</f>
        <v>0</v>
      </c>
      <c r="F192" s="47" t="n">
        <f aca="false">ROUND(I191*(1+Sorted!$H$2),2)</f>
        <v>0</v>
      </c>
      <c r="G192" s="47" t="n">
        <f aca="false">MIN(F192,Sorted!$G$2)</f>
        <v>0</v>
      </c>
      <c r="H192" s="47" t="n">
        <v>0</v>
      </c>
      <c r="I192" s="47" t="n">
        <f aca="false">ROUND(F192-G192-H192,2)</f>
        <v>0</v>
      </c>
      <c r="J192" s="47" t="n">
        <f aca="false">ROUND(M191*(1+Sorted!$H$3),2)</f>
        <v>0</v>
      </c>
      <c r="K192" s="47" t="n">
        <f aca="false">MIN(J192,Sorted!$G$3)</f>
        <v>0</v>
      </c>
      <c r="L192" s="47" t="n">
        <v>0</v>
      </c>
      <c r="M192" s="47" t="n">
        <f aca="false">ROUND(J192-K192-L192,2)</f>
        <v>0</v>
      </c>
      <c r="N192" s="47" t="n">
        <f aca="false">ROUND(Q191*(1+Sorted!$H$4),2)</f>
        <v>0</v>
      </c>
      <c r="O192" s="47" t="n">
        <f aca="false">MIN(N192,Sorted!$G$4)</f>
        <v>0</v>
      </c>
      <c r="P192" s="47" t="n">
        <v>0</v>
      </c>
      <c r="Q192" s="47" t="n">
        <f aca="false">ROUND(N192-O192-P192,2)</f>
        <v>0</v>
      </c>
      <c r="R192" s="47" t="n">
        <f aca="false">ROUND(U191*(1+Sorted!$H$5),2)</f>
        <v>0</v>
      </c>
      <c r="S192" s="47" t="n">
        <f aca="false">MIN(R192,Sorted!$G$5)</f>
        <v>0</v>
      </c>
      <c r="T192" s="47" t="n">
        <v>0</v>
      </c>
      <c r="U192" s="47" t="n">
        <f aca="false">ROUND(R192-S192-T192,2)</f>
        <v>0</v>
      </c>
      <c r="V192" s="47" t="n">
        <f aca="false">ROUND(Y191*(1+Sorted!$H$6),2)</f>
        <v>0</v>
      </c>
      <c r="W192" s="47" t="n">
        <f aca="false">MIN(V192,Sorted!$G$6)</f>
        <v>0</v>
      </c>
      <c r="X192" s="47" t="n">
        <v>0</v>
      </c>
      <c r="Y192" s="47" t="n">
        <f aca="false">ROUND(V192-W192-X192,2)</f>
        <v>0</v>
      </c>
      <c r="Z192" s="47" t="n">
        <f aca="false">ROUND(AC191*(1+Sorted!$H$7),2)</f>
        <v>0</v>
      </c>
      <c r="AA192" s="47" t="n">
        <f aca="false">MIN(Z192,Sorted!$G$7)</f>
        <v>0</v>
      </c>
      <c r="AB192" s="47" t="n">
        <v>0</v>
      </c>
      <c r="AC192" s="47" t="n">
        <f aca="false">ROUND(Z192-AA192-AB192,2)</f>
        <v>0</v>
      </c>
      <c r="AD192" s="47" t="n">
        <f aca="false">ROUND(AG191*(1+Sorted!$H$8),2)</f>
        <v>0</v>
      </c>
      <c r="AE192" s="47" t="n">
        <f aca="false">MIN(AD192,Sorted!$G$8)</f>
        <v>0</v>
      </c>
      <c r="AF192" s="47" t="n">
        <v>0</v>
      </c>
      <c r="AG192" s="47" t="n">
        <f aca="false">ROUND(AD192-AE192-AF192,2)</f>
        <v>0</v>
      </c>
      <c r="AH192" s="47" t="n">
        <f aca="false">ROUND(AK191*(1+Sorted!$H$9),2)</f>
        <v>0</v>
      </c>
      <c r="AI192" s="47" t="n">
        <f aca="false">MIN(AH192,Sorted!$G$9)</f>
        <v>0</v>
      </c>
      <c r="AJ192" s="47" t="n">
        <v>0</v>
      </c>
      <c r="AK192" s="47" t="n">
        <f aca="false">ROUND(AH192-AI192-AJ192,2)</f>
        <v>0</v>
      </c>
      <c r="AL192" s="47" t="n">
        <f aca="false">ROUND(AO191*(1+Sorted!$H$10),2)</f>
        <v>0</v>
      </c>
      <c r="AM192" s="47" t="n">
        <f aca="false">MIN(AL192,Sorted!$G$10)</f>
        <v>0</v>
      </c>
      <c r="AN192" s="47" t="n">
        <v>0</v>
      </c>
      <c r="AO192" s="47" t="n">
        <f aca="false">ROUND(AL192-AM192-AN192,2)</f>
        <v>0</v>
      </c>
      <c r="AP192" s="47" t="n">
        <f aca="false">ROUND(AS191*(1+Sorted!$H$11),2)</f>
        <v>0</v>
      </c>
      <c r="AQ192" s="47" t="n">
        <f aca="false">MIN(AP192,Sorted!$G$11)</f>
        <v>0</v>
      </c>
      <c r="AR192" s="47" t="n">
        <v>0</v>
      </c>
      <c r="AS192" s="47" t="n">
        <f aca="false">ROUND(AP192-AQ192-AR192,2)</f>
        <v>0</v>
      </c>
    </row>
    <row r="193" customFormat="false" ht="15" hidden="false" customHeight="false" outlineLevel="0" collapsed="false">
      <c r="A193" s="45" t="n">
        <v>190</v>
      </c>
      <c r="B193" s="46" t="n">
        <f aca="false">EDATE('My Debts'!$C$7,A193-1)</f>
        <v>52079</v>
      </c>
      <c r="C193" s="47" t="n">
        <v>0</v>
      </c>
      <c r="D193" s="47" t="n">
        <f aca="false">(F193+J193+N193+R193+V193+Z193+AD193+AH193+AL193+AP193)-(I193+M193+Q193+U193+Y193+AC193+AG193+AK193+AO193+AS193)</f>
        <v>0</v>
      </c>
      <c r="E193" s="48" t="n">
        <f aca="false">I193+M193+Q193+U193+Y193+AC193+AG193+AK193+AO193+AS193</f>
        <v>0</v>
      </c>
      <c r="F193" s="47" t="n">
        <f aca="false">ROUND(I192*(1+Sorted!$H$2),2)</f>
        <v>0</v>
      </c>
      <c r="G193" s="47" t="n">
        <f aca="false">MIN(F193,Sorted!$G$2)</f>
        <v>0</v>
      </c>
      <c r="H193" s="47" t="n">
        <v>0</v>
      </c>
      <c r="I193" s="47" t="n">
        <f aca="false">ROUND(F193-G193-H193,2)</f>
        <v>0</v>
      </c>
      <c r="J193" s="47" t="n">
        <f aca="false">ROUND(M192*(1+Sorted!$H$3),2)</f>
        <v>0</v>
      </c>
      <c r="K193" s="47" t="n">
        <f aca="false">MIN(J193,Sorted!$G$3)</f>
        <v>0</v>
      </c>
      <c r="L193" s="47" t="n">
        <v>0</v>
      </c>
      <c r="M193" s="47" t="n">
        <f aca="false">ROUND(J193-K193-L193,2)</f>
        <v>0</v>
      </c>
      <c r="N193" s="47" t="n">
        <f aca="false">ROUND(Q192*(1+Sorted!$H$4),2)</f>
        <v>0</v>
      </c>
      <c r="O193" s="47" t="n">
        <f aca="false">MIN(N193,Sorted!$G$4)</f>
        <v>0</v>
      </c>
      <c r="P193" s="47" t="n">
        <v>0</v>
      </c>
      <c r="Q193" s="47" t="n">
        <f aca="false">ROUND(N193-O193-P193,2)</f>
        <v>0</v>
      </c>
      <c r="R193" s="47" t="n">
        <f aca="false">ROUND(U192*(1+Sorted!$H$5),2)</f>
        <v>0</v>
      </c>
      <c r="S193" s="47" t="n">
        <f aca="false">MIN(R193,Sorted!$G$5)</f>
        <v>0</v>
      </c>
      <c r="T193" s="47" t="n">
        <v>0</v>
      </c>
      <c r="U193" s="47" t="n">
        <f aca="false">ROUND(R193-S193-T193,2)</f>
        <v>0</v>
      </c>
      <c r="V193" s="47" t="n">
        <f aca="false">ROUND(Y192*(1+Sorted!$H$6),2)</f>
        <v>0</v>
      </c>
      <c r="W193" s="47" t="n">
        <f aca="false">MIN(V193,Sorted!$G$6)</f>
        <v>0</v>
      </c>
      <c r="X193" s="47" t="n">
        <v>0</v>
      </c>
      <c r="Y193" s="47" t="n">
        <f aca="false">ROUND(V193-W193-X193,2)</f>
        <v>0</v>
      </c>
      <c r="Z193" s="47" t="n">
        <f aca="false">ROUND(AC192*(1+Sorted!$H$7),2)</f>
        <v>0</v>
      </c>
      <c r="AA193" s="47" t="n">
        <f aca="false">MIN(Z193,Sorted!$G$7)</f>
        <v>0</v>
      </c>
      <c r="AB193" s="47" t="n">
        <v>0</v>
      </c>
      <c r="AC193" s="47" t="n">
        <f aca="false">ROUND(Z193-AA193-AB193,2)</f>
        <v>0</v>
      </c>
      <c r="AD193" s="47" t="n">
        <f aca="false">ROUND(AG192*(1+Sorted!$H$8),2)</f>
        <v>0</v>
      </c>
      <c r="AE193" s="47" t="n">
        <f aca="false">MIN(AD193,Sorted!$G$8)</f>
        <v>0</v>
      </c>
      <c r="AF193" s="47" t="n">
        <v>0</v>
      </c>
      <c r="AG193" s="47" t="n">
        <f aca="false">ROUND(AD193-AE193-AF193,2)</f>
        <v>0</v>
      </c>
      <c r="AH193" s="47" t="n">
        <f aca="false">ROUND(AK192*(1+Sorted!$H$9),2)</f>
        <v>0</v>
      </c>
      <c r="AI193" s="47" t="n">
        <f aca="false">MIN(AH193,Sorted!$G$9)</f>
        <v>0</v>
      </c>
      <c r="AJ193" s="47" t="n">
        <v>0</v>
      </c>
      <c r="AK193" s="47" t="n">
        <f aca="false">ROUND(AH193-AI193-AJ193,2)</f>
        <v>0</v>
      </c>
      <c r="AL193" s="47" t="n">
        <f aca="false">ROUND(AO192*(1+Sorted!$H$10),2)</f>
        <v>0</v>
      </c>
      <c r="AM193" s="47" t="n">
        <f aca="false">MIN(AL193,Sorted!$G$10)</f>
        <v>0</v>
      </c>
      <c r="AN193" s="47" t="n">
        <v>0</v>
      </c>
      <c r="AO193" s="47" t="n">
        <f aca="false">ROUND(AL193-AM193-AN193,2)</f>
        <v>0</v>
      </c>
      <c r="AP193" s="47" t="n">
        <f aca="false">ROUND(AS192*(1+Sorted!$H$11),2)</f>
        <v>0</v>
      </c>
      <c r="AQ193" s="47" t="n">
        <f aca="false">MIN(AP193,Sorted!$G$11)</f>
        <v>0</v>
      </c>
      <c r="AR193" s="47" t="n">
        <v>0</v>
      </c>
      <c r="AS193" s="47" t="n">
        <f aca="false">ROUND(AP193-AQ193-AR193,2)</f>
        <v>0</v>
      </c>
    </row>
    <row r="194" customFormat="false" ht="15" hidden="false" customHeight="false" outlineLevel="0" collapsed="false">
      <c r="A194" s="45" t="n">
        <v>191</v>
      </c>
      <c r="B194" s="46" t="n">
        <f aca="false">EDATE('My Debts'!$C$7,A194-1)</f>
        <v>52110</v>
      </c>
      <c r="C194" s="47" t="n">
        <v>0</v>
      </c>
      <c r="D194" s="47" t="n">
        <f aca="false">(F194+J194+N194+R194+V194+Z194+AD194+AH194+AL194+AP194)-(I194+M194+Q194+U194+Y194+AC194+AG194+AK194+AO194+AS194)</f>
        <v>0</v>
      </c>
      <c r="E194" s="48" t="n">
        <f aca="false">I194+M194+Q194+U194+Y194+AC194+AG194+AK194+AO194+AS194</f>
        <v>0</v>
      </c>
      <c r="F194" s="47" t="n">
        <f aca="false">ROUND(I193*(1+Sorted!$H$2),2)</f>
        <v>0</v>
      </c>
      <c r="G194" s="47" t="n">
        <f aca="false">MIN(F194,Sorted!$G$2)</f>
        <v>0</v>
      </c>
      <c r="H194" s="47" t="n">
        <v>0</v>
      </c>
      <c r="I194" s="47" t="n">
        <f aca="false">ROUND(F194-G194-H194,2)</f>
        <v>0</v>
      </c>
      <c r="J194" s="47" t="n">
        <f aca="false">ROUND(M193*(1+Sorted!$H$3),2)</f>
        <v>0</v>
      </c>
      <c r="K194" s="47" t="n">
        <f aca="false">MIN(J194,Sorted!$G$3)</f>
        <v>0</v>
      </c>
      <c r="L194" s="47" t="n">
        <v>0</v>
      </c>
      <c r="M194" s="47" t="n">
        <f aca="false">ROUND(J194-K194-L194,2)</f>
        <v>0</v>
      </c>
      <c r="N194" s="47" t="n">
        <f aca="false">ROUND(Q193*(1+Sorted!$H$4),2)</f>
        <v>0</v>
      </c>
      <c r="O194" s="47" t="n">
        <f aca="false">MIN(N194,Sorted!$G$4)</f>
        <v>0</v>
      </c>
      <c r="P194" s="47" t="n">
        <v>0</v>
      </c>
      <c r="Q194" s="47" t="n">
        <f aca="false">ROUND(N194-O194-P194,2)</f>
        <v>0</v>
      </c>
      <c r="R194" s="47" t="n">
        <f aca="false">ROUND(U193*(1+Sorted!$H$5),2)</f>
        <v>0</v>
      </c>
      <c r="S194" s="47" t="n">
        <f aca="false">MIN(R194,Sorted!$G$5)</f>
        <v>0</v>
      </c>
      <c r="T194" s="47" t="n">
        <v>0</v>
      </c>
      <c r="U194" s="47" t="n">
        <f aca="false">ROUND(R194-S194-T194,2)</f>
        <v>0</v>
      </c>
      <c r="V194" s="47" t="n">
        <f aca="false">ROUND(Y193*(1+Sorted!$H$6),2)</f>
        <v>0</v>
      </c>
      <c r="W194" s="47" t="n">
        <f aca="false">MIN(V194,Sorted!$G$6)</f>
        <v>0</v>
      </c>
      <c r="X194" s="47" t="n">
        <v>0</v>
      </c>
      <c r="Y194" s="47" t="n">
        <f aca="false">ROUND(V194-W194-X194,2)</f>
        <v>0</v>
      </c>
      <c r="Z194" s="47" t="n">
        <f aca="false">ROUND(AC193*(1+Sorted!$H$7),2)</f>
        <v>0</v>
      </c>
      <c r="AA194" s="47" t="n">
        <f aca="false">MIN(Z194,Sorted!$G$7)</f>
        <v>0</v>
      </c>
      <c r="AB194" s="47" t="n">
        <v>0</v>
      </c>
      <c r="AC194" s="47" t="n">
        <f aca="false">ROUND(Z194-AA194-AB194,2)</f>
        <v>0</v>
      </c>
      <c r="AD194" s="47" t="n">
        <f aca="false">ROUND(AG193*(1+Sorted!$H$8),2)</f>
        <v>0</v>
      </c>
      <c r="AE194" s="47" t="n">
        <f aca="false">MIN(AD194,Sorted!$G$8)</f>
        <v>0</v>
      </c>
      <c r="AF194" s="47" t="n">
        <v>0</v>
      </c>
      <c r="AG194" s="47" t="n">
        <f aca="false">ROUND(AD194-AE194-AF194,2)</f>
        <v>0</v>
      </c>
      <c r="AH194" s="47" t="n">
        <f aca="false">ROUND(AK193*(1+Sorted!$H$9),2)</f>
        <v>0</v>
      </c>
      <c r="AI194" s="47" t="n">
        <f aca="false">MIN(AH194,Sorted!$G$9)</f>
        <v>0</v>
      </c>
      <c r="AJ194" s="47" t="n">
        <v>0</v>
      </c>
      <c r="AK194" s="47" t="n">
        <f aca="false">ROUND(AH194-AI194-AJ194,2)</f>
        <v>0</v>
      </c>
      <c r="AL194" s="47" t="n">
        <f aca="false">ROUND(AO193*(1+Sorted!$H$10),2)</f>
        <v>0</v>
      </c>
      <c r="AM194" s="47" t="n">
        <f aca="false">MIN(AL194,Sorted!$G$10)</f>
        <v>0</v>
      </c>
      <c r="AN194" s="47" t="n">
        <v>0</v>
      </c>
      <c r="AO194" s="47" t="n">
        <f aca="false">ROUND(AL194-AM194-AN194,2)</f>
        <v>0</v>
      </c>
      <c r="AP194" s="47" t="n">
        <f aca="false">ROUND(AS193*(1+Sorted!$H$11),2)</f>
        <v>0</v>
      </c>
      <c r="AQ194" s="47" t="n">
        <f aca="false">MIN(AP194,Sorted!$G$11)</f>
        <v>0</v>
      </c>
      <c r="AR194" s="47" t="n">
        <v>0</v>
      </c>
      <c r="AS194" s="47" t="n">
        <f aca="false">ROUND(AP194-AQ194-AR194,2)</f>
        <v>0</v>
      </c>
    </row>
    <row r="195" customFormat="false" ht="15" hidden="false" customHeight="false" outlineLevel="0" collapsed="false">
      <c r="A195" s="45" t="n">
        <v>192</v>
      </c>
      <c r="B195" s="46" t="n">
        <f aca="false">EDATE('My Debts'!$C$7,A195-1)</f>
        <v>52140</v>
      </c>
      <c r="C195" s="47" t="n">
        <v>0</v>
      </c>
      <c r="D195" s="47" t="n">
        <f aca="false">(F195+J195+N195+R195+V195+Z195+AD195+AH195+AL195+AP195)-(I195+M195+Q195+U195+Y195+AC195+AG195+AK195+AO195+AS195)</f>
        <v>0</v>
      </c>
      <c r="E195" s="48" t="n">
        <f aca="false">I195+M195+Q195+U195+Y195+AC195+AG195+AK195+AO195+AS195</f>
        <v>0</v>
      </c>
      <c r="F195" s="47" t="n">
        <f aca="false">ROUND(I194*(1+Sorted!$H$2),2)</f>
        <v>0</v>
      </c>
      <c r="G195" s="47" t="n">
        <f aca="false">MIN(F195,Sorted!$G$2)</f>
        <v>0</v>
      </c>
      <c r="H195" s="47" t="n">
        <v>0</v>
      </c>
      <c r="I195" s="47" t="n">
        <f aca="false">ROUND(F195-G195-H195,2)</f>
        <v>0</v>
      </c>
      <c r="J195" s="47" t="n">
        <f aca="false">ROUND(M194*(1+Sorted!$H$3),2)</f>
        <v>0</v>
      </c>
      <c r="K195" s="47" t="n">
        <f aca="false">MIN(J195,Sorted!$G$3)</f>
        <v>0</v>
      </c>
      <c r="L195" s="47" t="n">
        <v>0</v>
      </c>
      <c r="M195" s="47" t="n">
        <f aca="false">ROUND(J195-K195-L195,2)</f>
        <v>0</v>
      </c>
      <c r="N195" s="47" t="n">
        <f aca="false">ROUND(Q194*(1+Sorted!$H$4),2)</f>
        <v>0</v>
      </c>
      <c r="O195" s="47" t="n">
        <f aca="false">MIN(N195,Sorted!$G$4)</f>
        <v>0</v>
      </c>
      <c r="P195" s="47" t="n">
        <v>0</v>
      </c>
      <c r="Q195" s="47" t="n">
        <f aca="false">ROUND(N195-O195-P195,2)</f>
        <v>0</v>
      </c>
      <c r="R195" s="47" t="n">
        <f aca="false">ROUND(U194*(1+Sorted!$H$5),2)</f>
        <v>0</v>
      </c>
      <c r="S195" s="47" t="n">
        <f aca="false">MIN(R195,Sorted!$G$5)</f>
        <v>0</v>
      </c>
      <c r="T195" s="47" t="n">
        <v>0</v>
      </c>
      <c r="U195" s="47" t="n">
        <f aca="false">ROUND(R195-S195-T195,2)</f>
        <v>0</v>
      </c>
      <c r="V195" s="47" t="n">
        <f aca="false">ROUND(Y194*(1+Sorted!$H$6),2)</f>
        <v>0</v>
      </c>
      <c r="W195" s="47" t="n">
        <f aca="false">MIN(V195,Sorted!$G$6)</f>
        <v>0</v>
      </c>
      <c r="X195" s="47" t="n">
        <v>0</v>
      </c>
      <c r="Y195" s="47" t="n">
        <f aca="false">ROUND(V195-W195-X195,2)</f>
        <v>0</v>
      </c>
      <c r="Z195" s="47" t="n">
        <f aca="false">ROUND(AC194*(1+Sorted!$H$7),2)</f>
        <v>0</v>
      </c>
      <c r="AA195" s="47" t="n">
        <f aca="false">MIN(Z195,Sorted!$G$7)</f>
        <v>0</v>
      </c>
      <c r="AB195" s="47" t="n">
        <v>0</v>
      </c>
      <c r="AC195" s="47" t="n">
        <f aca="false">ROUND(Z195-AA195-AB195,2)</f>
        <v>0</v>
      </c>
      <c r="AD195" s="47" t="n">
        <f aca="false">ROUND(AG194*(1+Sorted!$H$8),2)</f>
        <v>0</v>
      </c>
      <c r="AE195" s="47" t="n">
        <f aca="false">MIN(AD195,Sorted!$G$8)</f>
        <v>0</v>
      </c>
      <c r="AF195" s="47" t="n">
        <v>0</v>
      </c>
      <c r="AG195" s="47" t="n">
        <f aca="false">ROUND(AD195-AE195-AF195,2)</f>
        <v>0</v>
      </c>
      <c r="AH195" s="47" t="n">
        <f aca="false">ROUND(AK194*(1+Sorted!$H$9),2)</f>
        <v>0</v>
      </c>
      <c r="AI195" s="47" t="n">
        <f aca="false">MIN(AH195,Sorted!$G$9)</f>
        <v>0</v>
      </c>
      <c r="AJ195" s="47" t="n">
        <v>0</v>
      </c>
      <c r="AK195" s="47" t="n">
        <f aca="false">ROUND(AH195-AI195-AJ195,2)</f>
        <v>0</v>
      </c>
      <c r="AL195" s="47" t="n">
        <f aca="false">ROUND(AO194*(1+Sorted!$H$10),2)</f>
        <v>0</v>
      </c>
      <c r="AM195" s="47" t="n">
        <f aca="false">MIN(AL195,Sorted!$G$10)</f>
        <v>0</v>
      </c>
      <c r="AN195" s="47" t="n">
        <v>0</v>
      </c>
      <c r="AO195" s="47" t="n">
        <f aca="false">ROUND(AL195-AM195-AN195,2)</f>
        <v>0</v>
      </c>
      <c r="AP195" s="47" t="n">
        <f aca="false">ROUND(AS194*(1+Sorted!$H$11),2)</f>
        <v>0</v>
      </c>
      <c r="AQ195" s="47" t="n">
        <f aca="false">MIN(AP195,Sorted!$G$11)</f>
        <v>0</v>
      </c>
      <c r="AR195" s="47" t="n">
        <v>0</v>
      </c>
      <c r="AS195" s="47" t="n">
        <f aca="false">ROUND(AP195-AQ195-AR195,2)</f>
        <v>0</v>
      </c>
    </row>
    <row r="196" customFormat="false" ht="15" hidden="false" customHeight="false" outlineLevel="0" collapsed="false">
      <c r="A196" s="45" t="n">
        <v>193</v>
      </c>
      <c r="B196" s="46" t="n">
        <f aca="false">EDATE('My Debts'!$C$7,A196-1)</f>
        <v>52171</v>
      </c>
      <c r="C196" s="47" t="n">
        <v>0</v>
      </c>
      <c r="D196" s="47" t="n">
        <f aca="false">(F196+J196+N196+R196+V196+Z196+AD196+AH196+AL196+AP196)-(I196+M196+Q196+U196+Y196+AC196+AG196+AK196+AO196+AS196)</f>
        <v>0</v>
      </c>
      <c r="E196" s="48" t="n">
        <f aca="false">I196+M196+Q196+U196+Y196+AC196+AG196+AK196+AO196+AS196</f>
        <v>0</v>
      </c>
      <c r="F196" s="47" t="n">
        <f aca="false">ROUND(I195*(1+Sorted!$H$2),2)</f>
        <v>0</v>
      </c>
      <c r="G196" s="47" t="n">
        <f aca="false">MIN(F196,Sorted!$G$2)</f>
        <v>0</v>
      </c>
      <c r="H196" s="47" t="n">
        <v>0</v>
      </c>
      <c r="I196" s="47" t="n">
        <f aca="false">ROUND(F196-G196-H196,2)</f>
        <v>0</v>
      </c>
      <c r="J196" s="47" t="n">
        <f aca="false">ROUND(M195*(1+Sorted!$H$3),2)</f>
        <v>0</v>
      </c>
      <c r="K196" s="47" t="n">
        <f aca="false">MIN(J196,Sorted!$G$3)</f>
        <v>0</v>
      </c>
      <c r="L196" s="47" t="n">
        <v>0</v>
      </c>
      <c r="M196" s="47" t="n">
        <f aca="false">ROUND(J196-K196-L196,2)</f>
        <v>0</v>
      </c>
      <c r="N196" s="47" t="n">
        <f aca="false">ROUND(Q195*(1+Sorted!$H$4),2)</f>
        <v>0</v>
      </c>
      <c r="O196" s="47" t="n">
        <f aca="false">MIN(N196,Sorted!$G$4)</f>
        <v>0</v>
      </c>
      <c r="P196" s="47" t="n">
        <v>0</v>
      </c>
      <c r="Q196" s="47" t="n">
        <f aca="false">ROUND(N196-O196-P196,2)</f>
        <v>0</v>
      </c>
      <c r="R196" s="47" t="n">
        <f aca="false">ROUND(U195*(1+Sorted!$H$5),2)</f>
        <v>0</v>
      </c>
      <c r="S196" s="47" t="n">
        <f aca="false">MIN(R196,Sorted!$G$5)</f>
        <v>0</v>
      </c>
      <c r="T196" s="47" t="n">
        <v>0</v>
      </c>
      <c r="U196" s="47" t="n">
        <f aca="false">ROUND(R196-S196-T196,2)</f>
        <v>0</v>
      </c>
      <c r="V196" s="47" t="n">
        <f aca="false">ROUND(Y195*(1+Sorted!$H$6),2)</f>
        <v>0</v>
      </c>
      <c r="W196" s="47" t="n">
        <f aca="false">MIN(V196,Sorted!$G$6)</f>
        <v>0</v>
      </c>
      <c r="X196" s="47" t="n">
        <v>0</v>
      </c>
      <c r="Y196" s="47" t="n">
        <f aca="false">ROUND(V196-W196-X196,2)</f>
        <v>0</v>
      </c>
      <c r="Z196" s="47" t="n">
        <f aca="false">ROUND(AC195*(1+Sorted!$H$7),2)</f>
        <v>0</v>
      </c>
      <c r="AA196" s="47" t="n">
        <f aca="false">MIN(Z196,Sorted!$G$7)</f>
        <v>0</v>
      </c>
      <c r="AB196" s="47" t="n">
        <v>0</v>
      </c>
      <c r="AC196" s="47" t="n">
        <f aca="false">ROUND(Z196-AA196-AB196,2)</f>
        <v>0</v>
      </c>
      <c r="AD196" s="47" t="n">
        <f aca="false">ROUND(AG195*(1+Sorted!$H$8),2)</f>
        <v>0</v>
      </c>
      <c r="AE196" s="47" t="n">
        <f aca="false">MIN(AD196,Sorted!$G$8)</f>
        <v>0</v>
      </c>
      <c r="AF196" s="47" t="n">
        <v>0</v>
      </c>
      <c r="AG196" s="47" t="n">
        <f aca="false">ROUND(AD196-AE196-AF196,2)</f>
        <v>0</v>
      </c>
      <c r="AH196" s="47" t="n">
        <f aca="false">ROUND(AK195*(1+Sorted!$H$9),2)</f>
        <v>0</v>
      </c>
      <c r="AI196" s="47" t="n">
        <f aca="false">MIN(AH196,Sorted!$G$9)</f>
        <v>0</v>
      </c>
      <c r="AJ196" s="47" t="n">
        <v>0</v>
      </c>
      <c r="AK196" s="47" t="n">
        <f aca="false">ROUND(AH196-AI196-AJ196,2)</f>
        <v>0</v>
      </c>
      <c r="AL196" s="47" t="n">
        <f aca="false">ROUND(AO195*(1+Sorted!$H$10),2)</f>
        <v>0</v>
      </c>
      <c r="AM196" s="47" t="n">
        <f aca="false">MIN(AL196,Sorted!$G$10)</f>
        <v>0</v>
      </c>
      <c r="AN196" s="47" t="n">
        <v>0</v>
      </c>
      <c r="AO196" s="47" t="n">
        <f aca="false">ROUND(AL196-AM196-AN196,2)</f>
        <v>0</v>
      </c>
      <c r="AP196" s="47" t="n">
        <f aca="false">ROUND(AS195*(1+Sorted!$H$11),2)</f>
        <v>0</v>
      </c>
      <c r="AQ196" s="47" t="n">
        <f aca="false">MIN(AP196,Sorted!$G$11)</f>
        <v>0</v>
      </c>
      <c r="AR196" s="47" t="n">
        <v>0</v>
      </c>
      <c r="AS196" s="47" t="n">
        <f aca="false">ROUND(AP196-AQ196-AR196,2)</f>
        <v>0</v>
      </c>
    </row>
    <row r="197" customFormat="false" ht="15" hidden="false" customHeight="false" outlineLevel="0" collapsed="false">
      <c r="A197" s="45" t="n">
        <v>194</v>
      </c>
      <c r="B197" s="46" t="n">
        <f aca="false">EDATE('My Debts'!$C$7,A197-1)</f>
        <v>52201</v>
      </c>
      <c r="C197" s="47" t="n">
        <v>0</v>
      </c>
      <c r="D197" s="47" t="n">
        <f aca="false">(F197+J197+N197+R197+V197+Z197+AD197+AH197+AL197+AP197)-(I197+M197+Q197+U197+Y197+AC197+AG197+AK197+AO197+AS197)</f>
        <v>0</v>
      </c>
      <c r="E197" s="48" t="n">
        <f aca="false">I197+M197+Q197+U197+Y197+AC197+AG197+AK197+AO197+AS197</f>
        <v>0</v>
      </c>
      <c r="F197" s="47" t="n">
        <f aca="false">ROUND(I196*(1+Sorted!$H$2),2)</f>
        <v>0</v>
      </c>
      <c r="G197" s="47" t="n">
        <f aca="false">MIN(F197,Sorted!$G$2)</f>
        <v>0</v>
      </c>
      <c r="H197" s="47" t="n">
        <v>0</v>
      </c>
      <c r="I197" s="47" t="n">
        <f aca="false">ROUND(F197-G197-H197,2)</f>
        <v>0</v>
      </c>
      <c r="J197" s="47" t="n">
        <f aca="false">ROUND(M196*(1+Sorted!$H$3),2)</f>
        <v>0</v>
      </c>
      <c r="K197" s="47" t="n">
        <f aca="false">MIN(J197,Sorted!$G$3)</f>
        <v>0</v>
      </c>
      <c r="L197" s="47" t="n">
        <v>0</v>
      </c>
      <c r="M197" s="47" t="n">
        <f aca="false">ROUND(J197-K197-L197,2)</f>
        <v>0</v>
      </c>
      <c r="N197" s="47" t="n">
        <f aca="false">ROUND(Q196*(1+Sorted!$H$4),2)</f>
        <v>0</v>
      </c>
      <c r="O197" s="47" t="n">
        <f aca="false">MIN(N197,Sorted!$G$4)</f>
        <v>0</v>
      </c>
      <c r="P197" s="47" t="n">
        <v>0</v>
      </c>
      <c r="Q197" s="47" t="n">
        <f aca="false">ROUND(N197-O197-P197,2)</f>
        <v>0</v>
      </c>
      <c r="R197" s="47" t="n">
        <f aca="false">ROUND(U196*(1+Sorted!$H$5),2)</f>
        <v>0</v>
      </c>
      <c r="S197" s="47" t="n">
        <f aca="false">MIN(R197,Sorted!$G$5)</f>
        <v>0</v>
      </c>
      <c r="T197" s="47" t="n">
        <v>0</v>
      </c>
      <c r="U197" s="47" t="n">
        <f aca="false">ROUND(R197-S197-T197,2)</f>
        <v>0</v>
      </c>
      <c r="V197" s="47" t="n">
        <f aca="false">ROUND(Y196*(1+Sorted!$H$6),2)</f>
        <v>0</v>
      </c>
      <c r="W197" s="47" t="n">
        <f aca="false">MIN(V197,Sorted!$G$6)</f>
        <v>0</v>
      </c>
      <c r="X197" s="47" t="n">
        <v>0</v>
      </c>
      <c r="Y197" s="47" t="n">
        <f aca="false">ROUND(V197-W197-X197,2)</f>
        <v>0</v>
      </c>
      <c r="Z197" s="47" t="n">
        <f aca="false">ROUND(AC196*(1+Sorted!$H$7),2)</f>
        <v>0</v>
      </c>
      <c r="AA197" s="47" t="n">
        <f aca="false">MIN(Z197,Sorted!$G$7)</f>
        <v>0</v>
      </c>
      <c r="AB197" s="47" t="n">
        <v>0</v>
      </c>
      <c r="AC197" s="47" t="n">
        <f aca="false">ROUND(Z197-AA197-AB197,2)</f>
        <v>0</v>
      </c>
      <c r="AD197" s="47" t="n">
        <f aca="false">ROUND(AG196*(1+Sorted!$H$8),2)</f>
        <v>0</v>
      </c>
      <c r="AE197" s="47" t="n">
        <f aca="false">MIN(AD197,Sorted!$G$8)</f>
        <v>0</v>
      </c>
      <c r="AF197" s="47" t="n">
        <v>0</v>
      </c>
      <c r="AG197" s="47" t="n">
        <f aca="false">ROUND(AD197-AE197-AF197,2)</f>
        <v>0</v>
      </c>
      <c r="AH197" s="47" t="n">
        <f aca="false">ROUND(AK196*(1+Sorted!$H$9),2)</f>
        <v>0</v>
      </c>
      <c r="AI197" s="47" t="n">
        <f aca="false">MIN(AH197,Sorted!$G$9)</f>
        <v>0</v>
      </c>
      <c r="AJ197" s="47" t="n">
        <v>0</v>
      </c>
      <c r="AK197" s="47" t="n">
        <f aca="false">ROUND(AH197-AI197-AJ197,2)</f>
        <v>0</v>
      </c>
      <c r="AL197" s="47" t="n">
        <f aca="false">ROUND(AO196*(1+Sorted!$H$10),2)</f>
        <v>0</v>
      </c>
      <c r="AM197" s="47" t="n">
        <f aca="false">MIN(AL197,Sorted!$G$10)</f>
        <v>0</v>
      </c>
      <c r="AN197" s="47" t="n">
        <v>0</v>
      </c>
      <c r="AO197" s="47" t="n">
        <f aca="false">ROUND(AL197-AM197-AN197,2)</f>
        <v>0</v>
      </c>
      <c r="AP197" s="47" t="n">
        <f aca="false">ROUND(AS196*(1+Sorted!$H$11),2)</f>
        <v>0</v>
      </c>
      <c r="AQ197" s="47" t="n">
        <f aca="false">MIN(AP197,Sorted!$G$11)</f>
        <v>0</v>
      </c>
      <c r="AR197" s="47" t="n">
        <v>0</v>
      </c>
      <c r="AS197" s="47" t="n">
        <f aca="false">ROUND(AP197-AQ197-AR197,2)</f>
        <v>0</v>
      </c>
    </row>
    <row r="198" customFormat="false" ht="15" hidden="false" customHeight="false" outlineLevel="0" collapsed="false">
      <c r="A198" s="45" t="n">
        <v>195</v>
      </c>
      <c r="B198" s="46" t="n">
        <f aca="false">EDATE('My Debts'!$C$7,A198-1)</f>
        <v>52232</v>
      </c>
      <c r="C198" s="47" t="n">
        <v>0</v>
      </c>
      <c r="D198" s="47" t="n">
        <f aca="false">(F198+J198+N198+R198+V198+Z198+AD198+AH198+AL198+AP198)-(I198+M198+Q198+U198+Y198+AC198+AG198+AK198+AO198+AS198)</f>
        <v>0</v>
      </c>
      <c r="E198" s="48" t="n">
        <f aca="false">I198+M198+Q198+U198+Y198+AC198+AG198+AK198+AO198+AS198</f>
        <v>0</v>
      </c>
      <c r="F198" s="47" t="n">
        <f aca="false">ROUND(I197*(1+Sorted!$H$2),2)</f>
        <v>0</v>
      </c>
      <c r="G198" s="47" t="n">
        <f aca="false">MIN(F198,Sorted!$G$2)</f>
        <v>0</v>
      </c>
      <c r="H198" s="47" t="n">
        <v>0</v>
      </c>
      <c r="I198" s="47" t="n">
        <f aca="false">ROUND(F198-G198-H198,2)</f>
        <v>0</v>
      </c>
      <c r="J198" s="47" t="n">
        <f aca="false">ROUND(M197*(1+Sorted!$H$3),2)</f>
        <v>0</v>
      </c>
      <c r="K198" s="47" t="n">
        <f aca="false">MIN(J198,Sorted!$G$3)</f>
        <v>0</v>
      </c>
      <c r="L198" s="47" t="n">
        <v>0</v>
      </c>
      <c r="M198" s="47" t="n">
        <f aca="false">ROUND(J198-K198-L198,2)</f>
        <v>0</v>
      </c>
      <c r="N198" s="47" t="n">
        <f aca="false">ROUND(Q197*(1+Sorted!$H$4),2)</f>
        <v>0</v>
      </c>
      <c r="O198" s="47" t="n">
        <f aca="false">MIN(N198,Sorted!$G$4)</f>
        <v>0</v>
      </c>
      <c r="P198" s="47" t="n">
        <v>0</v>
      </c>
      <c r="Q198" s="47" t="n">
        <f aca="false">ROUND(N198-O198-P198,2)</f>
        <v>0</v>
      </c>
      <c r="R198" s="47" t="n">
        <f aca="false">ROUND(U197*(1+Sorted!$H$5),2)</f>
        <v>0</v>
      </c>
      <c r="S198" s="47" t="n">
        <f aca="false">MIN(R198,Sorted!$G$5)</f>
        <v>0</v>
      </c>
      <c r="T198" s="47" t="n">
        <v>0</v>
      </c>
      <c r="U198" s="47" t="n">
        <f aca="false">ROUND(R198-S198-T198,2)</f>
        <v>0</v>
      </c>
      <c r="V198" s="47" t="n">
        <f aca="false">ROUND(Y197*(1+Sorted!$H$6),2)</f>
        <v>0</v>
      </c>
      <c r="W198" s="47" t="n">
        <f aca="false">MIN(V198,Sorted!$G$6)</f>
        <v>0</v>
      </c>
      <c r="X198" s="47" t="n">
        <v>0</v>
      </c>
      <c r="Y198" s="47" t="n">
        <f aca="false">ROUND(V198-W198-X198,2)</f>
        <v>0</v>
      </c>
      <c r="Z198" s="47" t="n">
        <f aca="false">ROUND(AC197*(1+Sorted!$H$7),2)</f>
        <v>0</v>
      </c>
      <c r="AA198" s="47" t="n">
        <f aca="false">MIN(Z198,Sorted!$G$7)</f>
        <v>0</v>
      </c>
      <c r="AB198" s="47" t="n">
        <v>0</v>
      </c>
      <c r="AC198" s="47" t="n">
        <f aca="false">ROUND(Z198-AA198-AB198,2)</f>
        <v>0</v>
      </c>
      <c r="AD198" s="47" t="n">
        <f aca="false">ROUND(AG197*(1+Sorted!$H$8),2)</f>
        <v>0</v>
      </c>
      <c r="AE198" s="47" t="n">
        <f aca="false">MIN(AD198,Sorted!$G$8)</f>
        <v>0</v>
      </c>
      <c r="AF198" s="47" t="n">
        <v>0</v>
      </c>
      <c r="AG198" s="47" t="n">
        <f aca="false">ROUND(AD198-AE198-AF198,2)</f>
        <v>0</v>
      </c>
      <c r="AH198" s="47" t="n">
        <f aca="false">ROUND(AK197*(1+Sorted!$H$9),2)</f>
        <v>0</v>
      </c>
      <c r="AI198" s="47" t="n">
        <f aca="false">MIN(AH198,Sorted!$G$9)</f>
        <v>0</v>
      </c>
      <c r="AJ198" s="47" t="n">
        <v>0</v>
      </c>
      <c r="AK198" s="47" t="n">
        <f aca="false">ROUND(AH198-AI198-AJ198,2)</f>
        <v>0</v>
      </c>
      <c r="AL198" s="47" t="n">
        <f aca="false">ROUND(AO197*(1+Sorted!$H$10),2)</f>
        <v>0</v>
      </c>
      <c r="AM198" s="47" t="n">
        <f aca="false">MIN(AL198,Sorted!$G$10)</f>
        <v>0</v>
      </c>
      <c r="AN198" s="47" t="n">
        <v>0</v>
      </c>
      <c r="AO198" s="47" t="n">
        <f aca="false">ROUND(AL198-AM198-AN198,2)</f>
        <v>0</v>
      </c>
      <c r="AP198" s="47" t="n">
        <f aca="false">ROUND(AS197*(1+Sorted!$H$11),2)</f>
        <v>0</v>
      </c>
      <c r="AQ198" s="47" t="n">
        <f aca="false">MIN(AP198,Sorted!$G$11)</f>
        <v>0</v>
      </c>
      <c r="AR198" s="47" t="n">
        <v>0</v>
      </c>
      <c r="AS198" s="47" t="n">
        <f aca="false">ROUND(AP198-AQ198-AR198,2)</f>
        <v>0</v>
      </c>
    </row>
    <row r="199" customFormat="false" ht="15" hidden="false" customHeight="false" outlineLevel="0" collapsed="false">
      <c r="A199" s="45" t="n">
        <v>196</v>
      </c>
      <c r="B199" s="46" t="n">
        <f aca="false">EDATE('My Debts'!$C$7,A199-1)</f>
        <v>52263</v>
      </c>
      <c r="C199" s="47" t="n">
        <v>0</v>
      </c>
      <c r="D199" s="47" t="n">
        <f aca="false">(F199+J199+N199+R199+V199+Z199+AD199+AH199+AL199+AP199)-(I199+M199+Q199+U199+Y199+AC199+AG199+AK199+AO199+AS199)</f>
        <v>0</v>
      </c>
      <c r="E199" s="48" t="n">
        <f aca="false">I199+M199+Q199+U199+Y199+AC199+AG199+AK199+AO199+AS199</f>
        <v>0</v>
      </c>
      <c r="F199" s="47" t="n">
        <f aca="false">ROUND(I198*(1+Sorted!$H$2),2)</f>
        <v>0</v>
      </c>
      <c r="G199" s="47" t="n">
        <f aca="false">MIN(F199,Sorted!$G$2)</f>
        <v>0</v>
      </c>
      <c r="H199" s="47" t="n">
        <v>0</v>
      </c>
      <c r="I199" s="47" t="n">
        <f aca="false">ROUND(F199-G199-H199,2)</f>
        <v>0</v>
      </c>
      <c r="J199" s="47" t="n">
        <f aca="false">ROUND(M198*(1+Sorted!$H$3),2)</f>
        <v>0</v>
      </c>
      <c r="K199" s="47" t="n">
        <f aca="false">MIN(J199,Sorted!$G$3)</f>
        <v>0</v>
      </c>
      <c r="L199" s="47" t="n">
        <v>0</v>
      </c>
      <c r="M199" s="47" t="n">
        <f aca="false">ROUND(J199-K199-L199,2)</f>
        <v>0</v>
      </c>
      <c r="N199" s="47" t="n">
        <f aca="false">ROUND(Q198*(1+Sorted!$H$4),2)</f>
        <v>0</v>
      </c>
      <c r="O199" s="47" t="n">
        <f aca="false">MIN(N199,Sorted!$G$4)</f>
        <v>0</v>
      </c>
      <c r="P199" s="47" t="n">
        <v>0</v>
      </c>
      <c r="Q199" s="47" t="n">
        <f aca="false">ROUND(N199-O199-P199,2)</f>
        <v>0</v>
      </c>
      <c r="R199" s="47" t="n">
        <f aca="false">ROUND(U198*(1+Sorted!$H$5),2)</f>
        <v>0</v>
      </c>
      <c r="S199" s="47" t="n">
        <f aca="false">MIN(R199,Sorted!$G$5)</f>
        <v>0</v>
      </c>
      <c r="T199" s="47" t="n">
        <v>0</v>
      </c>
      <c r="U199" s="47" t="n">
        <f aca="false">ROUND(R199-S199-T199,2)</f>
        <v>0</v>
      </c>
      <c r="V199" s="47" t="n">
        <f aca="false">ROUND(Y198*(1+Sorted!$H$6),2)</f>
        <v>0</v>
      </c>
      <c r="W199" s="47" t="n">
        <f aca="false">MIN(V199,Sorted!$G$6)</f>
        <v>0</v>
      </c>
      <c r="X199" s="47" t="n">
        <v>0</v>
      </c>
      <c r="Y199" s="47" t="n">
        <f aca="false">ROUND(V199-W199-X199,2)</f>
        <v>0</v>
      </c>
      <c r="Z199" s="47" t="n">
        <f aca="false">ROUND(AC198*(1+Sorted!$H$7),2)</f>
        <v>0</v>
      </c>
      <c r="AA199" s="47" t="n">
        <f aca="false">MIN(Z199,Sorted!$G$7)</f>
        <v>0</v>
      </c>
      <c r="AB199" s="47" t="n">
        <v>0</v>
      </c>
      <c r="AC199" s="47" t="n">
        <f aca="false">ROUND(Z199-AA199-AB199,2)</f>
        <v>0</v>
      </c>
      <c r="AD199" s="47" t="n">
        <f aca="false">ROUND(AG198*(1+Sorted!$H$8),2)</f>
        <v>0</v>
      </c>
      <c r="AE199" s="47" t="n">
        <f aca="false">MIN(AD199,Sorted!$G$8)</f>
        <v>0</v>
      </c>
      <c r="AF199" s="47" t="n">
        <v>0</v>
      </c>
      <c r="AG199" s="47" t="n">
        <f aca="false">ROUND(AD199-AE199-AF199,2)</f>
        <v>0</v>
      </c>
      <c r="AH199" s="47" t="n">
        <f aca="false">ROUND(AK198*(1+Sorted!$H$9),2)</f>
        <v>0</v>
      </c>
      <c r="AI199" s="47" t="n">
        <f aca="false">MIN(AH199,Sorted!$G$9)</f>
        <v>0</v>
      </c>
      <c r="AJ199" s="47" t="n">
        <v>0</v>
      </c>
      <c r="AK199" s="47" t="n">
        <f aca="false">ROUND(AH199-AI199-AJ199,2)</f>
        <v>0</v>
      </c>
      <c r="AL199" s="47" t="n">
        <f aca="false">ROUND(AO198*(1+Sorted!$H$10),2)</f>
        <v>0</v>
      </c>
      <c r="AM199" s="47" t="n">
        <f aca="false">MIN(AL199,Sorted!$G$10)</f>
        <v>0</v>
      </c>
      <c r="AN199" s="47" t="n">
        <v>0</v>
      </c>
      <c r="AO199" s="47" t="n">
        <f aca="false">ROUND(AL199-AM199-AN199,2)</f>
        <v>0</v>
      </c>
      <c r="AP199" s="47" t="n">
        <f aca="false">ROUND(AS198*(1+Sorted!$H$11),2)</f>
        <v>0</v>
      </c>
      <c r="AQ199" s="47" t="n">
        <f aca="false">MIN(AP199,Sorted!$G$11)</f>
        <v>0</v>
      </c>
      <c r="AR199" s="47" t="n">
        <v>0</v>
      </c>
      <c r="AS199" s="47" t="n">
        <f aca="false">ROUND(AP199-AQ199-AR199,2)</f>
        <v>0</v>
      </c>
    </row>
    <row r="200" customFormat="false" ht="15" hidden="false" customHeight="false" outlineLevel="0" collapsed="false">
      <c r="A200" s="45" t="n">
        <v>197</v>
      </c>
      <c r="B200" s="46" t="n">
        <f aca="false">EDATE('My Debts'!$C$7,A200-1)</f>
        <v>52291</v>
      </c>
      <c r="C200" s="47" t="n">
        <v>0</v>
      </c>
      <c r="D200" s="47" t="n">
        <f aca="false">(F200+J200+N200+R200+V200+Z200+AD200+AH200+AL200+AP200)-(I200+M200+Q200+U200+Y200+AC200+AG200+AK200+AO200+AS200)</f>
        <v>0</v>
      </c>
      <c r="E200" s="48" t="n">
        <f aca="false">I200+M200+Q200+U200+Y200+AC200+AG200+AK200+AO200+AS200</f>
        <v>0</v>
      </c>
      <c r="F200" s="47" t="n">
        <f aca="false">ROUND(I199*(1+Sorted!$H$2),2)</f>
        <v>0</v>
      </c>
      <c r="G200" s="47" t="n">
        <f aca="false">MIN(F200,Sorted!$G$2)</f>
        <v>0</v>
      </c>
      <c r="H200" s="47" t="n">
        <v>0</v>
      </c>
      <c r="I200" s="47" t="n">
        <f aca="false">ROUND(F200-G200-H200,2)</f>
        <v>0</v>
      </c>
      <c r="J200" s="47" t="n">
        <f aca="false">ROUND(M199*(1+Sorted!$H$3),2)</f>
        <v>0</v>
      </c>
      <c r="K200" s="47" t="n">
        <f aca="false">MIN(J200,Sorted!$G$3)</f>
        <v>0</v>
      </c>
      <c r="L200" s="47" t="n">
        <v>0</v>
      </c>
      <c r="M200" s="47" t="n">
        <f aca="false">ROUND(J200-K200-L200,2)</f>
        <v>0</v>
      </c>
      <c r="N200" s="47" t="n">
        <f aca="false">ROUND(Q199*(1+Sorted!$H$4),2)</f>
        <v>0</v>
      </c>
      <c r="O200" s="47" t="n">
        <f aca="false">MIN(N200,Sorted!$G$4)</f>
        <v>0</v>
      </c>
      <c r="P200" s="47" t="n">
        <v>0</v>
      </c>
      <c r="Q200" s="47" t="n">
        <f aca="false">ROUND(N200-O200-P200,2)</f>
        <v>0</v>
      </c>
      <c r="R200" s="47" t="n">
        <f aca="false">ROUND(U199*(1+Sorted!$H$5),2)</f>
        <v>0</v>
      </c>
      <c r="S200" s="47" t="n">
        <f aca="false">MIN(R200,Sorted!$G$5)</f>
        <v>0</v>
      </c>
      <c r="T200" s="47" t="n">
        <v>0</v>
      </c>
      <c r="U200" s="47" t="n">
        <f aca="false">ROUND(R200-S200-T200,2)</f>
        <v>0</v>
      </c>
      <c r="V200" s="47" t="n">
        <f aca="false">ROUND(Y199*(1+Sorted!$H$6),2)</f>
        <v>0</v>
      </c>
      <c r="W200" s="47" t="n">
        <f aca="false">MIN(V200,Sorted!$G$6)</f>
        <v>0</v>
      </c>
      <c r="X200" s="47" t="n">
        <v>0</v>
      </c>
      <c r="Y200" s="47" t="n">
        <f aca="false">ROUND(V200-W200-X200,2)</f>
        <v>0</v>
      </c>
      <c r="Z200" s="47" t="n">
        <f aca="false">ROUND(AC199*(1+Sorted!$H$7),2)</f>
        <v>0</v>
      </c>
      <c r="AA200" s="47" t="n">
        <f aca="false">MIN(Z200,Sorted!$G$7)</f>
        <v>0</v>
      </c>
      <c r="AB200" s="47" t="n">
        <v>0</v>
      </c>
      <c r="AC200" s="47" t="n">
        <f aca="false">ROUND(Z200-AA200-AB200,2)</f>
        <v>0</v>
      </c>
      <c r="AD200" s="47" t="n">
        <f aca="false">ROUND(AG199*(1+Sorted!$H$8),2)</f>
        <v>0</v>
      </c>
      <c r="AE200" s="47" t="n">
        <f aca="false">MIN(AD200,Sorted!$G$8)</f>
        <v>0</v>
      </c>
      <c r="AF200" s="47" t="n">
        <v>0</v>
      </c>
      <c r="AG200" s="47" t="n">
        <f aca="false">ROUND(AD200-AE200-AF200,2)</f>
        <v>0</v>
      </c>
      <c r="AH200" s="47" t="n">
        <f aca="false">ROUND(AK199*(1+Sorted!$H$9),2)</f>
        <v>0</v>
      </c>
      <c r="AI200" s="47" t="n">
        <f aca="false">MIN(AH200,Sorted!$G$9)</f>
        <v>0</v>
      </c>
      <c r="AJ200" s="47" t="n">
        <v>0</v>
      </c>
      <c r="AK200" s="47" t="n">
        <f aca="false">ROUND(AH200-AI200-AJ200,2)</f>
        <v>0</v>
      </c>
      <c r="AL200" s="47" t="n">
        <f aca="false">ROUND(AO199*(1+Sorted!$H$10),2)</f>
        <v>0</v>
      </c>
      <c r="AM200" s="47" t="n">
        <f aca="false">MIN(AL200,Sorted!$G$10)</f>
        <v>0</v>
      </c>
      <c r="AN200" s="47" t="n">
        <v>0</v>
      </c>
      <c r="AO200" s="47" t="n">
        <f aca="false">ROUND(AL200-AM200-AN200,2)</f>
        <v>0</v>
      </c>
      <c r="AP200" s="47" t="n">
        <f aca="false">ROUND(AS199*(1+Sorted!$H$11),2)</f>
        <v>0</v>
      </c>
      <c r="AQ200" s="47" t="n">
        <f aca="false">MIN(AP200,Sorted!$G$11)</f>
        <v>0</v>
      </c>
      <c r="AR200" s="47" t="n">
        <v>0</v>
      </c>
      <c r="AS200" s="47" t="n">
        <f aca="false">ROUND(AP200-AQ200-AR200,2)</f>
        <v>0</v>
      </c>
    </row>
    <row r="201" customFormat="false" ht="15" hidden="false" customHeight="false" outlineLevel="0" collapsed="false">
      <c r="A201" s="45" t="n">
        <v>198</v>
      </c>
      <c r="B201" s="46" t="n">
        <f aca="false">EDATE('My Debts'!$C$7,A201-1)</f>
        <v>52322</v>
      </c>
      <c r="C201" s="47" t="n">
        <v>0</v>
      </c>
      <c r="D201" s="47" t="n">
        <f aca="false">(F201+J201+N201+R201+V201+Z201+AD201+AH201+AL201+AP201)-(I201+M201+Q201+U201+Y201+AC201+AG201+AK201+AO201+AS201)</f>
        <v>0</v>
      </c>
      <c r="E201" s="48" t="n">
        <f aca="false">I201+M201+Q201+U201+Y201+AC201+AG201+AK201+AO201+AS201</f>
        <v>0</v>
      </c>
      <c r="F201" s="47" t="n">
        <f aca="false">ROUND(I200*(1+Sorted!$H$2),2)</f>
        <v>0</v>
      </c>
      <c r="G201" s="47" t="n">
        <f aca="false">MIN(F201,Sorted!$G$2)</f>
        <v>0</v>
      </c>
      <c r="H201" s="47" t="n">
        <v>0</v>
      </c>
      <c r="I201" s="47" t="n">
        <f aca="false">ROUND(F201-G201-H201,2)</f>
        <v>0</v>
      </c>
      <c r="J201" s="47" t="n">
        <f aca="false">ROUND(M200*(1+Sorted!$H$3),2)</f>
        <v>0</v>
      </c>
      <c r="K201" s="47" t="n">
        <f aca="false">MIN(J201,Sorted!$G$3)</f>
        <v>0</v>
      </c>
      <c r="L201" s="47" t="n">
        <v>0</v>
      </c>
      <c r="M201" s="47" t="n">
        <f aca="false">ROUND(J201-K201-L201,2)</f>
        <v>0</v>
      </c>
      <c r="N201" s="47" t="n">
        <f aca="false">ROUND(Q200*(1+Sorted!$H$4),2)</f>
        <v>0</v>
      </c>
      <c r="O201" s="47" t="n">
        <f aca="false">MIN(N201,Sorted!$G$4)</f>
        <v>0</v>
      </c>
      <c r="P201" s="47" t="n">
        <v>0</v>
      </c>
      <c r="Q201" s="47" t="n">
        <f aca="false">ROUND(N201-O201-P201,2)</f>
        <v>0</v>
      </c>
      <c r="R201" s="47" t="n">
        <f aca="false">ROUND(U200*(1+Sorted!$H$5),2)</f>
        <v>0</v>
      </c>
      <c r="S201" s="47" t="n">
        <f aca="false">MIN(R201,Sorted!$G$5)</f>
        <v>0</v>
      </c>
      <c r="T201" s="47" t="n">
        <v>0</v>
      </c>
      <c r="U201" s="47" t="n">
        <f aca="false">ROUND(R201-S201-T201,2)</f>
        <v>0</v>
      </c>
      <c r="V201" s="47" t="n">
        <f aca="false">ROUND(Y200*(1+Sorted!$H$6),2)</f>
        <v>0</v>
      </c>
      <c r="W201" s="47" t="n">
        <f aca="false">MIN(V201,Sorted!$G$6)</f>
        <v>0</v>
      </c>
      <c r="X201" s="47" t="n">
        <v>0</v>
      </c>
      <c r="Y201" s="47" t="n">
        <f aca="false">ROUND(V201-W201-X201,2)</f>
        <v>0</v>
      </c>
      <c r="Z201" s="47" t="n">
        <f aca="false">ROUND(AC200*(1+Sorted!$H$7),2)</f>
        <v>0</v>
      </c>
      <c r="AA201" s="47" t="n">
        <f aca="false">MIN(Z201,Sorted!$G$7)</f>
        <v>0</v>
      </c>
      <c r="AB201" s="47" t="n">
        <v>0</v>
      </c>
      <c r="AC201" s="47" t="n">
        <f aca="false">ROUND(Z201-AA201-AB201,2)</f>
        <v>0</v>
      </c>
      <c r="AD201" s="47" t="n">
        <f aca="false">ROUND(AG200*(1+Sorted!$H$8),2)</f>
        <v>0</v>
      </c>
      <c r="AE201" s="47" t="n">
        <f aca="false">MIN(AD201,Sorted!$G$8)</f>
        <v>0</v>
      </c>
      <c r="AF201" s="47" t="n">
        <v>0</v>
      </c>
      <c r="AG201" s="47" t="n">
        <f aca="false">ROUND(AD201-AE201-AF201,2)</f>
        <v>0</v>
      </c>
      <c r="AH201" s="47" t="n">
        <f aca="false">ROUND(AK200*(1+Sorted!$H$9),2)</f>
        <v>0</v>
      </c>
      <c r="AI201" s="47" t="n">
        <f aca="false">MIN(AH201,Sorted!$G$9)</f>
        <v>0</v>
      </c>
      <c r="AJ201" s="47" t="n">
        <v>0</v>
      </c>
      <c r="AK201" s="47" t="n">
        <f aca="false">ROUND(AH201-AI201-AJ201,2)</f>
        <v>0</v>
      </c>
      <c r="AL201" s="47" t="n">
        <f aca="false">ROUND(AO200*(1+Sorted!$H$10),2)</f>
        <v>0</v>
      </c>
      <c r="AM201" s="47" t="n">
        <f aca="false">MIN(AL201,Sorted!$G$10)</f>
        <v>0</v>
      </c>
      <c r="AN201" s="47" t="n">
        <v>0</v>
      </c>
      <c r="AO201" s="47" t="n">
        <f aca="false">ROUND(AL201-AM201-AN201,2)</f>
        <v>0</v>
      </c>
      <c r="AP201" s="47" t="n">
        <f aca="false">ROUND(AS200*(1+Sorted!$H$11),2)</f>
        <v>0</v>
      </c>
      <c r="AQ201" s="47" t="n">
        <f aca="false">MIN(AP201,Sorted!$G$11)</f>
        <v>0</v>
      </c>
      <c r="AR201" s="47" t="n">
        <v>0</v>
      </c>
      <c r="AS201" s="47" t="n">
        <f aca="false">ROUND(AP201-AQ201-AR201,2)</f>
        <v>0</v>
      </c>
    </row>
    <row r="202" customFormat="false" ht="15" hidden="false" customHeight="false" outlineLevel="0" collapsed="false">
      <c r="A202" s="45" t="n">
        <v>199</v>
      </c>
      <c r="B202" s="46" t="n">
        <f aca="false">EDATE('My Debts'!$C$7,A202-1)</f>
        <v>52352</v>
      </c>
      <c r="C202" s="47" t="n">
        <v>0</v>
      </c>
      <c r="D202" s="47" t="n">
        <f aca="false">(F202+J202+N202+R202+V202+Z202+AD202+AH202+AL202+AP202)-(I202+M202+Q202+U202+Y202+AC202+AG202+AK202+AO202+AS202)</f>
        <v>0</v>
      </c>
      <c r="E202" s="48" t="n">
        <f aca="false">I202+M202+Q202+U202+Y202+AC202+AG202+AK202+AO202+AS202</f>
        <v>0</v>
      </c>
      <c r="F202" s="47" t="n">
        <f aca="false">ROUND(I201*(1+Sorted!$H$2),2)</f>
        <v>0</v>
      </c>
      <c r="G202" s="47" t="n">
        <f aca="false">MIN(F202,Sorted!$G$2)</f>
        <v>0</v>
      </c>
      <c r="H202" s="47" t="n">
        <v>0</v>
      </c>
      <c r="I202" s="47" t="n">
        <f aca="false">ROUND(F202-G202-H202,2)</f>
        <v>0</v>
      </c>
      <c r="J202" s="47" t="n">
        <f aca="false">ROUND(M201*(1+Sorted!$H$3),2)</f>
        <v>0</v>
      </c>
      <c r="K202" s="47" t="n">
        <f aca="false">MIN(J202,Sorted!$G$3)</f>
        <v>0</v>
      </c>
      <c r="L202" s="47" t="n">
        <v>0</v>
      </c>
      <c r="M202" s="47" t="n">
        <f aca="false">ROUND(J202-K202-L202,2)</f>
        <v>0</v>
      </c>
      <c r="N202" s="47" t="n">
        <f aca="false">ROUND(Q201*(1+Sorted!$H$4),2)</f>
        <v>0</v>
      </c>
      <c r="O202" s="47" t="n">
        <f aca="false">MIN(N202,Sorted!$G$4)</f>
        <v>0</v>
      </c>
      <c r="P202" s="47" t="n">
        <v>0</v>
      </c>
      <c r="Q202" s="47" t="n">
        <f aca="false">ROUND(N202-O202-P202,2)</f>
        <v>0</v>
      </c>
      <c r="R202" s="47" t="n">
        <f aca="false">ROUND(U201*(1+Sorted!$H$5),2)</f>
        <v>0</v>
      </c>
      <c r="S202" s="47" t="n">
        <f aca="false">MIN(R202,Sorted!$G$5)</f>
        <v>0</v>
      </c>
      <c r="T202" s="47" t="n">
        <v>0</v>
      </c>
      <c r="U202" s="47" t="n">
        <f aca="false">ROUND(R202-S202-T202,2)</f>
        <v>0</v>
      </c>
      <c r="V202" s="47" t="n">
        <f aca="false">ROUND(Y201*(1+Sorted!$H$6),2)</f>
        <v>0</v>
      </c>
      <c r="W202" s="47" t="n">
        <f aca="false">MIN(V202,Sorted!$G$6)</f>
        <v>0</v>
      </c>
      <c r="X202" s="47" t="n">
        <v>0</v>
      </c>
      <c r="Y202" s="47" t="n">
        <f aca="false">ROUND(V202-W202-X202,2)</f>
        <v>0</v>
      </c>
      <c r="Z202" s="47" t="n">
        <f aca="false">ROUND(AC201*(1+Sorted!$H$7),2)</f>
        <v>0</v>
      </c>
      <c r="AA202" s="47" t="n">
        <f aca="false">MIN(Z202,Sorted!$G$7)</f>
        <v>0</v>
      </c>
      <c r="AB202" s="47" t="n">
        <v>0</v>
      </c>
      <c r="AC202" s="47" t="n">
        <f aca="false">ROUND(Z202-AA202-AB202,2)</f>
        <v>0</v>
      </c>
      <c r="AD202" s="47" t="n">
        <f aca="false">ROUND(AG201*(1+Sorted!$H$8),2)</f>
        <v>0</v>
      </c>
      <c r="AE202" s="47" t="n">
        <f aca="false">MIN(AD202,Sorted!$G$8)</f>
        <v>0</v>
      </c>
      <c r="AF202" s="47" t="n">
        <v>0</v>
      </c>
      <c r="AG202" s="47" t="n">
        <f aca="false">ROUND(AD202-AE202-AF202,2)</f>
        <v>0</v>
      </c>
      <c r="AH202" s="47" t="n">
        <f aca="false">ROUND(AK201*(1+Sorted!$H$9),2)</f>
        <v>0</v>
      </c>
      <c r="AI202" s="47" t="n">
        <f aca="false">MIN(AH202,Sorted!$G$9)</f>
        <v>0</v>
      </c>
      <c r="AJ202" s="47" t="n">
        <v>0</v>
      </c>
      <c r="AK202" s="47" t="n">
        <f aca="false">ROUND(AH202-AI202-AJ202,2)</f>
        <v>0</v>
      </c>
      <c r="AL202" s="47" t="n">
        <f aca="false">ROUND(AO201*(1+Sorted!$H$10),2)</f>
        <v>0</v>
      </c>
      <c r="AM202" s="47" t="n">
        <f aca="false">MIN(AL202,Sorted!$G$10)</f>
        <v>0</v>
      </c>
      <c r="AN202" s="47" t="n">
        <v>0</v>
      </c>
      <c r="AO202" s="47" t="n">
        <f aca="false">ROUND(AL202-AM202-AN202,2)</f>
        <v>0</v>
      </c>
      <c r="AP202" s="47" t="n">
        <f aca="false">ROUND(AS201*(1+Sorted!$H$11),2)</f>
        <v>0</v>
      </c>
      <c r="AQ202" s="47" t="n">
        <f aca="false">MIN(AP202,Sorted!$G$11)</f>
        <v>0</v>
      </c>
      <c r="AR202" s="47" t="n">
        <v>0</v>
      </c>
      <c r="AS202" s="47" t="n">
        <f aca="false">ROUND(AP202-AQ202-AR202,2)</f>
        <v>0</v>
      </c>
    </row>
    <row r="203" customFormat="false" ht="15" hidden="false" customHeight="false" outlineLevel="0" collapsed="false">
      <c r="A203" s="45" t="n">
        <v>200</v>
      </c>
      <c r="B203" s="46" t="n">
        <f aca="false">EDATE('My Debts'!$C$7,A203-1)</f>
        <v>52383</v>
      </c>
      <c r="C203" s="47" t="n">
        <v>0</v>
      </c>
      <c r="D203" s="47" t="n">
        <f aca="false">(F203+J203+N203+R203+V203+Z203+AD203+AH203+AL203+AP203)-(I203+M203+Q203+U203+Y203+AC203+AG203+AK203+AO203+AS203)</f>
        <v>0</v>
      </c>
      <c r="E203" s="48" t="n">
        <f aca="false">I203+M203+Q203+U203+Y203+AC203+AG203+AK203+AO203+AS203</f>
        <v>0</v>
      </c>
      <c r="F203" s="47" t="n">
        <f aca="false">ROUND(I202*(1+Sorted!$H$2),2)</f>
        <v>0</v>
      </c>
      <c r="G203" s="47" t="n">
        <f aca="false">MIN(F203,Sorted!$G$2)</f>
        <v>0</v>
      </c>
      <c r="H203" s="47" t="n">
        <v>0</v>
      </c>
      <c r="I203" s="47" t="n">
        <f aca="false">ROUND(F203-G203-H203,2)</f>
        <v>0</v>
      </c>
      <c r="J203" s="47" t="n">
        <f aca="false">ROUND(M202*(1+Sorted!$H$3),2)</f>
        <v>0</v>
      </c>
      <c r="K203" s="47" t="n">
        <f aca="false">MIN(J203,Sorted!$G$3)</f>
        <v>0</v>
      </c>
      <c r="L203" s="47" t="n">
        <v>0</v>
      </c>
      <c r="M203" s="47" t="n">
        <f aca="false">ROUND(J203-K203-L203,2)</f>
        <v>0</v>
      </c>
      <c r="N203" s="47" t="n">
        <f aca="false">ROUND(Q202*(1+Sorted!$H$4),2)</f>
        <v>0</v>
      </c>
      <c r="O203" s="47" t="n">
        <f aca="false">MIN(N203,Sorted!$G$4)</f>
        <v>0</v>
      </c>
      <c r="P203" s="47" t="n">
        <v>0</v>
      </c>
      <c r="Q203" s="47" t="n">
        <f aca="false">ROUND(N203-O203-P203,2)</f>
        <v>0</v>
      </c>
      <c r="R203" s="47" t="n">
        <f aca="false">ROUND(U202*(1+Sorted!$H$5),2)</f>
        <v>0</v>
      </c>
      <c r="S203" s="47" t="n">
        <f aca="false">MIN(R203,Sorted!$G$5)</f>
        <v>0</v>
      </c>
      <c r="T203" s="47" t="n">
        <v>0</v>
      </c>
      <c r="U203" s="47" t="n">
        <f aca="false">ROUND(R203-S203-T203,2)</f>
        <v>0</v>
      </c>
      <c r="V203" s="47" t="n">
        <f aca="false">ROUND(Y202*(1+Sorted!$H$6),2)</f>
        <v>0</v>
      </c>
      <c r="W203" s="47" t="n">
        <f aca="false">MIN(V203,Sorted!$G$6)</f>
        <v>0</v>
      </c>
      <c r="X203" s="47" t="n">
        <v>0</v>
      </c>
      <c r="Y203" s="47" t="n">
        <f aca="false">ROUND(V203-W203-X203,2)</f>
        <v>0</v>
      </c>
      <c r="Z203" s="47" t="n">
        <f aca="false">ROUND(AC202*(1+Sorted!$H$7),2)</f>
        <v>0</v>
      </c>
      <c r="AA203" s="47" t="n">
        <f aca="false">MIN(Z203,Sorted!$G$7)</f>
        <v>0</v>
      </c>
      <c r="AB203" s="47" t="n">
        <v>0</v>
      </c>
      <c r="AC203" s="47" t="n">
        <f aca="false">ROUND(Z203-AA203-AB203,2)</f>
        <v>0</v>
      </c>
      <c r="AD203" s="47" t="n">
        <f aca="false">ROUND(AG202*(1+Sorted!$H$8),2)</f>
        <v>0</v>
      </c>
      <c r="AE203" s="47" t="n">
        <f aca="false">MIN(AD203,Sorted!$G$8)</f>
        <v>0</v>
      </c>
      <c r="AF203" s="47" t="n">
        <v>0</v>
      </c>
      <c r="AG203" s="47" t="n">
        <f aca="false">ROUND(AD203-AE203-AF203,2)</f>
        <v>0</v>
      </c>
      <c r="AH203" s="47" t="n">
        <f aca="false">ROUND(AK202*(1+Sorted!$H$9),2)</f>
        <v>0</v>
      </c>
      <c r="AI203" s="47" t="n">
        <f aca="false">MIN(AH203,Sorted!$G$9)</f>
        <v>0</v>
      </c>
      <c r="AJ203" s="47" t="n">
        <v>0</v>
      </c>
      <c r="AK203" s="47" t="n">
        <f aca="false">ROUND(AH203-AI203-AJ203,2)</f>
        <v>0</v>
      </c>
      <c r="AL203" s="47" t="n">
        <f aca="false">ROUND(AO202*(1+Sorted!$H$10),2)</f>
        <v>0</v>
      </c>
      <c r="AM203" s="47" t="n">
        <f aca="false">MIN(AL203,Sorted!$G$10)</f>
        <v>0</v>
      </c>
      <c r="AN203" s="47" t="n">
        <v>0</v>
      </c>
      <c r="AO203" s="47" t="n">
        <f aca="false">ROUND(AL203-AM203-AN203,2)</f>
        <v>0</v>
      </c>
      <c r="AP203" s="47" t="n">
        <f aca="false">ROUND(AS202*(1+Sorted!$H$11),2)</f>
        <v>0</v>
      </c>
      <c r="AQ203" s="47" t="n">
        <f aca="false">MIN(AP203,Sorted!$G$11)</f>
        <v>0</v>
      </c>
      <c r="AR203" s="47" t="n">
        <v>0</v>
      </c>
      <c r="AS203" s="47" t="n">
        <f aca="false">ROUND(AP203-AQ203-AR203,2)</f>
        <v>0</v>
      </c>
    </row>
    <row r="204" customFormat="false" ht="15" hidden="false" customHeight="false" outlineLevel="0" collapsed="false">
      <c r="A204" s="45" t="n">
        <v>201</v>
      </c>
      <c r="B204" s="46" t="n">
        <f aca="false">EDATE('My Debts'!$C$7,A204-1)</f>
        <v>52413</v>
      </c>
      <c r="C204" s="47" t="n">
        <v>0</v>
      </c>
      <c r="D204" s="47" t="n">
        <f aca="false">(F204+J204+N204+R204+V204+Z204+AD204+AH204+AL204+AP204)-(I204+M204+Q204+U204+Y204+AC204+AG204+AK204+AO204+AS204)</f>
        <v>0</v>
      </c>
      <c r="E204" s="48" t="n">
        <f aca="false">I204+M204+Q204+U204+Y204+AC204+AG204+AK204+AO204+AS204</f>
        <v>0</v>
      </c>
      <c r="F204" s="47" t="n">
        <f aca="false">ROUND(I203*(1+Sorted!$H$2),2)</f>
        <v>0</v>
      </c>
      <c r="G204" s="47" t="n">
        <f aca="false">MIN(F204,Sorted!$G$2)</f>
        <v>0</v>
      </c>
      <c r="H204" s="47" t="n">
        <v>0</v>
      </c>
      <c r="I204" s="47" t="n">
        <f aca="false">ROUND(F204-G204-H204,2)</f>
        <v>0</v>
      </c>
      <c r="J204" s="47" t="n">
        <f aca="false">ROUND(M203*(1+Sorted!$H$3),2)</f>
        <v>0</v>
      </c>
      <c r="K204" s="47" t="n">
        <f aca="false">MIN(J204,Sorted!$G$3)</f>
        <v>0</v>
      </c>
      <c r="L204" s="47" t="n">
        <v>0</v>
      </c>
      <c r="M204" s="47" t="n">
        <f aca="false">ROUND(J204-K204-L204,2)</f>
        <v>0</v>
      </c>
      <c r="N204" s="47" t="n">
        <f aca="false">ROUND(Q203*(1+Sorted!$H$4),2)</f>
        <v>0</v>
      </c>
      <c r="O204" s="47" t="n">
        <f aca="false">MIN(N204,Sorted!$G$4)</f>
        <v>0</v>
      </c>
      <c r="P204" s="47" t="n">
        <v>0</v>
      </c>
      <c r="Q204" s="47" t="n">
        <f aca="false">ROUND(N204-O204-P204,2)</f>
        <v>0</v>
      </c>
      <c r="R204" s="47" t="n">
        <f aca="false">ROUND(U203*(1+Sorted!$H$5),2)</f>
        <v>0</v>
      </c>
      <c r="S204" s="47" t="n">
        <f aca="false">MIN(R204,Sorted!$G$5)</f>
        <v>0</v>
      </c>
      <c r="T204" s="47" t="n">
        <v>0</v>
      </c>
      <c r="U204" s="47" t="n">
        <f aca="false">ROUND(R204-S204-T204,2)</f>
        <v>0</v>
      </c>
      <c r="V204" s="47" t="n">
        <f aca="false">ROUND(Y203*(1+Sorted!$H$6),2)</f>
        <v>0</v>
      </c>
      <c r="W204" s="47" t="n">
        <f aca="false">MIN(V204,Sorted!$G$6)</f>
        <v>0</v>
      </c>
      <c r="X204" s="47" t="n">
        <v>0</v>
      </c>
      <c r="Y204" s="47" t="n">
        <f aca="false">ROUND(V204-W204-X204,2)</f>
        <v>0</v>
      </c>
      <c r="Z204" s="47" t="n">
        <f aca="false">ROUND(AC203*(1+Sorted!$H$7),2)</f>
        <v>0</v>
      </c>
      <c r="AA204" s="47" t="n">
        <f aca="false">MIN(Z204,Sorted!$G$7)</f>
        <v>0</v>
      </c>
      <c r="AB204" s="47" t="n">
        <v>0</v>
      </c>
      <c r="AC204" s="47" t="n">
        <f aca="false">ROUND(Z204-AA204-AB204,2)</f>
        <v>0</v>
      </c>
      <c r="AD204" s="47" t="n">
        <f aca="false">ROUND(AG203*(1+Sorted!$H$8),2)</f>
        <v>0</v>
      </c>
      <c r="AE204" s="47" t="n">
        <f aca="false">MIN(AD204,Sorted!$G$8)</f>
        <v>0</v>
      </c>
      <c r="AF204" s="47" t="n">
        <v>0</v>
      </c>
      <c r="AG204" s="47" t="n">
        <f aca="false">ROUND(AD204-AE204-AF204,2)</f>
        <v>0</v>
      </c>
      <c r="AH204" s="47" t="n">
        <f aca="false">ROUND(AK203*(1+Sorted!$H$9),2)</f>
        <v>0</v>
      </c>
      <c r="AI204" s="47" t="n">
        <f aca="false">MIN(AH204,Sorted!$G$9)</f>
        <v>0</v>
      </c>
      <c r="AJ204" s="47" t="n">
        <v>0</v>
      </c>
      <c r="AK204" s="47" t="n">
        <f aca="false">ROUND(AH204-AI204-AJ204,2)</f>
        <v>0</v>
      </c>
      <c r="AL204" s="47" t="n">
        <f aca="false">ROUND(AO203*(1+Sorted!$H$10),2)</f>
        <v>0</v>
      </c>
      <c r="AM204" s="47" t="n">
        <f aca="false">MIN(AL204,Sorted!$G$10)</f>
        <v>0</v>
      </c>
      <c r="AN204" s="47" t="n">
        <v>0</v>
      </c>
      <c r="AO204" s="47" t="n">
        <f aca="false">ROUND(AL204-AM204-AN204,2)</f>
        <v>0</v>
      </c>
      <c r="AP204" s="47" t="n">
        <f aca="false">ROUND(AS203*(1+Sorted!$H$11),2)</f>
        <v>0</v>
      </c>
      <c r="AQ204" s="47" t="n">
        <f aca="false">MIN(AP204,Sorted!$G$11)</f>
        <v>0</v>
      </c>
      <c r="AR204" s="47" t="n">
        <v>0</v>
      </c>
      <c r="AS204" s="47" t="n">
        <f aca="false">ROUND(AP204-AQ204-AR204,2)</f>
        <v>0</v>
      </c>
    </row>
    <row r="205" customFormat="false" ht="15" hidden="false" customHeight="false" outlineLevel="0" collapsed="false">
      <c r="A205" s="45" t="n">
        <v>202</v>
      </c>
      <c r="B205" s="46" t="n">
        <f aca="false">EDATE('My Debts'!$C$7,A205-1)</f>
        <v>52444</v>
      </c>
      <c r="C205" s="47" t="n">
        <v>0</v>
      </c>
      <c r="D205" s="47" t="n">
        <f aca="false">(F205+J205+N205+R205+V205+Z205+AD205+AH205+AL205+AP205)-(I205+M205+Q205+U205+Y205+AC205+AG205+AK205+AO205+AS205)</f>
        <v>0</v>
      </c>
      <c r="E205" s="48" t="n">
        <f aca="false">I205+M205+Q205+U205+Y205+AC205+AG205+AK205+AO205+AS205</f>
        <v>0</v>
      </c>
      <c r="F205" s="47" t="n">
        <f aca="false">ROUND(I204*(1+Sorted!$H$2),2)</f>
        <v>0</v>
      </c>
      <c r="G205" s="47" t="n">
        <f aca="false">MIN(F205,Sorted!$G$2)</f>
        <v>0</v>
      </c>
      <c r="H205" s="47" t="n">
        <v>0</v>
      </c>
      <c r="I205" s="47" t="n">
        <f aca="false">ROUND(F205-G205-H205,2)</f>
        <v>0</v>
      </c>
      <c r="J205" s="47" t="n">
        <f aca="false">ROUND(M204*(1+Sorted!$H$3),2)</f>
        <v>0</v>
      </c>
      <c r="K205" s="47" t="n">
        <f aca="false">MIN(J205,Sorted!$G$3)</f>
        <v>0</v>
      </c>
      <c r="L205" s="47" t="n">
        <v>0</v>
      </c>
      <c r="M205" s="47" t="n">
        <f aca="false">ROUND(J205-K205-L205,2)</f>
        <v>0</v>
      </c>
      <c r="N205" s="47" t="n">
        <f aca="false">ROUND(Q204*(1+Sorted!$H$4),2)</f>
        <v>0</v>
      </c>
      <c r="O205" s="47" t="n">
        <f aca="false">MIN(N205,Sorted!$G$4)</f>
        <v>0</v>
      </c>
      <c r="P205" s="47" t="n">
        <v>0</v>
      </c>
      <c r="Q205" s="47" t="n">
        <f aca="false">ROUND(N205-O205-P205,2)</f>
        <v>0</v>
      </c>
      <c r="R205" s="47" t="n">
        <f aca="false">ROUND(U204*(1+Sorted!$H$5),2)</f>
        <v>0</v>
      </c>
      <c r="S205" s="47" t="n">
        <f aca="false">MIN(R205,Sorted!$G$5)</f>
        <v>0</v>
      </c>
      <c r="T205" s="47" t="n">
        <v>0</v>
      </c>
      <c r="U205" s="47" t="n">
        <f aca="false">ROUND(R205-S205-T205,2)</f>
        <v>0</v>
      </c>
      <c r="V205" s="47" t="n">
        <f aca="false">ROUND(Y204*(1+Sorted!$H$6),2)</f>
        <v>0</v>
      </c>
      <c r="W205" s="47" t="n">
        <f aca="false">MIN(V205,Sorted!$G$6)</f>
        <v>0</v>
      </c>
      <c r="X205" s="47" t="n">
        <v>0</v>
      </c>
      <c r="Y205" s="47" t="n">
        <f aca="false">ROUND(V205-W205-X205,2)</f>
        <v>0</v>
      </c>
      <c r="Z205" s="47" t="n">
        <f aca="false">ROUND(AC204*(1+Sorted!$H$7),2)</f>
        <v>0</v>
      </c>
      <c r="AA205" s="47" t="n">
        <f aca="false">MIN(Z205,Sorted!$G$7)</f>
        <v>0</v>
      </c>
      <c r="AB205" s="47" t="n">
        <v>0</v>
      </c>
      <c r="AC205" s="47" t="n">
        <f aca="false">ROUND(Z205-AA205-AB205,2)</f>
        <v>0</v>
      </c>
      <c r="AD205" s="47" t="n">
        <f aca="false">ROUND(AG204*(1+Sorted!$H$8),2)</f>
        <v>0</v>
      </c>
      <c r="AE205" s="47" t="n">
        <f aca="false">MIN(AD205,Sorted!$G$8)</f>
        <v>0</v>
      </c>
      <c r="AF205" s="47" t="n">
        <v>0</v>
      </c>
      <c r="AG205" s="47" t="n">
        <f aca="false">ROUND(AD205-AE205-AF205,2)</f>
        <v>0</v>
      </c>
      <c r="AH205" s="47" t="n">
        <f aca="false">ROUND(AK204*(1+Sorted!$H$9),2)</f>
        <v>0</v>
      </c>
      <c r="AI205" s="47" t="n">
        <f aca="false">MIN(AH205,Sorted!$G$9)</f>
        <v>0</v>
      </c>
      <c r="AJ205" s="47" t="n">
        <v>0</v>
      </c>
      <c r="AK205" s="47" t="n">
        <f aca="false">ROUND(AH205-AI205-AJ205,2)</f>
        <v>0</v>
      </c>
      <c r="AL205" s="47" t="n">
        <f aca="false">ROUND(AO204*(1+Sorted!$H$10),2)</f>
        <v>0</v>
      </c>
      <c r="AM205" s="47" t="n">
        <f aca="false">MIN(AL205,Sorted!$G$10)</f>
        <v>0</v>
      </c>
      <c r="AN205" s="47" t="n">
        <v>0</v>
      </c>
      <c r="AO205" s="47" t="n">
        <f aca="false">ROUND(AL205-AM205-AN205,2)</f>
        <v>0</v>
      </c>
      <c r="AP205" s="47" t="n">
        <f aca="false">ROUND(AS204*(1+Sorted!$H$11),2)</f>
        <v>0</v>
      </c>
      <c r="AQ205" s="47" t="n">
        <f aca="false">MIN(AP205,Sorted!$G$11)</f>
        <v>0</v>
      </c>
      <c r="AR205" s="47" t="n">
        <v>0</v>
      </c>
      <c r="AS205" s="47" t="n">
        <f aca="false">ROUND(AP205-AQ205-AR205,2)</f>
        <v>0</v>
      </c>
    </row>
    <row r="206" customFormat="false" ht="15" hidden="false" customHeight="false" outlineLevel="0" collapsed="false">
      <c r="A206" s="45" t="n">
        <v>203</v>
      </c>
      <c r="B206" s="46" t="n">
        <f aca="false">EDATE('My Debts'!$C$7,A206-1)</f>
        <v>52475</v>
      </c>
      <c r="C206" s="47" t="n">
        <v>0</v>
      </c>
      <c r="D206" s="47" t="n">
        <f aca="false">(F206+J206+N206+R206+V206+Z206+AD206+AH206+AL206+AP206)-(I206+M206+Q206+U206+Y206+AC206+AG206+AK206+AO206+AS206)</f>
        <v>0</v>
      </c>
      <c r="E206" s="48" t="n">
        <f aca="false">I206+M206+Q206+U206+Y206+AC206+AG206+AK206+AO206+AS206</f>
        <v>0</v>
      </c>
      <c r="F206" s="47" t="n">
        <f aca="false">ROUND(I205*(1+Sorted!$H$2),2)</f>
        <v>0</v>
      </c>
      <c r="G206" s="47" t="n">
        <f aca="false">MIN(F206,Sorted!$G$2)</f>
        <v>0</v>
      </c>
      <c r="H206" s="47" t="n">
        <v>0</v>
      </c>
      <c r="I206" s="47" t="n">
        <f aca="false">ROUND(F206-G206-H206,2)</f>
        <v>0</v>
      </c>
      <c r="J206" s="47" t="n">
        <f aca="false">ROUND(M205*(1+Sorted!$H$3),2)</f>
        <v>0</v>
      </c>
      <c r="K206" s="47" t="n">
        <f aca="false">MIN(J206,Sorted!$G$3)</f>
        <v>0</v>
      </c>
      <c r="L206" s="47" t="n">
        <v>0</v>
      </c>
      <c r="M206" s="47" t="n">
        <f aca="false">ROUND(J206-K206-L206,2)</f>
        <v>0</v>
      </c>
      <c r="N206" s="47" t="n">
        <f aca="false">ROUND(Q205*(1+Sorted!$H$4),2)</f>
        <v>0</v>
      </c>
      <c r="O206" s="47" t="n">
        <f aca="false">MIN(N206,Sorted!$G$4)</f>
        <v>0</v>
      </c>
      <c r="P206" s="47" t="n">
        <v>0</v>
      </c>
      <c r="Q206" s="47" t="n">
        <f aca="false">ROUND(N206-O206-P206,2)</f>
        <v>0</v>
      </c>
      <c r="R206" s="47" t="n">
        <f aca="false">ROUND(U205*(1+Sorted!$H$5),2)</f>
        <v>0</v>
      </c>
      <c r="S206" s="47" t="n">
        <f aca="false">MIN(R206,Sorted!$G$5)</f>
        <v>0</v>
      </c>
      <c r="T206" s="47" t="n">
        <v>0</v>
      </c>
      <c r="U206" s="47" t="n">
        <f aca="false">ROUND(R206-S206-T206,2)</f>
        <v>0</v>
      </c>
      <c r="V206" s="47" t="n">
        <f aca="false">ROUND(Y205*(1+Sorted!$H$6),2)</f>
        <v>0</v>
      </c>
      <c r="W206" s="47" t="n">
        <f aca="false">MIN(V206,Sorted!$G$6)</f>
        <v>0</v>
      </c>
      <c r="X206" s="47" t="n">
        <v>0</v>
      </c>
      <c r="Y206" s="47" t="n">
        <f aca="false">ROUND(V206-W206-X206,2)</f>
        <v>0</v>
      </c>
      <c r="Z206" s="47" t="n">
        <f aca="false">ROUND(AC205*(1+Sorted!$H$7),2)</f>
        <v>0</v>
      </c>
      <c r="AA206" s="47" t="n">
        <f aca="false">MIN(Z206,Sorted!$G$7)</f>
        <v>0</v>
      </c>
      <c r="AB206" s="47" t="n">
        <v>0</v>
      </c>
      <c r="AC206" s="47" t="n">
        <f aca="false">ROUND(Z206-AA206-AB206,2)</f>
        <v>0</v>
      </c>
      <c r="AD206" s="47" t="n">
        <f aca="false">ROUND(AG205*(1+Sorted!$H$8),2)</f>
        <v>0</v>
      </c>
      <c r="AE206" s="47" t="n">
        <f aca="false">MIN(AD206,Sorted!$G$8)</f>
        <v>0</v>
      </c>
      <c r="AF206" s="47" t="n">
        <v>0</v>
      </c>
      <c r="AG206" s="47" t="n">
        <f aca="false">ROUND(AD206-AE206-AF206,2)</f>
        <v>0</v>
      </c>
      <c r="AH206" s="47" t="n">
        <f aca="false">ROUND(AK205*(1+Sorted!$H$9),2)</f>
        <v>0</v>
      </c>
      <c r="AI206" s="47" t="n">
        <f aca="false">MIN(AH206,Sorted!$G$9)</f>
        <v>0</v>
      </c>
      <c r="AJ206" s="47" t="n">
        <v>0</v>
      </c>
      <c r="AK206" s="47" t="n">
        <f aca="false">ROUND(AH206-AI206-AJ206,2)</f>
        <v>0</v>
      </c>
      <c r="AL206" s="47" t="n">
        <f aca="false">ROUND(AO205*(1+Sorted!$H$10),2)</f>
        <v>0</v>
      </c>
      <c r="AM206" s="47" t="n">
        <f aca="false">MIN(AL206,Sorted!$G$10)</f>
        <v>0</v>
      </c>
      <c r="AN206" s="47" t="n">
        <v>0</v>
      </c>
      <c r="AO206" s="47" t="n">
        <f aca="false">ROUND(AL206-AM206-AN206,2)</f>
        <v>0</v>
      </c>
      <c r="AP206" s="47" t="n">
        <f aca="false">ROUND(AS205*(1+Sorted!$H$11),2)</f>
        <v>0</v>
      </c>
      <c r="AQ206" s="47" t="n">
        <f aca="false">MIN(AP206,Sorted!$G$11)</f>
        <v>0</v>
      </c>
      <c r="AR206" s="47" t="n">
        <v>0</v>
      </c>
      <c r="AS206" s="47" t="n">
        <f aca="false">ROUND(AP206-AQ206-AR206,2)</f>
        <v>0</v>
      </c>
    </row>
    <row r="207" customFormat="false" ht="15" hidden="false" customHeight="false" outlineLevel="0" collapsed="false">
      <c r="A207" s="45" t="n">
        <v>204</v>
      </c>
      <c r="B207" s="46" t="n">
        <f aca="false">EDATE('My Debts'!$C$7,A207-1)</f>
        <v>52505</v>
      </c>
      <c r="C207" s="47" t="n">
        <v>0</v>
      </c>
      <c r="D207" s="47" t="n">
        <f aca="false">(F207+J207+N207+R207+V207+Z207+AD207+AH207+AL207+AP207)-(I207+M207+Q207+U207+Y207+AC207+AG207+AK207+AO207+AS207)</f>
        <v>0</v>
      </c>
      <c r="E207" s="48" t="n">
        <f aca="false">I207+M207+Q207+U207+Y207+AC207+AG207+AK207+AO207+AS207</f>
        <v>0</v>
      </c>
      <c r="F207" s="47" t="n">
        <f aca="false">ROUND(I206*(1+Sorted!$H$2),2)</f>
        <v>0</v>
      </c>
      <c r="G207" s="47" t="n">
        <f aca="false">MIN(F207,Sorted!$G$2)</f>
        <v>0</v>
      </c>
      <c r="H207" s="47" t="n">
        <v>0</v>
      </c>
      <c r="I207" s="47" t="n">
        <f aca="false">ROUND(F207-G207-H207,2)</f>
        <v>0</v>
      </c>
      <c r="J207" s="47" t="n">
        <f aca="false">ROUND(M206*(1+Sorted!$H$3),2)</f>
        <v>0</v>
      </c>
      <c r="K207" s="47" t="n">
        <f aca="false">MIN(J207,Sorted!$G$3)</f>
        <v>0</v>
      </c>
      <c r="L207" s="47" t="n">
        <v>0</v>
      </c>
      <c r="M207" s="47" t="n">
        <f aca="false">ROUND(J207-K207-L207,2)</f>
        <v>0</v>
      </c>
      <c r="N207" s="47" t="n">
        <f aca="false">ROUND(Q206*(1+Sorted!$H$4),2)</f>
        <v>0</v>
      </c>
      <c r="O207" s="47" t="n">
        <f aca="false">MIN(N207,Sorted!$G$4)</f>
        <v>0</v>
      </c>
      <c r="P207" s="47" t="n">
        <v>0</v>
      </c>
      <c r="Q207" s="47" t="n">
        <f aca="false">ROUND(N207-O207-P207,2)</f>
        <v>0</v>
      </c>
      <c r="R207" s="47" t="n">
        <f aca="false">ROUND(U206*(1+Sorted!$H$5),2)</f>
        <v>0</v>
      </c>
      <c r="S207" s="47" t="n">
        <f aca="false">MIN(R207,Sorted!$G$5)</f>
        <v>0</v>
      </c>
      <c r="T207" s="47" t="n">
        <v>0</v>
      </c>
      <c r="U207" s="47" t="n">
        <f aca="false">ROUND(R207-S207-T207,2)</f>
        <v>0</v>
      </c>
      <c r="V207" s="47" t="n">
        <f aca="false">ROUND(Y206*(1+Sorted!$H$6),2)</f>
        <v>0</v>
      </c>
      <c r="W207" s="47" t="n">
        <f aca="false">MIN(V207,Sorted!$G$6)</f>
        <v>0</v>
      </c>
      <c r="X207" s="47" t="n">
        <v>0</v>
      </c>
      <c r="Y207" s="47" t="n">
        <f aca="false">ROUND(V207-W207-X207,2)</f>
        <v>0</v>
      </c>
      <c r="Z207" s="47" t="n">
        <f aca="false">ROUND(AC206*(1+Sorted!$H$7),2)</f>
        <v>0</v>
      </c>
      <c r="AA207" s="47" t="n">
        <f aca="false">MIN(Z207,Sorted!$G$7)</f>
        <v>0</v>
      </c>
      <c r="AB207" s="47" t="n">
        <v>0</v>
      </c>
      <c r="AC207" s="47" t="n">
        <f aca="false">ROUND(Z207-AA207-AB207,2)</f>
        <v>0</v>
      </c>
      <c r="AD207" s="47" t="n">
        <f aca="false">ROUND(AG206*(1+Sorted!$H$8),2)</f>
        <v>0</v>
      </c>
      <c r="AE207" s="47" t="n">
        <f aca="false">MIN(AD207,Sorted!$G$8)</f>
        <v>0</v>
      </c>
      <c r="AF207" s="47" t="n">
        <v>0</v>
      </c>
      <c r="AG207" s="47" t="n">
        <f aca="false">ROUND(AD207-AE207-AF207,2)</f>
        <v>0</v>
      </c>
      <c r="AH207" s="47" t="n">
        <f aca="false">ROUND(AK206*(1+Sorted!$H$9),2)</f>
        <v>0</v>
      </c>
      <c r="AI207" s="47" t="n">
        <f aca="false">MIN(AH207,Sorted!$G$9)</f>
        <v>0</v>
      </c>
      <c r="AJ207" s="47" t="n">
        <v>0</v>
      </c>
      <c r="AK207" s="47" t="n">
        <f aca="false">ROUND(AH207-AI207-AJ207,2)</f>
        <v>0</v>
      </c>
      <c r="AL207" s="47" t="n">
        <f aca="false">ROUND(AO206*(1+Sorted!$H$10),2)</f>
        <v>0</v>
      </c>
      <c r="AM207" s="47" t="n">
        <f aca="false">MIN(AL207,Sorted!$G$10)</f>
        <v>0</v>
      </c>
      <c r="AN207" s="47" t="n">
        <v>0</v>
      </c>
      <c r="AO207" s="47" t="n">
        <f aca="false">ROUND(AL207-AM207-AN207,2)</f>
        <v>0</v>
      </c>
      <c r="AP207" s="47" t="n">
        <f aca="false">ROUND(AS206*(1+Sorted!$H$11),2)</f>
        <v>0</v>
      </c>
      <c r="AQ207" s="47" t="n">
        <f aca="false">MIN(AP207,Sorted!$G$11)</f>
        <v>0</v>
      </c>
      <c r="AR207" s="47" t="n">
        <v>0</v>
      </c>
      <c r="AS207" s="47" t="n">
        <f aca="false">ROUND(AP207-AQ207-AR207,2)</f>
        <v>0</v>
      </c>
    </row>
    <row r="208" customFormat="false" ht="15" hidden="false" customHeight="false" outlineLevel="0" collapsed="false">
      <c r="A208" s="45" t="n">
        <v>205</v>
      </c>
      <c r="B208" s="46" t="n">
        <f aca="false">EDATE('My Debts'!$C$7,A208-1)</f>
        <v>52536</v>
      </c>
      <c r="C208" s="47" t="n">
        <v>0</v>
      </c>
      <c r="D208" s="47" t="n">
        <f aca="false">(F208+J208+N208+R208+V208+Z208+AD208+AH208+AL208+AP208)-(I208+M208+Q208+U208+Y208+AC208+AG208+AK208+AO208+AS208)</f>
        <v>0</v>
      </c>
      <c r="E208" s="48" t="n">
        <f aca="false">I208+M208+Q208+U208+Y208+AC208+AG208+AK208+AO208+AS208</f>
        <v>0</v>
      </c>
      <c r="F208" s="47" t="n">
        <f aca="false">ROUND(I207*(1+Sorted!$H$2),2)</f>
        <v>0</v>
      </c>
      <c r="G208" s="47" t="n">
        <f aca="false">MIN(F208,Sorted!$G$2)</f>
        <v>0</v>
      </c>
      <c r="H208" s="47" t="n">
        <v>0</v>
      </c>
      <c r="I208" s="47" t="n">
        <f aca="false">ROUND(F208-G208-H208,2)</f>
        <v>0</v>
      </c>
      <c r="J208" s="47" t="n">
        <f aca="false">ROUND(M207*(1+Sorted!$H$3),2)</f>
        <v>0</v>
      </c>
      <c r="K208" s="47" t="n">
        <f aca="false">MIN(J208,Sorted!$G$3)</f>
        <v>0</v>
      </c>
      <c r="L208" s="47" t="n">
        <v>0</v>
      </c>
      <c r="M208" s="47" t="n">
        <f aca="false">ROUND(J208-K208-L208,2)</f>
        <v>0</v>
      </c>
      <c r="N208" s="47" t="n">
        <f aca="false">ROUND(Q207*(1+Sorted!$H$4),2)</f>
        <v>0</v>
      </c>
      <c r="O208" s="47" t="n">
        <f aca="false">MIN(N208,Sorted!$G$4)</f>
        <v>0</v>
      </c>
      <c r="P208" s="47" t="n">
        <v>0</v>
      </c>
      <c r="Q208" s="47" t="n">
        <f aca="false">ROUND(N208-O208-P208,2)</f>
        <v>0</v>
      </c>
      <c r="R208" s="47" t="n">
        <f aca="false">ROUND(U207*(1+Sorted!$H$5),2)</f>
        <v>0</v>
      </c>
      <c r="S208" s="47" t="n">
        <f aca="false">MIN(R208,Sorted!$G$5)</f>
        <v>0</v>
      </c>
      <c r="T208" s="47" t="n">
        <v>0</v>
      </c>
      <c r="U208" s="47" t="n">
        <f aca="false">ROUND(R208-S208-T208,2)</f>
        <v>0</v>
      </c>
      <c r="V208" s="47" t="n">
        <f aca="false">ROUND(Y207*(1+Sorted!$H$6),2)</f>
        <v>0</v>
      </c>
      <c r="W208" s="47" t="n">
        <f aca="false">MIN(V208,Sorted!$G$6)</f>
        <v>0</v>
      </c>
      <c r="X208" s="47" t="n">
        <v>0</v>
      </c>
      <c r="Y208" s="47" t="n">
        <f aca="false">ROUND(V208-W208-X208,2)</f>
        <v>0</v>
      </c>
      <c r="Z208" s="47" t="n">
        <f aca="false">ROUND(AC207*(1+Sorted!$H$7),2)</f>
        <v>0</v>
      </c>
      <c r="AA208" s="47" t="n">
        <f aca="false">MIN(Z208,Sorted!$G$7)</f>
        <v>0</v>
      </c>
      <c r="AB208" s="47" t="n">
        <v>0</v>
      </c>
      <c r="AC208" s="47" t="n">
        <f aca="false">ROUND(Z208-AA208-AB208,2)</f>
        <v>0</v>
      </c>
      <c r="AD208" s="47" t="n">
        <f aca="false">ROUND(AG207*(1+Sorted!$H$8),2)</f>
        <v>0</v>
      </c>
      <c r="AE208" s="47" t="n">
        <f aca="false">MIN(AD208,Sorted!$G$8)</f>
        <v>0</v>
      </c>
      <c r="AF208" s="47" t="n">
        <v>0</v>
      </c>
      <c r="AG208" s="47" t="n">
        <f aca="false">ROUND(AD208-AE208-AF208,2)</f>
        <v>0</v>
      </c>
      <c r="AH208" s="47" t="n">
        <f aca="false">ROUND(AK207*(1+Sorted!$H$9),2)</f>
        <v>0</v>
      </c>
      <c r="AI208" s="47" t="n">
        <f aca="false">MIN(AH208,Sorted!$G$9)</f>
        <v>0</v>
      </c>
      <c r="AJ208" s="47" t="n">
        <v>0</v>
      </c>
      <c r="AK208" s="47" t="n">
        <f aca="false">ROUND(AH208-AI208-AJ208,2)</f>
        <v>0</v>
      </c>
      <c r="AL208" s="47" t="n">
        <f aca="false">ROUND(AO207*(1+Sorted!$H$10),2)</f>
        <v>0</v>
      </c>
      <c r="AM208" s="47" t="n">
        <f aca="false">MIN(AL208,Sorted!$G$10)</f>
        <v>0</v>
      </c>
      <c r="AN208" s="47" t="n">
        <v>0</v>
      </c>
      <c r="AO208" s="47" t="n">
        <f aca="false">ROUND(AL208-AM208-AN208,2)</f>
        <v>0</v>
      </c>
      <c r="AP208" s="47" t="n">
        <f aca="false">ROUND(AS207*(1+Sorted!$H$11),2)</f>
        <v>0</v>
      </c>
      <c r="AQ208" s="47" t="n">
        <f aca="false">MIN(AP208,Sorted!$G$11)</f>
        <v>0</v>
      </c>
      <c r="AR208" s="47" t="n">
        <v>0</v>
      </c>
      <c r="AS208" s="47" t="n">
        <f aca="false">ROUND(AP208-AQ208-AR208,2)</f>
        <v>0</v>
      </c>
    </row>
    <row r="209" customFormat="false" ht="15" hidden="false" customHeight="false" outlineLevel="0" collapsed="false">
      <c r="A209" s="45" t="n">
        <v>206</v>
      </c>
      <c r="B209" s="46" t="n">
        <f aca="false">EDATE('My Debts'!$C$7,A209-1)</f>
        <v>52566</v>
      </c>
      <c r="C209" s="47" t="n">
        <v>0</v>
      </c>
      <c r="D209" s="47" t="n">
        <f aca="false">(F209+J209+N209+R209+V209+Z209+AD209+AH209+AL209+AP209)-(I209+M209+Q209+U209+Y209+AC209+AG209+AK209+AO209+AS209)</f>
        <v>0</v>
      </c>
      <c r="E209" s="48" t="n">
        <f aca="false">I209+M209+Q209+U209+Y209+AC209+AG209+AK209+AO209+AS209</f>
        <v>0</v>
      </c>
      <c r="F209" s="47" t="n">
        <f aca="false">ROUND(I208*(1+Sorted!$H$2),2)</f>
        <v>0</v>
      </c>
      <c r="G209" s="47" t="n">
        <f aca="false">MIN(F209,Sorted!$G$2)</f>
        <v>0</v>
      </c>
      <c r="H209" s="47" t="n">
        <v>0</v>
      </c>
      <c r="I209" s="47" t="n">
        <f aca="false">ROUND(F209-G209-H209,2)</f>
        <v>0</v>
      </c>
      <c r="J209" s="47" t="n">
        <f aca="false">ROUND(M208*(1+Sorted!$H$3),2)</f>
        <v>0</v>
      </c>
      <c r="K209" s="47" t="n">
        <f aca="false">MIN(J209,Sorted!$G$3)</f>
        <v>0</v>
      </c>
      <c r="L209" s="47" t="n">
        <v>0</v>
      </c>
      <c r="M209" s="47" t="n">
        <f aca="false">ROUND(J209-K209-L209,2)</f>
        <v>0</v>
      </c>
      <c r="N209" s="47" t="n">
        <f aca="false">ROUND(Q208*(1+Sorted!$H$4),2)</f>
        <v>0</v>
      </c>
      <c r="O209" s="47" t="n">
        <f aca="false">MIN(N209,Sorted!$G$4)</f>
        <v>0</v>
      </c>
      <c r="P209" s="47" t="n">
        <v>0</v>
      </c>
      <c r="Q209" s="47" t="n">
        <f aca="false">ROUND(N209-O209-P209,2)</f>
        <v>0</v>
      </c>
      <c r="R209" s="47" t="n">
        <f aca="false">ROUND(U208*(1+Sorted!$H$5),2)</f>
        <v>0</v>
      </c>
      <c r="S209" s="47" t="n">
        <f aca="false">MIN(R209,Sorted!$G$5)</f>
        <v>0</v>
      </c>
      <c r="T209" s="47" t="n">
        <v>0</v>
      </c>
      <c r="U209" s="47" t="n">
        <f aca="false">ROUND(R209-S209-T209,2)</f>
        <v>0</v>
      </c>
      <c r="V209" s="47" t="n">
        <f aca="false">ROUND(Y208*(1+Sorted!$H$6),2)</f>
        <v>0</v>
      </c>
      <c r="W209" s="47" t="n">
        <f aca="false">MIN(V209,Sorted!$G$6)</f>
        <v>0</v>
      </c>
      <c r="X209" s="47" t="n">
        <v>0</v>
      </c>
      <c r="Y209" s="47" t="n">
        <f aca="false">ROUND(V209-W209-X209,2)</f>
        <v>0</v>
      </c>
      <c r="Z209" s="47" t="n">
        <f aca="false">ROUND(AC208*(1+Sorted!$H$7),2)</f>
        <v>0</v>
      </c>
      <c r="AA209" s="47" t="n">
        <f aca="false">MIN(Z209,Sorted!$G$7)</f>
        <v>0</v>
      </c>
      <c r="AB209" s="47" t="n">
        <v>0</v>
      </c>
      <c r="AC209" s="47" t="n">
        <f aca="false">ROUND(Z209-AA209-AB209,2)</f>
        <v>0</v>
      </c>
      <c r="AD209" s="47" t="n">
        <f aca="false">ROUND(AG208*(1+Sorted!$H$8),2)</f>
        <v>0</v>
      </c>
      <c r="AE209" s="47" t="n">
        <f aca="false">MIN(AD209,Sorted!$G$8)</f>
        <v>0</v>
      </c>
      <c r="AF209" s="47" t="n">
        <v>0</v>
      </c>
      <c r="AG209" s="47" t="n">
        <f aca="false">ROUND(AD209-AE209-AF209,2)</f>
        <v>0</v>
      </c>
      <c r="AH209" s="47" t="n">
        <f aca="false">ROUND(AK208*(1+Sorted!$H$9),2)</f>
        <v>0</v>
      </c>
      <c r="AI209" s="47" t="n">
        <f aca="false">MIN(AH209,Sorted!$G$9)</f>
        <v>0</v>
      </c>
      <c r="AJ209" s="47" t="n">
        <v>0</v>
      </c>
      <c r="AK209" s="47" t="n">
        <f aca="false">ROUND(AH209-AI209-AJ209,2)</f>
        <v>0</v>
      </c>
      <c r="AL209" s="47" t="n">
        <f aca="false">ROUND(AO208*(1+Sorted!$H$10),2)</f>
        <v>0</v>
      </c>
      <c r="AM209" s="47" t="n">
        <f aca="false">MIN(AL209,Sorted!$G$10)</f>
        <v>0</v>
      </c>
      <c r="AN209" s="47" t="n">
        <v>0</v>
      </c>
      <c r="AO209" s="47" t="n">
        <f aca="false">ROUND(AL209-AM209-AN209,2)</f>
        <v>0</v>
      </c>
      <c r="AP209" s="47" t="n">
        <f aca="false">ROUND(AS208*(1+Sorted!$H$11),2)</f>
        <v>0</v>
      </c>
      <c r="AQ209" s="47" t="n">
        <f aca="false">MIN(AP209,Sorted!$G$11)</f>
        <v>0</v>
      </c>
      <c r="AR209" s="47" t="n">
        <v>0</v>
      </c>
      <c r="AS209" s="47" t="n">
        <f aca="false">ROUND(AP209-AQ209-AR209,2)</f>
        <v>0</v>
      </c>
    </row>
    <row r="210" customFormat="false" ht="15" hidden="false" customHeight="false" outlineLevel="0" collapsed="false">
      <c r="A210" s="45" t="n">
        <v>207</v>
      </c>
      <c r="B210" s="46" t="n">
        <f aca="false">EDATE('My Debts'!$C$7,A210-1)</f>
        <v>52597</v>
      </c>
      <c r="C210" s="47" t="n">
        <v>0</v>
      </c>
      <c r="D210" s="47" t="n">
        <f aca="false">(F210+J210+N210+R210+V210+Z210+AD210+AH210+AL210+AP210)-(I210+M210+Q210+U210+Y210+AC210+AG210+AK210+AO210+AS210)</f>
        <v>0</v>
      </c>
      <c r="E210" s="48" t="n">
        <f aca="false">I210+M210+Q210+U210+Y210+AC210+AG210+AK210+AO210+AS210</f>
        <v>0</v>
      </c>
      <c r="F210" s="47" t="n">
        <f aca="false">ROUND(I209*(1+Sorted!$H$2),2)</f>
        <v>0</v>
      </c>
      <c r="G210" s="47" t="n">
        <f aca="false">MIN(F210,Sorted!$G$2)</f>
        <v>0</v>
      </c>
      <c r="H210" s="47" t="n">
        <v>0</v>
      </c>
      <c r="I210" s="47" t="n">
        <f aca="false">ROUND(F210-G210-H210,2)</f>
        <v>0</v>
      </c>
      <c r="J210" s="47" t="n">
        <f aca="false">ROUND(M209*(1+Sorted!$H$3),2)</f>
        <v>0</v>
      </c>
      <c r="K210" s="47" t="n">
        <f aca="false">MIN(J210,Sorted!$G$3)</f>
        <v>0</v>
      </c>
      <c r="L210" s="47" t="n">
        <v>0</v>
      </c>
      <c r="M210" s="47" t="n">
        <f aca="false">ROUND(J210-K210-L210,2)</f>
        <v>0</v>
      </c>
      <c r="N210" s="47" t="n">
        <f aca="false">ROUND(Q209*(1+Sorted!$H$4),2)</f>
        <v>0</v>
      </c>
      <c r="O210" s="47" t="n">
        <f aca="false">MIN(N210,Sorted!$G$4)</f>
        <v>0</v>
      </c>
      <c r="P210" s="47" t="n">
        <v>0</v>
      </c>
      <c r="Q210" s="47" t="n">
        <f aca="false">ROUND(N210-O210-P210,2)</f>
        <v>0</v>
      </c>
      <c r="R210" s="47" t="n">
        <f aca="false">ROUND(U209*(1+Sorted!$H$5),2)</f>
        <v>0</v>
      </c>
      <c r="S210" s="47" t="n">
        <f aca="false">MIN(R210,Sorted!$G$5)</f>
        <v>0</v>
      </c>
      <c r="T210" s="47" t="n">
        <v>0</v>
      </c>
      <c r="U210" s="47" t="n">
        <f aca="false">ROUND(R210-S210-T210,2)</f>
        <v>0</v>
      </c>
      <c r="V210" s="47" t="n">
        <f aca="false">ROUND(Y209*(1+Sorted!$H$6),2)</f>
        <v>0</v>
      </c>
      <c r="W210" s="47" t="n">
        <f aca="false">MIN(V210,Sorted!$G$6)</f>
        <v>0</v>
      </c>
      <c r="X210" s="47" t="n">
        <v>0</v>
      </c>
      <c r="Y210" s="47" t="n">
        <f aca="false">ROUND(V210-W210-X210,2)</f>
        <v>0</v>
      </c>
      <c r="Z210" s="47" t="n">
        <f aca="false">ROUND(AC209*(1+Sorted!$H$7),2)</f>
        <v>0</v>
      </c>
      <c r="AA210" s="47" t="n">
        <f aca="false">MIN(Z210,Sorted!$G$7)</f>
        <v>0</v>
      </c>
      <c r="AB210" s="47" t="n">
        <v>0</v>
      </c>
      <c r="AC210" s="47" t="n">
        <f aca="false">ROUND(Z210-AA210-AB210,2)</f>
        <v>0</v>
      </c>
      <c r="AD210" s="47" t="n">
        <f aca="false">ROUND(AG209*(1+Sorted!$H$8),2)</f>
        <v>0</v>
      </c>
      <c r="AE210" s="47" t="n">
        <f aca="false">MIN(AD210,Sorted!$G$8)</f>
        <v>0</v>
      </c>
      <c r="AF210" s="47" t="n">
        <v>0</v>
      </c>
      <c r="AG210" s="47" t="n">
        <f aca="false">ROUND(AD210-AE210-AF210,2)</f>
        <v>0</v>
      </c>
      <c r="AH210" s="47" t="n">
        <f aca="false">ROUND(AK209*(1+Sorted!$H$9),2)</f>
        <v>0</v>
      </c>
      <c r="AI210" s="47" t="n">
        <f aca="false">MIN(AH210,Sorted!$G$9)</f>
        <v>0</v>
      </c>
      <c r="AJ210" s="47" t="n">
        <v>0</v>
      </c>
      <c r="AK210" s="47" t="n">
        <f aca="false">ROUND(AH210-AI210-AJ210,2)</f>
        <v>0</v>
      </c>
      <c r="AL210" s="47" t="n">
        <f aca="false">ROUND(AO209*(1+Sorted!$H$10),2)</f>
        <v>0</v>
      </c>
      <c r="AM210" s="47" t="n">
        <f aca="false">MIN(AL210,Sorted!$G$10)</f>
        <v>0</v>
      </c>
      <c r="AN210" s="47" t="n">
        <v>0</v>
      </c>
      <c r="AO210" s="47" t="n">
        <f aca="false">ROUND(AL210-AM210-AN210,2)</f>
        <v>0</v>
      </c>
      <c r="AP210" s="47" t="n">
        <f aca="false">ROUND(AS209*(1+Sorted!$H$11),2)</f>
        <v>0</v>
      </c>
      <c r="AQ210" s="47" t="n">
        <f aca="false">MIN(AP210,Sorted!$G$11)</f>
        <v>0</v>
      </c>
      <c r="AR210" s="47" t="n">
        <v>0</v>
      </c>
      <c r="AS210" s="47" t="n">
        <f aca="false">ROUND(AP210-AQ210-AR210,2)</f>
        <v>0</v>
      </c>
    </row>
    <row r="211" customFormat="false" ht="15" hidden="false" customHeight="false" outlineLevel="0" collapsed="false">
      <c r="A211" s="45" t="n">
        <v>208</v>
      </c>
      <c r="B211" s="46" t="n">
        <f aca="false">EDATE('My Debts'!$C$7,A211-1)</f>
        <v>52628</v>
      </c>
      <c r="C211" s="47" t="n">
        <v>0</v>
      </c>
      <c r="D211" s="47" t="n">
        <f aca="false">(F211+J211+N211+R211+V211+Z211+AD211+AH211+AL211+AP211)-(I211+M211+Q211+U211+Y211+AC211+AG211+AK211+AO211+AS211)</f>
        <v>0</v>
      </c>
      <c r="E211" s="48" t="n">
        <f aca="false">I211+M211+Q211+U211+Y211+AC211+AG211+AK211+AO211+AS211</f>
        <v>0</v>
      </c>
      <c r="F211" s="47" t="n">
        <f aca="false">ROUND(I210*(1+Sorted!$H$2),2)</f>
        <v>0</v>
      </c>
      <c r="G211" s="47" t="n">
        <f aca="false">MIN(F211,Sorted!$G$2)</f>
        <v>0</v>
      </c>
      <c r="H211" s="47" t="n">
        <v>0</v>
      </c>
      <c r="I211" s="47" t="n">
        <f aca="false">ROUND(F211-G211-H211,2)</f>
        <v>0</v>
      </c>
      <c r="J211" s="47" t="n">
        <f aca="false">ROUND(M210*(1+Sorted!$H$3),2)</f>
        <v>0</v>
      </c>
      <c r="K211" s="47" t="n">
        <f aca="false">MIN(J211,Sorted!$G$3)</f>
        <v>0</v>
      </c>
      <c r="L211" s="47" t="n">
        <v>0</v>
      </c>
      <c r="M211" s="47" t="n">
        <f aca="false">ROUND(J211-K211-L211,2)</f>
        <v>0</v>
      </c>
      <c r="N211" s="47" t="n">
        <f aca="false">ROUND(Q210*(1+Sorted!$H$4),2)</f>
        <v>0</v>
      </c>
      <c r="O211" s="47" t="n">
        <f aca="false">MIN(N211,Sorted!$G$4)</f>
        <v>0</v>
      </c>
      <c r="P211" s="47" t="n">
        <v>0</v>
      </c>
      <c r="Q211" s="47" t="n">
        <f aca="false">ROUND(N211-O211-P211,2)</f>
        <v>0</v>
      </c>
      <c r="R211" s="47" t="n">
        <f aca="false">ROUND(U210*(1+Sorted!$H$5),2)</f>
        <v>0</v>
      </c>
      <c r="S211" s="47" t="n">
        <f aca="false">MIN(R211,Sorted!$G$5)</f>
        <v>0</v>
      </c>
      <c r="T211" s="47" t="n">
        <v>0</v>
      </c>
      <c r="U211" s="47" t="n">
        <f aca="false">ROUND(R211-S211-T211,2)</f>
        <v>0</v>
      </c>
      <c r="V211" s="47" t="n">
        <f aca="false">ROUND(Y210*(1+Sorted!$H$6),2)</f>
        <v>0</v>
      </c>
      <c r="W211" s="47" t="n">
        <f aca="false">MIN(V211,Sorted!$G$6)</f>
        <v>0</v>
      </c>
      <c r="X211" s="47" t="n">
        <v>0</v>
      </c>
      <c r="Y211" s="47" t="n">
        <f aca="false">ROUND(V211-W211-X211,2)</f>
        <v>0</v>
      </c>
      <c r="Z211" s="47" t="n">
        <f aca="false">ROUND(AC210*(1+Sorted!$H$7),2)</f>
        <v>0</v>
      </c>
      <c r="AA211" s="47" t="n">
        <f aca="false">MIN(Z211,Sorted!$G$7)</f>
        <v>0</v>
      </c>
      <c r="AB211" s="47" t="n">
        <v>0</v>
      </c>
      <c r="AC211" s="47" t="n">
        <f aca="false">ROUND(Z211-AA211-AB211,2)</f>
        <v>0</v>
      </c>
      <c r="AD211" s="47" t="n">
        <f aca="false">ROUND(AG210*(1+Sorted!$H$8),2)</f>
        <v>0</v>
      </c>
      <c r="AE211" s="47" t="n">
        <f aca="false">MIN(AD211,Sorted!$G$8)</f>
        <v>0</v>
      </c>
      <c r="AF211" s="47" t="n">
        <v>0</v>
      </c>
      <c r="AG211" s="47" t="n">
        <f aca="false">ROUND(AD211-AE211-AF211,2)</f>
        <v>0</v>
      </c>
      <c r="AH211" s="47" t="n">
        <f aca="false">ROUND(AK210*(1+Sorted!$H$9),2)</f>
        <v>0</v>
      </c>
      <c r="AI211" s="47" t="n">
        <f aca="false">MIN(AH211,Sorted!$G$9)</f>
        <v>0</v>
      </c>
      <c r="AJ211" s="47" t="n">
        <v>0</v>
      </c>
      <c r="AK211" s="47" t="n">
        <f aca="false">ROUND(AH211-AI211-AJ211,2)</f>
        <v>0</v>
      </c>
      <c r="AL211" s="47" t="n">
        <f aca="false">ROUND(AO210*(1+Sorted!$H$10),2)</f>
        <v>0</v>
      </c>
      <c r="AM211" s="47" t="n">
        <f aca="false">MIN(AL211,Sorted!$G$10)</f>
        <v>0</v>
      </c>
      <c r="AN211" s="47" t="n">
        <v>0</v>
      </c>
      <c r="AO211" s="47" t="n">
        <f aca="false">ROUND(AL211-AM211-AN211,2)</f>
        <v>0</v>
      </c>
      <c r="AP211" s="47" t="n">
        <f aca="false">ROUND(AS210*(1+Sorted!$H$11),2)</f>
        <v>0</v>
      </c>
      <c r="AQ211" s="47" t="n">
        <f aca="false">MIN(AP211,Sorted!$G$11)</f>
        <v>0</v>
      </c>
      <c r="AR211" s="47" t="n">
        <v>0</v>
      </c>
      <c r="AS211" s="47" t="n">
        <f aca="false">ROUND(AP211-AQ211-AR211,2)</f>
        <v>0</v>
      </c>
    </row>
    <row r="212" customFormat="false" ht="15" hidden="false" customHeight="false" outlineLevel="0" collapsed="false">
      <c r="A212" s="45" t="n">
        <v>209</v>
      </c>
      <c r="B212" s="46" t="n">
        <f aca="false">EDATE('My Debts'!$C$7,A212-1)</f>
        <v>52657</v>
      </c>
      <c r="C212" s="47" t="n">
        <v>0</v>
      </c>
      <c r="D212" s="47" t="n">
        <f aca="false">(F212+J212+N212+R212+V212+Z212+AD212+AH212+AL212+AP212)-(I212+M212+Q212+U212+Y212+AC212+AG212+AK212+AO212+AS212)</f>
        <v>0</v>
      </c>
      <c r="E212" s="48" t="n">
        <f aca="false">I212+M212+Q212+U212+Y212+AC212+AG212+AK212+AO212+AS212</f>
        <v>0</v>
      </c>
      <c r="F212" s="47" t="n">
        <f aca="false">ROUND(I211*(1+Sorted!$H$2),2)</f>
        <v>0</v>
      </c>
      <c r="G212" s="47" t="n">
        <f aca="false">MIN(F212,Sorted!$G$2)</f>
        <v>0</v>
      </c>
      <c r="H212" s="47" t="n">
        <v>0</v>
      </c>
      <c r="I212" s="47" t="n">
        <f aca="false">ROUND(F212-G212-H212,2)</f>
        <v>0</v>
      </c>
      <c r="J212" s="47" t="n">
        <f aca="false">ROUND(M211*(1+Sorted!$H$3),2)</f>
        <v>0</v>
      </c>
      <c r="K212" s="47" t="n">
        <f aca="false">MIN(J212,Sorted!$G$3)</f>
        <v>0</v>
      </c>
      <c r="L212" s="47" t="n">
        <v>0</v>
      </c>
      <c r="M212" s="47" t="n">
        <f aca="false">ROUND(J212-K212-L212,2)</f>
        <v>0</v>
      </c>
      <c r="N212" s="47" t="n">
        <f aca="false">ROUND(Q211*(1+Sorted!$H$4),2)</f>
        <v>0</v>
      </c>
      <c r="O212" s="47" t="n">
        <f aca="false">MIN(N212,Sorted!$G$4)</f>
        <v>0</v>
      </c>
      <c r="P212" s="47" t="n">
        <v>0</v>
      </c>
      <c r="Q212" s="47" t="n">
        <f aca="false">ROUND(N212-O212-P212,2)</f>
        <v>0</v>
      </c>
      <c r="R212" s="47" t="n">
        <f aca="false">ROUND(U211*(1+Sorted!$H$5),2)</f>
        <v>0</v>
      </c>
      <c r="S212" s="47" t="n">
        <f aca="false">MIN(R212,Sorted!$G$5)</f>
        <v>0</v>
      </c>
      <c r="T212" s="47" t="n">
        <v>0</v>
      </c>
      <c r="U212" s="47" t="n">
        <f aca="false">ROUND(R212-S212-T212,2)</f>
        <v>0</v>
      </c>
      <c r="V212" s="47" t="n">
        <f aca="false">ROUND(Y211*(1+Sorted!$H$6),2)</f>
        <v>0</v>
      </c>
      <c r="W212" s="47" t="n">
        <f aca="false">MIN(V212,Sorted!$G$6)</f>
        <v>0</v>
      </c>
      <c r="X212" s="47" t="n">
        <v>0</v>
      </c>
      <c r="Y212" s="47" t="n">
        <f aca="false">ROUND(V212-W212-X212,2)</f>
        <v>0</v>
      </c>
      <c r="Z212" s="47" t="n">
        <f aca="false">ROUND(AC211*(1+Sorted!$H$7),2)</f>
        <v>0</v>
      </c>
      <c r="AA212" s="47" t="n">
        <f aca="false">MIN(Z212,Sorted!$G$7)</f>
        <v>0</v>
      </c>
      <c r="AB212" s="47" t="n">
        <v>0</v>
      </c>
      <c r="AC212" s="47" t="n">
        <f aca="false">ROUND(Z212-AA212-AB212,2)</f>
        <v>0</v>
      </c>
      <c r="AD212" s="47" t="n">
        <f aca="false">ROUND(AG211*(1+Sorted!$H$8),2)</f>
        <v>0</v>
      </c>
      <c r="AE212" s="47" t="n">
        <f aca="false">MIN(AD212,Sorted!$G$8)</f>
        <v>0</v>
      </c>
      <c r="AF212" s="47" t="n">
        <v>0</v>
      </c>
      <c r="AG212" s="47" t="n">
        <f aca="false">ROUND(AD212-AE212-AF212,2)</f>
        <v>0</v>
      </c>
      <c r="AH212" s="47" t="n">
        <f aca="false">ROUND(AK211*(1+Sorted!$H$9),2)</f>
        <v>0</v>
      </c>
      <c r="AI212" s="47" t="n">
        <f aca="false">MIN(AH212,Sorted!$G$9)</f>
        <v>0</v>
      </c>
      <c r="AJ212" s="47" t="n">
        <v>0</v>
      </c>
      <c r="AK212" s="47" t="n">
        <f aca="false">ROUND(AH212-AI212-AJ212,2)</f>
        <v>0</v>
      </c>
      <c r="AL212" s="47" t="n">
        <f aca="false">ROUND(AO211*(1+Sorted!$H$10),2)</f>
        <v>0</v>
      </c>
      <c r="AM212" s="47" t="n">
        <f aca="false">MIN(AL212,Sorted!$G$10)</f>
        <v>0</v>
      </c>
      <c r="AN212" s="47" t="n">
        <v>0</v>
      </c>
      <c r="AO212" s="47" t="n">
        <f aca="false">ROUND(AL212-AM212-AN212,2)</f>
        <v>0</v>
      </c>
      <c r="AP212" s="47" t="n">
        <f aca="false">ROUND(AS211*(1+Sorted!$H$11),2)</f>
        <v>0</v>
      </c>
      <c r="AQ212" s="47" t="n">
        <f aca="false">MIN(AP212,Sorted!$G$11)</f>
        <v>0</v>
      </c>
      <c r="AR212" s="47" t="n">
        <v>0</v>
      </c>
      <c r="AS212" s="47" t="n">
        <f aca="false">ROUND(AP212-AQ212-AR212,2)</f>
        <v>0</v>
      </c>
    </row>
    <row r="213" customFormat="false" ht="15" hidden="false" customHeight="false" outlineLevel="0" collapsed="false">
      <c r="A213" s="45" t="n">
        <v>210</v>
      </c>
      <c r="B213" s="46" t="n">
        <f aca="false">EDATE('My Debts'!$C$7,A213-1)</f>
        <v>52688</v>
      </c>
      <c r="C213" s="47" t="n">
        <v>0</v>
      </c>
      <c r="D213" s="47" t="n">
        <f aca="false">(F213+J213+N213+R213+V213+Z213+AD213+AH213+AL213+AP213)-(I213+M213+Q213+U213+Y213+AC213+AG213+AK213+AO213+AS213)</f>
        <v>0</v>
      </c>
      <c r="E213" s="48" t="n">
        <f aca="false">I213+M213+Q213+U213+Y213+AC213+AG213+AK213+AO213+AS213</f>
        <v>0</v>
      </c>
      <c r="F213" s="47" t="n">
        <f aca="false">ROUND(I212*(1+Sorted!$H$2),2)</f>
        <v>0</v>
      </c>
      <c r="G213" s="47" t="n">
        <f aca="false">MIN(F213,Sorted!$G$2)</f>
        <v>0</v>
      </c>
      <c r="H213" s="47" t="n">
        <v>0</v>
      </c>
      <c r="I213" s="47" t="n">
        <f aca="false">ROUND(F213-G213-H213,2)</f>
        <v>0</v>
      </c>
      <c r="J213" s="47" t="n">
        <f aca="false">ROUND(M212*(1+Sorted!$H$3),2)</f>
        <v>0</v>
      </c>
      <c r="K213" s="47" t="n">
        <f aca="false">MIN(J213,Sorted!$G$3)</f>
        <v>0</v>
      </c>
      <c r="L213" s="47" t="n">
        <v>0</v>
      </c>
      <c r="M213" s="47" t="n">
        <f aca="false">ROUND(J213-K213-L213,2)</f>
        <v>0</v>
      </c>
      <c r="N213" s="47" t="n">
        <f aca="false">ROUND(Q212*(1+Sorted!$H$4),2)</f>
        <v>0</v>
      </c>
      <c r="O213" s="47" t="n">
        <f aca="false">MIN(N213,Sorted!$G$4)</f>
        <v>0</v>
      </c>
      <c r="P213" s="47" t="n">
        <v>0</v>
      </c>
      <c r="Q213" s="47" t="n">
        <f aca="false">ROUND(N213-O213-P213,2)</f>
        <v>0</v>
      </c>
      <c r="R213" s="47" t="n">
        <f aca="false">ROUND(U212*(1+Sorted!$H$5),2)</f>
        <v>0</v>
      </c>
      <c r="S213" s="47" t="n">
        <f aca="false">MIN(R213,Sorted!$G$5)</f>
        <v>0</v>
      </c>
      <c r="T213" s="47" t="n">
        <v>0</v>
      </c>
      <c r="U213" s="47" t="n">
        <f aca="false">ROUND(R213-S213-T213,2)</f>
        <v>0</v>
      </c>
      <c r="V213" s="47" t="n">
        <f aca="false">ROUND(Y212*(1+Sorted!$H$6),2)</f>
        <v>0</v>
      </c>
      <c r="W213" s="47" t="n">
        <f aca="false">MIN(V213,Sorted!$G$6)</f>
        <v>0</v>
      </c>
      <c r="X213" s="47" t="n">
        <v>0</v>
      </c>
      <c r="Y213" s="47" t="n">
        <f aca="false">ROUND(V213-W213-X213,2)</f>
        <v>0</v>
      </c>
      <c r="Z213" s="47" t="n">
        <f aca="false">ROUND(AC212*(1+Sorted!$H$7),2)</f>
        <v>0</v>
      </c>
      <c r="AA213" s="47" t="n">
        <f aca="false">MIN(Z213,Sorted!$G$7)</f>
        <v>0</v>
      </c>
      <c r="AB213" s="47" t="n">
        <v>0</v>
      </c>
      <c r="AC213" s="47" t="n">
        <f aca="false">ROUND(Z213-AA213-AB213,2)</f>
        <v>0</v>
      </c>
      <c r="AD213" s="47" t="n">
        <f aca="false">ROUND(AG212*(1+Sorted!$H$8),2)</f>
        <v>0</v>
      </c>
      <c r="AE213" s="47" t="n">
        <f aca="false">MIN(AD213,Sorted!$G$8)</f>
        <v>0</v>
      </c>
      <c r="AF213" s="47" t="n">
        <v>0</v>
      </c>
      <c r="AG213" s="47" t="n">
        <f aca="false">ROUND(AD213-AE213-AF213,2)</f>
        <v>0</v>
      </c>
      <c r="AH213" s="47" t="n">
        <f aca="false">ROUND(AK212*(1+Sorted!$H$9),2)</f>
        <v>0</v>
      </c>
      <c r="AI213" s="47" t="n">
        <f aca="false">MIN(AH213,Sorted!$G$9)</f>
        <v>0</v>
      </c>
      <c r="AJ213" s="47" t="n">
        <v>0</v>
      </c>
      <c r="AK213" s="47" t="n">
        <f aca="false">ROUND(AH213-AI213-AJ213,2)</f>
        <v>0</v>
      </c>
      <c r="AL213" s="47" t="n">
        <f aca="false">ROUND(AO212*(1+Sorted!$H$10),2)</f>
        <v>0</v>
      </c>
      <c r="AM213" s="47" t="n">
        <f aca="false">MIN(AL213,Sorted!$G$10)</f>
        <v>0</v>
      </c>
      <c r="AN213" s="47" t="n">
        <v>0</v>
      </c>
      <c r="AO213" s="47" t="n">
        <f aca="false">ROUND(AL213-AM213-AN213,2)</f>
        <v>0</v>
      </c>
      <c r="AP213" s="47" t="n">
        <f aca="false">ROUND(AS212*(1+Sorted!$H$11),2)</f>
        <v>0</v>
      </c>
      <c r="AQ213" s="47" t="n">
        <f aca="false">MIN(AP213,Sorted!$G$11)</f>
        <v>0</v>
      </c>
      <c r="AR213" s="47" t="n">
        <v>0</v>
      </c>
      <c r="AS213" s="47" t="n">
        <f aca="false">ROUND(AP213-AQ213-AR213,2)</f>
        <v>0</v>
      </c>
    </row>
    <row r="214" customFormat="false" ht="15" hidden="false" customHeight="false" outlineLevel="0" collapsed="false">
      <c r="A214" s="45" t="n">
        <v>211</v>
      </c>
      <c r="B214" s="46" t="n">
        <f aca="false">EDATE('My Debts'!$C$7,A214-1)</f>
        <v>52718</v>
      </c>
      <c r="C214" s="47" t="n">
        <v>0</v>
      </c>
      <c r="D214" s="47" t="n">
        <f aca="false">(F214+J214+N214+R214+V214+Z214+AD214+AH214+AL214+AP214)-(I214+M214+Q214+U214+Y214+AC214+AG214+AK214+AO214+AS214)</f>
        <v>0</v>
      </c>
      <c r="E214" s="48" t="n">
        <f aca="false">I214+M214+Q214+U214+Y214+AC214+AG214+AK214+AO214+AS214</f>
        <v>0</v>
      </c>
      <c r="F214" s="47" t="n">
        <f aca="false">ROUND(I213*(1+Sorted!$H$2),2)</f>
        <v>0</v>
      </c>
      <c r="G214" s="47" t="n">
        <f aca="false">MIN(F214,Sorted!$G$2)</f>
        <v>0</v>
      </c>
      <c r="H214" s="47" t="n">
        <v>0</v>
      </c>
      <c r="I214" s="47" t="n">
        <f aca="false">ROUND(F214-G214-H214,2)</f>
        <v>0</v>
      </c>
      <c r="J214" s="47" t="n">
        <f aca="false">ROUND(M213*(1+Sorted!$H$3),2)</f>
        <v>0</v>
      </c>
      <c r="K214" s="47" t="n">
        <f aca="false">MIN(J214,Sorted!$G$3)</f>
        <v>0</v>
      </c>
      <c r="L214" s="47" t="n">
        <v>0</v>
      </c>
      <c r="M214" s="47" t="n">
        <f aca="false">ROUND(J214-K214-L214,2)</f>
        <v>0</v>
      </c>
      <c r="N214" s="47" t="n">
        <f aca="false">ROUND(Q213*(1+Sorted!$H$4),2)</f>
        <v>0</v>
      </c>
      <c r="O214" s="47" t="n">
        <f aca="false">MIN(N214,Sorted!$G$4)</f>
        <v>0</v>
      </c>
      <c r="P214" s="47" t="n">
        <v>0</v>
      </c>
      <c r="Q214" s="47" t="n">
        <f aca="false">ROUND(N214-O214-P214,2)</f>
        <v>0</v>
      </c>
      <c r="R214" s="47" t="n">
        <f aca="false">ROUND(U213*(1+Sorted!$H$5),2)</f>
        <v>0</v>
      </c>
      <c r="S214" s="47" t="n">
        <f aca="false">MIN(R214,Sorted!$G$5)</f>
        <v>0</v>
      </c>
      <c r="T214" s="47" t="n">
        <v>0</v>
      </c>
      <c r="U214" s="47" t="n">
        <f aca="false">ROUND(R214-S214-T214,2)</f>
        <v>0</v>
      </c>
      <c r="V214" s="47" t="n">
        <f aca="false">ROUND(Y213*(1+Sorted!$H$6),2)</f>
        <v>0</v>
      </c>
      <c r="W214" s="47" t="n">
        <f aca="false">MIN(V214,Sorted!$G$6)</f>
        <v>0</v>
      </c>
      <c r="X214" s="47" t="n">
        <v>0</v>
      </c>
      <c r="Y214" s="47" t="n">
        <f aca="false">ROUND(V214-W214-X214,2)</f>
        <v>0</v>
      </c>
      <c r="Z214" s="47" t="n">
        <f aca="false">ROUND(AC213*(1+Sorted!$H$7),2)</f>
        <v>0</v>
      </c>
      <c r="AA214" s="47" t="n">
        <f aca="false">MIN(Z214,Sorted!$G$7)</f>
        <v>0</v>
      </c>
      <c r="AB214" s="47" t="n">
        <v>0</v>
      </c>
      <c r="AC214" s="47" t="n">
        <f aca="false">ROUND(Z214-AA214-AB214,2)</f>
        <v>0</v>
      </c>
      <c r="AD214" s="47" t="n">
        <f aca="false">ROUND(AG213*(1+Sorted!$H$8),2)</f>
        <v>0</v>
      </c>
      <c r="AE214" s="47" t="n">
        <f aca="false">MIN(AD214,Sorted!$G$8)</f>
        <v>0</v>
      </c>
      <c r="AF214" s="47" t="n">
        <v>0</v>
      </c>
      <c r="AG214" s="47" t="n">
        <f aca="false">ROUND(AD214-AE214-AF214,2)</f>
        <v>0</v>
      </c>
      <c r="AH214" s="47" t="n">
        <f aca="false">ROUND(AK213*(1+Sorted!$H$9),2)</f>
        <v>0</v>
      </c>
      <c r="AI214" s="47" t="n">
        <f aca="false">MIN(AH214,Sorted!$G$9)</f>
        <v>0</v>
      </c>
      <c r="AJ214" s="47" t="n">
        <v>0</v>
      </c>
      <c r="AK214" s="47" t="n">
        <f aca="false">ROUND(AH214-AI214-AJ214,2)</f>
        <v>0</v>
      </c>
      <c r="AL214" s="47" t="n">
        <f aca="false">ROUND(AO213*(1+Sorted!$H$10),2)</f>
        <v>0</v>
      </c>
      <c r="AM214" s="47" t="n">
        <f aca="false">MIN(AL214,Sorted!$G$10)</f>
        <v>0</v>
      </c>
      <c r="AN214" s="47" t="n">
        <v>0</v>
      </c>
      <c r="AO214" s="47" t="n">
        <f aca="false">ROUND(AL214-AM214-AN214,2)</f>
        <v>0</v>
      </c>
      <c r="AP214" s="47" t="n">
        <f aca="false">ROUND(AS213*(1+Sorted!$H$11),2)</f>
        <v>0</v>
      </c>
      <c r="AQ214" s="47" t="n">
        <f aca="false">MIN(AP214,Sorted!$G$11)</f>
        <v>0</v>
      </c>
      <c r="AR214" s="47" t="n">
        <v>0</v>
      </c>
      <c r="AS214" s="47" t="n">
        <f aca="false">ROUND(AP214-AQ214-AR214,2)</f>
        <v>0</v>
      </c>
    </row>
    <row r="215" customFormat="false" ht="15" hidden="false" customHeight="false" outlineLevel="0" collapsed="false">
      <c r="A215" s="45" t="n">
        <v>212</v>
      </c>
      <c r="B215" s="46" t="n">
        <f aca="false">EDATE('My Debts'!$C$7,A215-1)</f>
        <v>52749</v>
      </c>
      <c r="C215" s="47" t="n">
        <v>0</v>
      </c>
      <c r="D215" s="47" t="n">
        <f aca="false">(F215+J215+N215+R215+V215+Z215+AD215+AH215+AL215+AP215)-(I215+M215+Q215+U215+Y215+AC215+AG215+AK215+AO215+AS215)</f>
        <v>0</v>
      </c>
      <c r="E215" s="48" t="n">
        <f aca="false">I215+M215+Q215+U215+Y215+AC215+AG215+AK215+AO215+AS215</f>
        <v>0</v>
      </c>
      <c r="F215" s="47" t="n">
        <f aca="false">ROUND(I214*(1+Sorted!$H$2),2)</f>
        <v>0</v>
      </c>
      <c r="G215" s="47" t="n">
        <f aca="false">MIN(F215,Sorted!$G$2)</f>
        <v>0</v>
      </c>
      <c r="H215" s="47" t="n">
        <v>0</v>
      </c>
      <c r="I215" s="47" t="n">
        <f aca="false">ROUND(F215-G215-H215,2)</f>
        <v>0</v>
      </c>
      <c r="J215" s="47" t="n">
        <f aca="false">ROUND(M214*(1+Sorted!$H$3),2)</f>
        <v>0</v>
      </c>
      <c r="K215" s="47" t="n">
        <f aca="false">MIN(J215,Sorted!$G$3)</f>
        <v>0</v>
      </c>
      <c r="L215" s="47" t="n">
        <v>0</v>
      </c>
      <c r="M215" s="47" t="n">
        <f aca="false">ROUND(J215-K215-L215,2)</f>
        <v>0</v>
      </c>
      <c r="N215" s="47" t="n">
        <f aca="false">ROUND(Q214*(1+Sorted!$H$4),2)</f>
        <v>0</v>
      </c>
      <c r="O215" s="47" t="n">
        <f aca="false">MIN(N215,Sorted!$G$4)</f>
        <v>0</v>
      </c>
      <c r="P215" s="47" t="n">
        <v>0</v>
      </c>
      <c r="Q215" s="47" t="n">
        <f aca="false">ROUND(N215-O215-P215,2)</f>
        <v>0</v>
      </c>
      <c r="R215" s="47" t="n">
        <f aca="false">ROUND(U214*(1+Sorted!$H$5),2)</f>
        <v>0</v>
      </c>
      <c r="S215" s="47" t="n">
        <f aca="false">MIN(R215,Sorted!$G$5)</f>
        <v>0</v>
      </c>
      <c r="T215" s="47" t="n">
        <v>0</v>
      </c>
      <c r="U215" s="47" t="n">
        <f aca="false">ROUND(R215-S215-T215,2)</f>
        <v>0</v>
      </c>
      <c r="V215" s="47" t="n">
        <f aca="false">ROUND(Y214*(1+Sorted!$H$6),2)</f>
        <v>0</v>
      </c>
      <c r="W215" s="47" t="n">
        <f aca="false">MIN(V215,Sorted!$G$6)</f>
        <v>0</v>
      </c>
      <c r="X215" s="47" t="n">
        <v>0</v>
      </c>
      <c r="Y215" s="47" t="n">
        <f aca="false">ROUND(V215-W215-X215,2)</f>
        <v>0</v>
      </c>
      <c r="Z215" s="47" t="n">
        <f aca="false">ROUND(AC214*(1+Sorted!$H$7),2)</f>
        <v>0</v>
      </c>
      <c r="AA215" s="47" t="n">
        <f aca="false">MIN(Z215,Sorted!$G$7)</f>
        <v>0</v>
      </c>
      <c r="AB215" s="47" t="n">
        <v>0</v>
      </c>
      <c r="AC215" s="47" t="n">
        <f aca="false">ROUND(Z215-AA215-AB215,2)</f>
        <v>0</v>
      </c>
      <c r="AD215" s="47" t="n">
        <f aca="false">ROUND(AG214*(1+Sorted!$H$8),2)</f>
        <v>0</v>
      </c>
      <c r="AE215" s="47" t="n">
        <f aca="false">MIN(AD215,Sorted!$G$8)</f>
        <v>0</v>
      </c>
      <c r="AF215" s="47" t="n">
        <v>0</v>
      </c>
      <c r="AG215" s="47" t="n">
        <f aca="false">ROUND(AD215-AE215-AF215,2)</f>
        <v>0</v>
      </c>
      <c r="AH215" s="47" t="n">
        <f aca="false">ROUND(AK214*(1+Sorted!$H$9),2)</f>
        <v>0</v>
      </c>
      <c r="AI215" s="47" t="n">
        <f aca="false">MIN(AH215,Sorted!$G$9)</f>
        <v>0</v>
      </c>
      <c r="AJ215" s="47" t="n">
        <v>0</v>
      </c>
      <c r="AK215" s="47" t="n">
        <f aca="false">ROUND(AH215-AI215-AJ215,2)</f>
        <v>0</v>
      </c>
      <c r="AL215" s="47" t="n">
        <f aca="false">ROUND(AO214*(1+Sorted!$H$10),2)</f>
        <v>0</v>
      </c>
      <c r="AM215" s="47" t="n">
        <f aca="false">MIN(AL215,Sorted!$G$10)</f>
        <v>0</v>
      </c>
      <c r="AN215" s="47" t="n">
        <v>0</v>
      </c>
      <c r="AO215" s="47" t="n">
        <f aca="false">ROUND(AL215-AM215-AN215,2)</f>
        <v>0</v>
      </c>
      <c r="AP215" s="47" t="n">
        <f aca="false">ROUND(AS214*(1+Sorted!$H$11),2)</f>
        <v>0</v>
      </c>
      <c r="AQ215" s="47" t="n">
        <f aca="false">MIN(AP215,Sorted!$G$11)</f>
        <v>0</v>
      </c>
      <c r="AR215" s="47" t="n">
        <v>0</v>
      </c>
      <c r="AS215" s="47" t="n">
        <f aca="false">ROUND(AP215-AQ215-AR215,2)</f>
        <v>0</v>
      </c>
    </row>
    <row r="216" customFormat="false" ht="15" hidden="false" customHeight="false" outlineLevel="0" collapsed="false">
      <c r="A216" s="45" t="n">
        <v>213</v>
      </c>
      <c r="B216" s="46" t="n">
        <f aca="false">EDATE('My Debts'!$C$7,A216-1)</f>
        <v>52779</v>
      </c>
      <c r="C216" s="47" t="n">
        <v>0</v>
      </c>
      <c r="D216" s="47" t="n">
        <f aca="false">(F216+J216+N216+R216+V216+Z216+AD216+AH216+AL216+AP216)-(I216+M216+Q216+U216+Y216+AC216+AG216+AK216+AO216+AS216)</f>
        <v>0</v>
      </c>
      <c r="E216" s="48" t="n">
        <f aca="false">I216+M216+Q216+U216+Y216+AC216+AG216+AK216+AO216+AS216</f>
        <v>0</v>
      </c>
      <c r="F216" s="47" t="n">
        <f aca="false">ROUND(I215*(1+Sorted!$H$2),2)</f>
        <v>0</v>
      </c>
      <c r="G216" s="47" t="n">
        <f aca="false">MIN(F216,Sorted!$G$2)</f>
        <v>0</v>
      </c>
      <c r="H216" s="47" t="n">
        <v>0</v>
      </c>
      <c r="I216" s="47" t="n">
        <f aca="false">ROUND(F216-G216-H216,2)</f>
        <v>0</v>
      </c>
      <c r="J216" s="47" t="n">
        <f aca="false">ROUND(M215*(1+Sorted!$H$3),2)</f>
        <v>0</v>
      </c>
      <c r="K216" s="47" t="n">
        <f aca="false">MIN(J216,Sorted!$G$3)</f>
        <v>0</v>
      </c>
      <c r="L216" s="47" t="n">
        <v>0</v>
      </c>
      <c r="M216" s="47" t="n">
        <f aca="false">ROUND(J216-K216-L216,2)</f>
        <v>0</v>
      </c>
      <c r="N216" s="47" t="n">
        <f aca="false">ROUND(Q215*(1+Sorted!$H$4),2)</f>
        <v>0</v>
      </c>
      <c r="O216" s="47" t="n">
        <f aca="false">MIN(N216,Sorted!$G$4)</f>
        <v>0</v>
      </c>
      <c r="P216" s="47" t="n">
        <v>0</v>
      </c>
      <c r="Q216" s="47" t="n">
        <f aca="false">ROUND(N216-O216-P216,2)</f>
        <v>0</v>
      </c>
      <c r="R216" s="47" t="n">
        <f aca="false">ROUND(U215*(1+Sorted!$H$5),2)</f>
        <v>0</v>
      </c>
      <c r="S216" s="47" t="n">
        <f aca="false">MIN(R216,Sorted!$G$5)</f>
        <v>0</v>
      </c>
      <c r="T216" s="47" t="n">
        <v>0</v>
      </c>
      <c r="U216" s="47" t="n">
        <f aca="false">ROUND(R216-S216-T216,2)</f>
        <v>0</v>
      </c>
      <c r="V216" s="47" t="n">
        <f aca="false">ROUND(Y215*(1+Sorted!$H$6),2)</f>
        <v>0</v>
      </c>
      <c r="W216" s="47" t="n">
        <f aca="false">MIN(V216,Sorted!$G$6)</f>
        <v>0</v>
      </c>
      <c r="X216" s="47" t="n">
        <v>0</v>
      </c>
      <c r="Y216" s="47" t="n">
        <f aca="false">ROUND(V216-W216-X216,2)</f>
        <v>0</v>
      </c>
      <c r="Z216" s="47" t="n">
        <f aca="false">ROUND(AC215*(1+Sorted!$H$7),2)</f>
        <v>0</v>
      </c>
      <c r="AA216" s="47" t="n">
        <f aca="false">MIN(Z216,Sorted!$G$7)</f>
        <v>0</v>
      </c>
      <c r="AB216" s="47" t="n">
        <v>0</v>
      </c>
      <c r="AC216" s="47" t="n">
        <f aca="false">ROUND(Z216-AA216-AB216,2)</f>
        <v>0</v>
      </c>
      <c r="AD216" s="47" t="n">
        <f aca="false">ROUND(AG215*(1+Sorted!$H$8),2)</f>
        <v>0</v>
      </c>
      <c r="AE216" s="47" t="n">
        <f aca="false">MIN(AD216,Sorted!$G$8)</f>
        <v>0</v>
      </c>
      <c r="AF216" s="47" t="n">
        <v>0</v>
      </c>
      <c r="AG216" s="47" t="n">
        <f aca="false">ROUND(AD216-AE216-AF216,2)</f>
        <v>0</v>
      </c>
      <c r="AH216" s="47" t="n">
        <f aca="false">ROUND(AK215*(1+Sorted!$H$9),2)</f>
        <v>0</v>
      </c>
      <c r="AI216" s="47" t="n">
        <f aca="false">MIN(AH216,Sorted!$G$9)</f>
        <v>0</v>
      </c>
      <c r="AJ216" s="47" t="n">
        <v>0</v>
      </c>
      <c r="AK216" s="47" t="n">
        <f aca="false">ROUND(AH216-AI216-AJ216,2)</f>
        <v>0</v>
      </c>
      <c r="AL216" s="47" t="n">
        <f aca="false">ROUND(AO215*(1+Sorted!$H$10),2)</f>
        <v>0</v>
      </c>
      <c r="AM216" s="47" t="n">
        <f aca="false">MIN(AL216,Sorted!$G$10)</f>
        <v>0</v>
      </c>
      <c r="AN216" s="47" t="n">
        <v>0</v>
      </c>
      <c r="AO216" s="47" t="n">
        <f aca="false">ROUND(AL216-AM216-AN216,2)</f>
        <v>0</v>
      </c>
      <c r="AP216" s="47" t="n">
        <f aca="false">ROUND(AS215*(1+Sorted!$H$11),2)</f>
        <v>0</v>
      </c>
      <c r="AQ216" s="47" t="n">
        <f aca="false">MIN(AP216,Sorted!$G$11)</f>
        <v>0</v>
      </c>
      <c r="AR216" s="47" t="n">
        <v>0</v>
      </c>
      <c r="AS216" s="47" t="n">
        <f aca="false">ROUND(AP216-AQ216-AR216,2)</f>
        <v>0</v>
      </c>
    </row>
    <row r="217" customFormat="false" ht="15" hidden="false" customHeight="false" outlineLevel="0" collapsed="false">
      <c r="A217" s="45" t="n">
        <v>214</v>
      </c>
      <c r="B217" s="46" t="n">
        <f aca="false">EDATE('My Debts'!$C$7,A217-1)</f>
        <v>52810</v>
      </c>
      <c r="C217" s="47" t="n">
        <v>0</v>
      </c>
      <c r="D217" s="47" t="n">
        <f aca="false">(F217+J217+N217+R217+V217+Z217+AD217+AH217+AL217+AP217)-(I217+M217+Q217+U217+Y217+AC217+AG217+AK217+AO217+AS217)</f>
        <v>0</v>
      </c>
      <c r="E217" s="48" t="n">
        <f aca="false">I217+M217+Q217+U217+Y217+AC217+AG217+AK217+AO217+AS217</f>
        <v>0</v>
      </c>
      <c r="F217" s="47" t="n">
        <f aca="false">ROUND(I216*(1+Sorted!$H$2),2)</f>
        <v>0</v>
      </c>
      <c r="G217" s="47" t="n">
        <f aca="false">MIN(F217,Sorted!$G$2)</f>
        <v>0</v>
      </c>
      <c r="H217" s="47" t="n">
        <v>0</v>
      </c>
      <c r="I217" s="47" t="n">
        <f aca="false">ROUND(F217-G217-H217,2)</f>
        <v>0</v>
      </c>
      <c r="J217" s="47" t="n">
        <f aca="false">ROUND(M216*(1+Sorted!$H$3),2)</f>
        <v>0</v>
      </c>
      <c r="K217" s="47" t="n">
        <f aca="false">MIN(J217,Sorted!$G$3)</f>
        <v>0</v>
      </c>
      <c r="L217" s="47" t="n">
        <v>0</v>
      </c>
      <c r="M217" s="47" t="n">
        <f aca="false">ROUND(J217-K217-L217,2)</f>
        <v>0</v>
      </c>
      <c r="N217" s="47" t="n">
        <f aca="false">ROUND(Q216*(1+Sorted!$H$4),2)</f>
        <v>0</v>
      </c>
      <c r="O217" s="47" t="n">
        <f aca="false">MIN(N217,Sorted!$G$4)</f>
        <v>0</v>
      </c>
      <c r="P217" s="47" t="n">
        <v>0</v>
      </c>
      <c r="Q217" s="47" t="n">
        <f aca="false">ROUND(N217-O217-P217,2)</f>
        <v>0</v>
      </c>
      <c r="R217" s="47" t="n">
        <f aca="false">ROUND(U216*(1+Sorted!$H$5),2)</f>
        <v>0</v>
      </c>
      <c r="S217" s="47" t="n">
        <f aca="false">MIN(R217,Sorted!$G$5)</f>
        <v>0</v>
      </c>
      <c r="T217" s="47" t="n">
        <v>0</v>
      </c>
      <c r="U217" s="47" t="n">
        <f aca="false">ROUND(R217-S217-T217,2)</f>
        <v>0</v>
      </c>
      <c r="V217" s="47" t="n">
        <f aca="false">ROUND(Y216*(1+Sorted!$H$6),2)</f>
        <v>0</v>
      </c>
      <c r="W217" s="47" t="n">
        <f aca="false">MIN(V217,Sorted!$G$6)</f>
        <v>0</v>
      </c>
      <c r="X217" s="47" t="n">
        <v>0</v>
      </c>
      <c r="Y217" s="47" t="n">
        <f aca="false">ROUND(V217-W217-X217,2)</f>
        <v>0</v>
      </c>
      <c r="Z217" s="47" t="n">
        <f aca="false">ROUND(AC216*(1+Sorted!$H$7),2)</f>
        <v>0</v>
      </c>
      <c r="AA217" s="47" t="n">
        <f aca="false">MIN(Z217,Sorted!$G$7)</f>
        <v>0</v>
      </c>
      <c r="AB217" s="47" t="n">
        <v>0</v>
      </c>
      <c r="AC217" s="47" t="n">
        <f aca="false">ROUND(Z217-AA217-AB217,2)</f>
        <v>0</v>
      </c>
      <c r="AD217" s="47" t="n">
        <f aca="false">ROUND(AG216*(1+Sorted!$H$8),2)</f>
        <v>0</v>
      </c>
      <c r="AE217" s="47" t="n">
        <f aca="false">MIN(AD217,Sorted!$G$8)</f>
        <v>0</v>
      </c>
      <c r="AF217" s="47" t="n">
        <v>0</v>
      </c>
      <c r="AG217" s="47" t="n">
        <f aca="false">ROUND(AD217-AE217-AF217,2)</f>
        <v>0</v>
      </c>
      <c r="AH217" s="47" t="n">
        <f aca="false">ROUND(AK216*(1+Sorted!$H$9),2)</f>
        <v>0</v>
      </c>
      <c r="AI217" s="47" t="n">
        <f aca="false">MIN(AH217,Sorted!$G$9)</f>
        <v>0</v>
      </c>
      <c r="AJ217" s="47" t="n">
        <v>0</v>
      </c>
      <c r="AK217" s="47" t="n">
        <f aca="false">ROUND(AH217-AI217-AJ217,2)</f>
        <v>0</v>
      </c>
      <c r="AL217" s="47" t="n">
        <f aca="false">ROUND(AO216*(1+Sorted!$H$10),2)</f>
        <v>0</v>
      </c>
      <c r="AM217" s="47" t="n">
        <f aca="false">MIN(AL217,Sorted!$G$10)</f>
        <v>0</v>
      </c>
      <c r="AN217" s="47" t="n">
        <v>0</v>
      </c>
      <c r="AO217" s="47" t="n">
        <f aca="false">ROUND(AL217-AM217-AN217,2)</f>
        <v>0</v>
      </c>
      <c r="AP217" s="47" t="n">
        <f aca="false">ROUND(AS216*(1+Sorted!$H$11),2)</f>
        <v>0</v>
      </c>
      <c r="AQ217" s="47" t="n">
        <f aca="false">MIN(AP217,Sorted!$G$11)</f>
        <v>0</v>
      </c>
      <c r="AR217" s="47" t="n">
        <v>0</v>
      </c>
      <c r="AS217" s="47" t="n">
        <f aca="false">ROUND(AP217-AQ217-AR217,2)</f>
        <v>0</v>
      </c>
    </row>
    <row r="218" customFormat="false" ht="15" hidden="false" customHeight="false" outlineLevel="0" collapsed="false">
      <c r="A218" s="45" t="n">
        <v>215</v>
      </c>
      <c r="B218" s="46" t="n">
        <f aca="false">EDATE('My Debts'!$C$7,A218-1)</f>
        <v>52841</v>
      </c>
      <c r="C218" s="47" t="n">
        <v>0</v>
      </c>
      <c r="D218" s="47" t="n">
        <f aca="false">(F218+J218+N218+R218+V218+Z218+AD218+AH218+AL218+AP218)-(I218+M218+Q218+U218+Y218+AC218+AG218+AK218+AO218+AS218)</f>
        <v>0</v>
      </c>
      <c r="E218" s="48" t="n">
        <f aca="false">I218+M218+Q218+U218+Y218+AC218+AG218+AK218+AO218+AS218</f>
        <v>0</v>
      </c>
      <c r="F218" s="47" t="n">
        <f aca="false">ROUND(I217*(1+Sorted!$H$2),2)</f>
        <v>0</v>
      </c>
      <c r="G218" s="47" t="n">
        <f aca="false">MIN(F218,Sorted!$G$2)</f>
        <v>0</v>
      </c>
      <c r="H218" s="47" t="n">
        <v>0</v>
      </c>
      <c r="I218" s="47" t="n">
        <f aca="false">ROUND(F218-G218-H218,2)</f>
        <v>0</v>
      </c>
      <c r="J218" s="47" t="n">
        <f aca="false">ROUND(M217*(1+Sorted!$H$3),2)</f>
        <v>0</v>
      </c>
      <c r="K218" s="47" t="n">
        <f aca="false">MIN(J218,Sorted!$G$3)</f>
        <v>0</v>
      </c>
      <c r="L218" s="47" t="n">
        <v>0</v>
      </c>
      <c r="M218" s="47" t="n">
        <f aca="false">ROUND(J218-K218-L218,2)</f>
        <v>0</v>
      </c>
      <c r="N218" s="47" t="n">
        <f aca="false">ROUND(Q217*(1+Sorted!$H$4),2)</f>
        <v>0</v>
      </c>
      <c r="O218" s="47" t="n">
        <f aca="false">MIN(N218,Sorted!$G$4)</f>
        <v>0</v>
      </c>
      <c r="P218" s="47" t="n">
        <v>0</v>
      </c>
      <c r="Q218" s="47" t="n">
        <f aca="false">ROUND(N218-O218-P218,2)</f>
        <v>0</v>
      </c>
      <c r="R218" s="47" t="n">
        <f aca="false">ROUND(U217*(1+Sorted!$H$5),2)</f>
        <v>0</v>
      </c>
      <c r="S218" s="47" t="n">
        <f aca="false">MIN(R218,Sorted!$G$5)</f>
        <v>0</v>
      </c>
      <c r="T218" s="47" t="n">
        <v>0</v>
      </c>
      <c r="U218" s="47" t="n">
        <f aca="false">ROUND(R218-S218-T218,2)</f>
        <v>0</v>
      </c>
      <c r="V218" s="47" t="n">
        <f aca="false">ROUND(Y217*(1+Sorted!$H$6),2)</f>
        <v>0</v>
      </c>
      <c r="W218" s="47" t="n">
        <f aca="false">MIN(V218,Sorted!$G$6)</f>
        <v>0</v>
      </c>
      <c r="X218" s="47" t="n">
        <v>0</v>
      </c>
      <c r="Y218" s="47" t="n">
        <f aca="false">ROUND(V218-W218-X218,2)</f>
        <v>0</v>
      </c>
      <c r="Z218" s="47" t="n">
        <f aca="false">ROUND(AC217*(1+Sorted!$H$7),2)</f>
        <v>0</v>
      </c>
      <c r="AA218" s="47" t="n">
        <f aca="false">MIN(Z218,Sorted!$G$7)</f>
        <v>0</v>
      </c>
      <c r="AB218" s="47" t="n">
        <v>0</v>
      </c>
      <c r="AC218" s="47" t="n">
        <f aca="false">ROUND(Z218-AA218-AB218,2)</f>
        <v>0</v>
      </c>
      <c r="AD218" s="47" t="n">
        <f aca="false">ROUND(AG217*(1+Sorted!$H$8),2)</f>
        <v>0</v>
      </c>
      <c r="AE218" s="47" t="n">
        <f aca="false">MIN(AD218,Sorted!$G$8)</f>
        <v>0</v>
      </c>
      <c r="AF218" s="47" t="n">
        <v>0</v>
      </c>
      <c r="AG218" s="47" t="n">
        <f aca="false">ROUND(AD218-AE218-AF218,2)</f>
        <v>0</v>
      </c>
      <c r="AH218" s="47" t="n">
        <f aca="false">ROUND(AK217*(1+Sorted!$H$9),2)</f>
        <v>0</v>
      </c>
      <c r="AI218" s="47" t="n">
        <f aca="false">MIN(AH218,Sorted!$G$9)</f>
        <v>0</v>
      </c>
      <c r="AJ218" s="47" t="n">
        <v>0</v>
      </c>
      <c r="AK218" s="47" t="n">
        <f aca="false">ROUND(AH218-AI218-AJ218,2)</f>
        <v>0</v>
      </c>
      <c r="AL218" s="47" t="n">
        <f aca="false">ROUND(AO217*(1+Sorted!$H$10),2)</f>
        <v>0</v>
      </c>
      <c r="AM218" s="47" t="n">
        <f aca="false">MIN(AL218,Sorted!$G$10)</f>
        <v>0</v>
      </c>
      <c r="AN218" s="47" t="n">
        <v>0</v>
      </c>
      <c r="AO218" s="47" t="n">
        <f aca="false">ROUND(AL218-AM218-AN218,2)</f>
        <v>0</v>
      </c>
      <c r="AP218" s="47" t="n">
        <f aca="false">ROUND(AS217*(1+Sorted!$H$11),2)</f>
        <v>0</v>
      </c>
      <c r="AQ218" s="47" t="n">
        <f aca="false">MIN(AP218,Sorted!$G$11)</f>
        <v>0</v>
      </c>
      <c r="AR218" s="47" t="n">
        <v>0</v>
      </c>
      <c r="AS218" s="47" t="n">
        <f aca="false">ROUND(AP218-AQ218-AR218,2)</f>
        <v>0</v>
      </c>
    </row>
    <row r="219" customFormat="false" ht="15" hidden="false" customHeight="false" outlineLevel="0" collapsed="false">
      <c r="A219" s="45" t="n">
        <v>216</v>
      </c>
      <c r="B219" s="46" t="n">
        <f aca="false">EDATE('My Debts'!$C$7,A219-1)</f>
        <v>52871</v>
      </c>
      <c r="C219" s="47" t="n">
        <v>0</v>
      </c>
      <c r="D219" s="47" t="n">
        <f aca="false">(F219+J219+N219+R219+V219+Z219+AD219+AH219+AL219+AP219)-(I219+M219+Q219+U219+Y219+AC219+AG219+AK219+AO219+AS219)</f>
        <v>0</v>
      </c>
      <c r="E219" s="48" t="n">
        <f aca="false">I219+M219+Q219+U219+Y219+AC219+AG219+AK219+AO219+AS219</f>
        <v>0</v>
      </c>
      <c r="F219" s="47" t="n">
        <f aca="false">ROUND(I218*(1+Sorted!$H$2),2)</f>
        <v>0</v>
      </c>
      <c r="G219" s="47" t="n">
        <f aca="false">MIN(F219,Sorted!$G$2)</f>
        <v>0</v>
      </c>
      <c r="H219" s="47" t="n">
        <v>0</v>
      </c>
      <c r="I219" s="47" t="n">
        <f aca="false">ROUND(F219-G219-H219,2)</f>
        <v>0</v>
      </c>
      <c r="J219" s="47" t="n">
        <f aca="false">ROUND(M218*(1+Sorted!$H$3),2)</f>
        <v>0</v>
      </c>
      <c r="K219" s="47" t="n">
        <f aca="false">MIN(J219,Sorted!$G$3)</f>
        <v>0</v>
      </c>
      <c r="L219" s="47" t="n">
        <v>0</v>
      </c>
      <c r="M219" s="47" t="n">
        <f aca="false">ROUND(J219-K219-L219,2)</f>
        <v>0</v>
      </c>
      <c r="N219" s="47" t="n">
        <f aca="false">ROUND(Q218*(1+Sorted!$H$4),2)</f>
        <v>0</v>
      </c>
      <c r="O219" s="47" t="n">
        <f aca="false">MIN(N219,Sorted!$G$4)</f>
        <v>0</v>
      </c>
      <c r="P219" s="47" t="n">
        <v>0</v>
      </c>
      <c r="Q219" s="47" t="n">
        <f aca="false">ROUND(N219-O219-P219,2)</f>
        <v>0</v>
      </c>
      <c r="R219" s="47" t="n">
        <f aca="false">ROUND(U218*(1+Sorted!$H$5),2)</f>
        <v>0</v>
      </c>
      <c r="S219" s="47" t="n">
        <f aca="false">MIN(R219,Sorted!$G$5)</f>
        <v>0</v>
      </c>
      <c r="T219" s="47" t="n">
        <v>0</v>
      </c>
      <c r="U219" s="47" t="n">
        <f aca="false">ROUND(R219-S219-T219,2)</f>
        <v>0</v>
      </c>
      <c r="V219" s="47" t="n">
        <f aca="false">ROUND(Y218*(1+Sorted!$H$6),2)</f>
        <v>0</v>
      </c>
      <c r="W219" s="47" t="n">
        <f aca="false">MIN(V219,Sorted!$G$6)</f>
        <v>0</v>
      </c>
      <c r="X219" s="47" t="n">
        <v>0</v>
      </c>
      <c r="Y219" s="47" t="n">
        <f aca="false">ROUND(V219-W219-X219,2)</f>
        <v>0</v>
      </c>
      <c r="Z219" s="47" t="n">
        <f aca="false">ROUND(AC218*(1+Sorted!$H$7),2)</f>
        <v>0</v>
      </c>
      <c r="AA219" s="47" t="n">
        <f aca="false">MIN(Z219,Sorted!$G$7)</f>
        <v>0</v>
      </c>
      <c r="AB219" s="47" t="n">
        <v>0</v>
      </c>
      <c r="AC219" s="47" t="n">
        <f aca="false">ROUND(Z219-AA219-AB219,2)</f>
        <v>0</v>
      </c>
      <c r="AD219" s="47" t="n">
        <f aca="false">ROUND(AG218*(1+Sorted!$H$8),2)</f>
        <v>0</v>
      </c>
      <c r="AE219" s="47" t="n">
        <f aca="false">MIN(AD219,Sorted!$G$8)</f>
        <v>0</v>
      </c>
      <c r="AF219" s="47" t="n">
        <v>0</v>
      </c>
      <c r="AG219" s="47" t="n">
        <f aca="false">ROUND(AD219-AE219-AF219,2)</f>
        <v>0</v>
      </c>
      <c r="AH219" s="47" t="n">
        <f aca="false">ROUND(AK218*(1+Sorted!$H$9),2)</f>
        <v>0</v>
      </c>
      <c r="AI219" s="47" t="n">
        <f aca="false">MIN(AH219,Sorted!$G$9)</f>
        <v>0</v>
      </c>
      <c r="AJ219" s="47" t="n">
        <v>0</v>
      </c>
      <c r="AK219" s="47" t="n">
        <f aca="false">ROUND(AH219-AI219-AJ219,2)</f>
        <v>0</v>
      </c>
      <c r="AL219" s="47" t="n">
        <f aca="false">ROUND(AO218*(1+Sorted!$H$10),2)</f>
        <v>0</v>
      </c>
      <c r="AM219" s="47" t="n">
        <f aca="false">MIN(AL219,Sorted!$G$10)</f>
        <v>0</v>
      </c>
      <c r="AN219" s="47" t="n">
        <v>0</v>
      </c>
      <c r="AO219" s="47" t="n">
        <f aca="false">ROUND(AL219-AM219-AN219,2)</f>
        <v>0</v>
      </c>
      <c r="AP219" s="47" t="n">
        <f aca="false">ROUND(AS218*(1+Sorted!$H$11),2)</f>
        <v>0</v>
      </c>
      <c r="AQ219" s="47" t="n">
        <f aca="false">MIN(AP219,Sorted!$G$11)</f>
        <v>0</v>
      </c>
      <c r="AR219" s="47" t="n">
        <v>0</v>
      </c>
      <c r="AS219" s="47" t="n">
        <f aca="false">ROUND(AP219-AQ219-AR219,2)</f>
        <v>0</v>
      </c>
    </row>
    <row r="220" customFormat="false" ht="15" hidden="false" customHeight="false" outlineLevel="0" collapsed="false">
      <c r="A220" s="45" t="n">
        <v>217</v>
      </c>
      <c r="B220" s="46" t="n">
        <f aca="false">EDATE('My Debts'!$C$7,A220-1)</f>
        <v>52902</v>
      </c>
      <c r="C220" s="47" t="n">
        <v>0</v>
      </c>
      <c r="D220" s="47" t="n">
        <f aca="false">(F220+J220+N220+R220+V220+Z220+AD220+AH220+AL220+AP220)-(I220+M220+Q220+U220+Y220+AC220+AG220+AK220+AO220+AS220)</f>
        <v>0</v>
      </c>
      <c r="E220" s="48" t="n">
        <f aca="false">I220+M220+Q220+U220+Y220+AC220+AG220+AK220+AO220+AS220</f>
        <v>0</v>
      </c>
      <c r="F220" s="47" t="n">
        <f aca="false">ROUND(I219*(1+Sorted!$H$2),2)</f>
        <v>0</v>
      </c>
      <c r="G220" s="47" t="n">
        <f aca="false">MIN(F220,Sorted!$G$2)</f>
        <v>0</v>
      </c>
      <c r="H220" s="47" t="n">
        <v>0</v>
      </c>
      <c r="I220" s="47" t="n">
        <f aca="false">ROUND(F220-G220-H220,2)</f>
        <v>0</v>
      </c>
      <c r="J220" s="47" t="n">
        <f aca="false">ROUND(M219*(1+Sorted!$H$3),2)</f>
        <v>0</v>
      </c>
      <c r="K220" s="47" t="n">
        <f aca="false">MIN(J220,Sorted!$G$3)</f>
        <v>0</v>
      </c>
      <c r="L220" s="47" t="n">
        <v>0</v>
      </c>
      <c r="M220" s="47" t="n">
        <f aca="false">ROUND(J220-K220-L220,2)</f>
        <v>0</v>
      </c>
      <c r="N220" s="47" t="n">
        <f aca="false">ROUND(Q219*(1+Sorted!$H$4),2)</f>
        <v>0</v>
      </c>
      <c r="O220" s="47" t="n">
        <f aca="false">MIN(N220,Sorted!$G$4)</f>
        <v>0</v>
      </c>
      <c r="P220" s="47" t="n">
        <v>0</v>
      </c>
      <c r="Q220" s="47" t="n">
        <f aca="false">ROUND(N220-O220-P220,2)</f>
        <v>0</v>
      </c>
      <c r="R220" s="47" t="n">
        <f aca="false">ROUND(U219*(1+Sorted!$H$5),2)</f>
        <v>0</v>
      </c>
      <c r="S220" s="47" t="n">
        <f aca="false">MIN(R220,Sorted!$G$5)</f>
        <v>0</v>
      </c>
      <c r="T220" s="47" t="n">
        <v>0</v>
      </c>
      <c r="U220" s="47" t="n">
        <f aca="false">ROUND(R220-S220-T220,2)</f>
        <v>0</v>
      </c>
      <c r="V220" s="47" t="n">
        <f aca="false">ROUND(Y219*(1+Sorted!$H$6),2)</f>
        <v>0</v>
      </c>
      <c r="W220" s="47" t="n">
        <f aca="false">MIN(V220,Sorted!$G$6)</f>
        <v>0</v>
      </c>
      <c r="X220" s="47" t="n">
        <v>0</v>
      </c>
      <c r="Y220" s="47" t="n">
        <f aca="false">ROUND(V220-W220-X220,2)</f>
        <v>0</v>
      </c>
      <c r="Z220" s="47" t="n">
        <f aca="false">ROUND(AC219*(1+Sorted!$H$7),2)</f>
        <v>0</v>
      </c>
      <c r="AA220" s="47" t="n">
        <f aca="false">MIN(Z220,Sorted!$G$7)</f>
        <v>0</v>
      </c>
      <c r="AB220" s="47" t="n">
        <v>0</v>
      </c>
      <c r="AC220" s="47" t="n">
        <f aca="false">ROUND(Z220-AA220-AB220,2)</f>
        <v>0</v>
      </c>
      <c r="AD220" s="47" t="n">
        <f aca="false">ROUND(AG219*(1+Sorted!$H$8),2)</f>
        <v>0</v>
      </c>
      <c r="AE220" s="47" t="n">
        <f aca="false">MIN(AD220,Sorted!$G$8)</f>
        <v>0</v>
      </c>
      <c r="AF220" s="47" t="n">
        <v>0</v>
      </c>
      <c r="AG220" s="47" t="n">
        <f aca="false">ROUND(AD220-AE220-AF220,2)</f>
        <v>0</v>
      </c>
      <c r="AH220" s="47" t="n">
        <f aca="false">ROUND(AK219*(1+Sorted!$H$9),2)</f>
        <v>0</v>
      </c>
      <c r="AI220" s="47" t="n">
        <f aca="false">MIN(AH220,Sorted!$G$9)</f>
        <v>0</v>
      </c>
      <c r="AJ220" s="47" t="n">
        <v>0</v>
      </c>
      <c r="AK220" s="47" t="n">
        <f aca="false">ROUND(AH220-AI220-AJ220,2)</f>
        <v>0</v>
      </c>
      <c r="AL220" s="47" t="n">
        <f aca="false">ROUND(AO219*(1+Sorted!$H$10),2)</f>
        <v>0</v>
      </c>
      <c r="AM220" s="47" t="n">
        <f aca="false">MIN(AL220,Sorted!$G$10)</f>
        <v>0</v>
      </c>
      <c r="AN220" s="47" t="n">
        <v>0</v>
      </c>
      <c r="AO220" s="47" t="n">
        <f aca="false">ROUND(AL220-AM220-AN220,2)</f>
        <v>0</v>
      </c>
      <c r="AP220" s="47" t="n">
        <f aca="false">ROUND(AS219*(1+Sorted!$H$11),2)</f>
        <v>0</v>
      </c>
      <c r="AQ220" s="47" t="n">
        <f aca="false">MIN(AP220,Sorted!$G$11)</f>
        <v>0</v>
      </c>
      <c r="AR220" s="47" t="n">
        <v>0</v>
      </c>
      <c r="AS220" s="47" t="n">
        <f aca="false">ROUND(AP220-AQ220-AR220,2)</f>
        <v>0</v>
      </c>
    </row>
    <row r="221" customFormat="false" ht="15" hidden="false" customHeight="false" outlineLevel="0" collapsed="false">
      <c r="A221" s="45" t="n">
        <v>218</v>
      </c>
      <c r="B221" s="46" t="n">
        <f aca="false">EDATE('My Debts'!$C$7,A221-1)</f>
        <v>52932</v>
      </c>
      <c r="C221" s="47" t="n">
        <v>0</v>
      </c>
      <c r="D221" s="47" t="n">
        <f aca="false">(F221+J221+N221+R221+V221+Z221+AD221+AH221+AL221+AP221)-(I221+M221+Q221+U221+Y221+AC221+AG221+AK221+AO221+AS221)</f>
        <v>0</v>
      </c>
      <c r="E221" s="48" t="n">
        <f aca="false">I221+M221+Q221+U221+Y221+AC221+AG221+AK221+AO221+AS221</f>
        <v>0</v>
      </c>
      <c r="F221" s="47" t="n">
        <f aca="false">ROUND(I220*(1+Sorted!$H$2),2)</f>
        <v>0</v>
      </c>
      <c r="G221" s="47" t="n">
        <f aca="false">MIN(F221,Sorted!$G$2)</f>
        <v>0</v>
      </c>
      <c r="H221" s="47" t="n">
        <v>0</v>
      </c>
      <c r="I221" s="47" t="n">
        <f aca="false">ROUND(F221-G221-H221,2)</f>
        <v>0</v>
      </c>
      <c r="J221" s="47" t="n">
        <f aca="false">ROUND(M220*(1+Sorted!$H$3),2)</f>
        <v>0</v>
      </c>
      <c r="K221" s="47" t="n">
        <f aca="false">MIN(J221,Sorted!$G$3)</f>
        <v>0</v>
      </c>
      <c r="L221" s="47" t="n">
        <v>0</v>
      </c>
      <c r="M221" s="47" t="n">
        <f aca="false">ROUND(J221-K221-L221,2)</f>
        <v>0</v>
      </c>
      <c r="N221" s="47" t="n">
        <f aca="false">ROUND(Q220*(1+Sorted!$H$4),2)</f>
        <v>0</v>
      </c>
      <c r="O221" s="47" t="n">
        <f aca="false">MIN(N221,Sorted!$G$4)</f>
        <v>0</v>
      </c>
      <c r="P221" s="47" t="n">
        <v>0</v>
      </c>
      <c r="Q221" s="47" t="n">
        <f aca="false">ROUND(N221-O221-P221,2)</f>
        <v>0</v>
      </c>
      <c r="R221" s="47" t="n">
        <f aca="false">ROUND(U220*(1+Sorted!$H$5),2)</f>
        <v>0</v>
      </c>
      <c r="S221" s="47" t="n">
        <f aca="false">MIN(R221,Sorted!$G$5)</f>
        <v>0</v>
      </c>
      <c r="T221" s="47" t="n">
        <v>0</v>
      </c>
      <c r="U221" s="47" t="n">
        <f aca="false">ROUND(R221-S221-T221,2)</f>
        <v>0</v>
      </c>
      <c r="V221" s="47" t="n">
        <f aca="false">ROUND(Y220*(1+Sorted!$H$6),2)</f>
        <v>0</v>
      </c>
      <c r="W221" s="47" t="n">
        <f aca="false">MIN(V221,Sorted!$G$6)</f>
        <v>0</v>
      </c>
      <c r="X221" s="47" t="n">
        <v>0</v>
      </c>
      <c r="Y221" s="47" t="n">
        <f aca="false">ROUND(V221-W221-X221,2)</f>
        <v>0</v>
      </c>
      <c r="Z221" s="47" t="n">
        <f aca="false">ROUND(AC220*(1+Sorted!$H$7),2)</f>
        <v>0</v>
      </c>
      <c r="AA221" s="47" t="n">
        <f aca="false">MIN(Z221,Sorted!$G$7)</f>
        <v>0</v>
      </c>
      <c r="AB221" s="47" t="n">
        <v>0</v>
      </c>
      <c r="AC221" s="47" t="n">
        <f aca="false">ROUND(Z221-AA221-AB221,2)</f>
        <v>0</v>
      </c>
      <c r="AD221" s="47" t="n">
        <f aca="false">ROUND(AG220*(1+Sorted!$H$8),2)</f>
        <v>0</v>
      </c>
      <c r="AE221" s="47" t="n">
        <f aca="false">MIN(AD221,Sorted!$G$8)</f>
        <v>0</v>
      </c>
      <c r="AF221" s="47" t="n">
        <v>0</v>
      </c>
      <c r="AG221" s="47" t="n">
        <f aca="false">ROUND(AD221-AE221-AF221,2)</f>
        <v>0</v>
      </c>
      <c r="AH221" s="47" t="n">
        <f aca="false">ROUND(AK220*(1+Sorted!$H$9),2)</f>
        <v>0</v>
      </c>
      <c r="AI221" s="47" t="n">
        <f aca="false">MIN(AH221,Sorted!$G$9)</f>
        <v>0</v>
      </c>
      <c r="AJ221" s="47" t="n">
        <v>0</v>
      </c>
      <c r="AK221" s="47" t="n">
        <f aca="false">ROUND(AH221-AI221-AJ221,2)</f>
        <v>0</v>
      </c>
      <c r="AL221" s="47" t="n">
        <f aca="false">ROUND(AO220*(1+Sorted!$H$10),2)</f>
        <v>0</v>
      </c>
      <c r="AM221" s="47" t="n">
        <f aca="false">MIN(AL221,Sorted!$G$10)</f>
        <v>0</v>
      </c>
      <c r="AN221" s="47" t="n">
        <v>0</v>
      </c>
      <c r="AO221" s="47" t="n">
        <f aca="false">ROUND(AL221-AM221-AN221,2)</f>
        <v>0</v>
      </c>
      <c r="AP221" s="47" t="n">
        <f aca="false">ROUND(AS220*(1+Sorted!$H$11),2)</f>
        <v>0</v>
      </c>
      <c r="AQ221" s="47" t="n">
        <f aca="false">MIN(AP221,Sorted!$G$11)</f>
        <v>0</v>
      </c>
      <c r="AR221" s="47" t="n">
        <v>0</v>
      </c>
      <c r="AS221" s="47" t="n">
        <f aca="false">ROUND(AP221-AQ221-AR221,2)</f>
        <v>0</v>
      </c>
    </row>
    <row r="222" customFormat="false" ht="15" hidden="false" customHeight="false" outlineLevel="0" collapsed="false">
      <c r="A222" s="45" t="n">
        <v>219</v>
      </c>
      <c r="B222" s="46" t="n">
        <f aca="false">EDATE('My Debts'!$C$7,A222-1)</f>
        <v>52963</v>
      </c>
      <c r="C222" s="47" t="n">
        <v>0</v>
      </c>
      <c r="D222" s="47" t="n">
        <f aca="false">(F222+J222+N222+R222+V222+Z222+AD222+AH222+AL222+AP222)-(I222+M222+Q222+U222+Y222+AC222+AG222+AK222+AO222+AS222)</f>
        <v>0</v>
      </c>
      <c r="E222" s="48" t="n">
        <f aca="false">I222+M222+Q222+U222+Y222+AC222+AG222+AK222+AO222+AS222</f>
        <v>0</v>
      </c>
      <c r="F222" s="47" t="n">
        <f aca="false">ROUND(I221*(1+Sorted!$H$2),2)</f>
        <v>0</v>
      </c>
      <c r="G222" s="47" t="n">
        <f aca="false">MIN(F222,Sorted!$G$2)</f>
        <v>0</v>
      </c>
      <c r="H222" s="47" t="n">
        <v>0</v>
      </c>
      <c r="I222" s="47" t="n">
        <f aca="false">ROUND(F222-G222-H222,2)</f>
        <v>0</v>
      </c>
      <c r="J222" s="47" t="n">
        <f aca="false">ROUND(M221*(1+Sorted!$H$3),2)</f>
        <v>0</v>
      </c>
      <c r="K222" s="47" t="n">
        <f aca="false">MIN(J222,Sorted!$G$3)</f>
        <v>0</v>
      </c>
      <c r="L222" s="47" t="n">
        <v>0</v>
      </c>
      <c r="M222" s="47" t="n">
        <f aca="false">ROUND(J222-K222-L222,2)</f>
        <v>0</v>
      </c>
      <c r="N222" s="47" t="n">
        <f aca="false">ROUND(Q221*(1+Sorted!$H$4),2)</f>
        <v>0</v>
      </c>
      <c r="O222" s="47" t="n">
        <f aca="false">MIN(N222,Sorted!$G$4)</f>
        <v>0</v>
      </c>
      <c r="P222" s="47" t="n">
        <v>0</v>
      </c>
      <c r="Q222" s="47" t="n">
        <f aca="false">ROUND(N222-O222-P222,2)</f>
        <v>0</v>
      </c>
      <c r="R222" s="47" t="n">
        <f aca="false">ROUND(U221*(1+Sorted!$H$5),2)</f>
        <v>0</v>
      </c>
      <c r="S222" s="47" t="n">
        <f aca="false">MIN(R222,Sorted!$G$5)</f>
        <v>0</v>
      </c>
      <c r="T222" s="47" t="n">
        <v>0</v>
      </c>
      <c r="U222" s="47" t="n">
        <f aca="false">ROUND(R222-S222-T222,2)</f>
        <v>0</v>
      </c>
      <c r="V222" s="47" t="n">
        <f aca="false">ROUND(Y221*(1+Sorted!$H$6),2)</f>
        <v>0</v>
      </c>
      <c r="W222" s="47" t="n">
        <f aca="false">MIN(V222,Sorted!$G$6)</f>
        <v>0</v>
      </c>
      <c r="X222" s="47" t="n">
        <v>0</v>
      </c>
      <c r="Y222" s="47" t="n">
        <f aca="false">ROUND(V222-W222-X222,2)</f>
        <v>0</v>
      </c>
      <c r="Z222" s="47" t="n">
        <f aca="false">ROUND(AC221*(1+Sorted!$H$7),2)</f>
        <v>0</v>
      </c>
      <c r="AA222" s="47" t="n">
        <f aca="false">MIN(Z222,Sorted!$G$7)</f>
        <v>0</v>
      </c>
      <c r="AB222" s="47" t="n">
        <v>0</v>
      </c>
      <c r="AC222" s="47" t="n">
        <f aca="false">ROUND(Z222-AA222-AB222,2)</f>
        <v>0</v>
      </c>
      <c r="AD222" s="47" t="n">
        <f aca="false">ROUND(AG221*(1+Sorted!$H$8),2)</f>
        <v>0</v>
      </c>
      <c r="AE222" s="47" t="n">
        <f aca="false">MIN(AD222,Sorted!$G$8)</f>
        <v>0</v>
      </c>
      <c r="AF222" s="47" t="n">
        <v>0</v>
      </c>
      <c r="AG222" s="47" t="n">
        <f aca="false">ROUND(AD222-AE222-AF222,2)</f>
        <v>0</v>
      </c>
      <c r="AH222" s="47" t="n">
        <f aca="false">ROUND(AK221*(1+Sorted!$H$9),2)</f>
        <v>0</v>
      </c>
      <c r="AI222" s="47" t="n">
        <f aca="false">MIN(AH222,Sorted!$G$9)</f>
        <v>0</v>
      </c>
      <c r="AJ222" s="47" t="n">
        <v>0</v>
      </c>
      <c r="AK222" s="47" t="n">
        <f aca="false">ROUND(AH222-AI222-AJ222,2)</f>
        <v>0</v>
      </c>
      <c r="AL222" s="47" t="n">
        <f aca="false">ROUND(AO221*(1+Sorted!$H$10),2)</f>
        <v>0</v>
      </c>
      <c r="AM222" s="47" t="n">
        <f aca="false">MIN(AL222,Sorted!$G$10)</f>
        <v>0</v>
      </c>
      <c r="AN222" s="47" t="n">
        <v>0</v>
      </c>
      <c r="AO222" s="47" t="n">
        <f aca="false">ROUND(AL222-AM222-AN222,2)</f>
        <v>0</v>
      </c>
      <c r="AP222" s="47" t="n">
        <f aca="false">ROUND(AS221*(1+Sorted!$H$11),2)</f>
        <v>0</v>
      </c>
      <c r="AQ222" s="47" t="n">
        <f aca="false">MIN(AP222,Sorted!$G$11)</f>
        <v>0</v>
      </c>
      <c r="AR222" s="47" t="n">
        <v>0</v>
      </c>
      <c r="AS222" s="47" t="n">
        <f aca="false">ROUND(AP222-AQ222-AR222,2)</f>
        <v>0</v>
      </c>
    </row>
    <row r="223" customFormat="false" ht="15" hidden="false" customHeight="false" outlineLevel="0" collapsed="false">
      <c r="A223" s="45" t="n">
        <v>220</v>
      </c>
      <c r="B223" s="46" t="n">
        <f aca="false">EDATE('My Debts'!$C$7,A223-1)</f>
        <v>52994</v>
      </c>
      <c r="C223" s="47" t="n">
        <v>0</v>
      </c>
      <c r="D223" s="47" t="n">
        <f aca="false">(F223+J223+N223+R223+V223+Z223+AD223+AH223+AL223+AP223)-(I223+M223+Q223+U223+Y223+AC223+AG223+AK223+AO223+AS223)</f>
        <v>0</v>
      </c>
      <c r="E223" s="48" t="n">
        <f aca="false">I223+M223+Q223+U223+Y223+AC223+AG223+AK223+AO223+AS223</f>
        <v>0</v>
      </c>
      <c r="F223" s="47" t="n">
        <f aca="false">ROUND(I222*(1+Sorted!$H$2),2)</f>
        <v>0</v>
      </c>
      <c r="G223" s="47" t="n">
        <f aca="false">MIN(F223,Sorted!$G$2)</f>
        <v>0</v>
      </c>
      <c r="H223" s="47" t="n">
        <v>0</v>
      </c>
      <c r="I223" s="47" t="n">
        <f aca="false">ROUND(F223-G223-H223,2)</f>
        <v>0</v>
      </c>
      <c r="J223" s="47" t="n">
        <f aca="false">ROUND(M222*(1+Sorted!$H$3),2)</f>
        <v>0</v>
      </c>
      <c r="K223" s="47" t="n">
        <f aca="false">MIN(J223,Sorted!$G$3)</f>
        <v>0</v>
      </c>
      <c r="L223" s="47" t="n">
        <v>0</v>
      </c>
      <c r="M223" s="47" t="n">
        <f aca="false">ROUND(J223-K223-L223,2)</f>
        <v>0</v>
      </c>
      <c r="N223" s="47" t="n">
        <f aca="false">ROUND(Q222*(1+Sorted!$H$4),2)</f>
        <v>0</v>
      </c>
      <c r="O223" s="47" t="n">
        <f aca="false">MIN(N223,Sorted!$G$4)</f>
        <v>0</v>
      </c>
      <c r="P223" s="47" t="n">
        <v>0</v>
      </c>
      <c r="Q223" s="47" t="n">
        <f aca="false">ROUND(N223-O223-P223,2)</f>
        <v>0</v>
      </c>
      <c r="R223" s="47" t="n">
        <f aca="false">ROUND(U222*(1+Sorted!$H$5),2)</f>
        <v>0</v>
      </c>
      <c r="S223" s="47" t="n">
        <f aca="false">MIN(R223,Sorted!$G$5)</f>
        <v>0</v>
      </c>
      <c r="T223" s="47" t="n">
        <v>0</v>
      </c>
      <c r="U223" s="47" t="n">
        <f aca="false">ROUND(R223-S223-T223,2)</f>
        <v>0</v>
      </c>
      <c r="V223" s="47" t="n">
        <f aca="false">ROUND(Y222*(1+Sorted!$H$6),2)</f>
        <v>0</v>
      </c>
      <c r="W223" s="47" t="n">
        <f aca="false">MIN(V223,Sorted!$G$6)</f>
        <v>0</v>
      </c>
      <c r="X223" s="47" t="n">
        <v>0</v>
      </c>
      <c r="Y223" s="47" t="n">
        <f aca="false">ROUND(V223-W223-X223,2)</f>
        <v>0</v>
      </c>
      <c r="Z223" s="47" t="n">
        <f aca="false">ROUND(AC222*(1+Sorted!$H$7),2)</f>
        <v>0</v>
      </c>
      <c r="AA223" s="47" t="n">
        <f aca="false">MIN(Z223,Sorted!$G$7)</f>
        <v>0</v>
      </c>
      <c r="AB223" s="47" t="n">
        <v>0</v>
      </c>
      <c r="AC223" s="47" t="n">
        <f aca="false">ROUND(Z223-AA223-AB223,2)</f>
        <v>0</v>
      </c>
      <c r="AD223" s="47" t="n">
        <f aca="false">ROUND(AG222*(1+Sorted!$H$8),2)</f>
        <v>0</v>
      </c>
      <c r="AE223" s="47" t="n">
        <f aca="false">MIN(AD223,Sorted!$G$8)</f>
        <v>0</v>
      </c>
      <c r="AF223" s="47" t="n">
        <v>0</v>
      </c>
      <c r="AG223" s="47" t="n">
        <f aca="false">ROUND(AD223-AE223-AF223,2)</f>
        <v>0</v>
      </c>
      <c r="AH223" s="47" t="n">
        <f aca="false">ROUND(AK222*(1+Sorted!$H$9),2)</f>
        <v>0</v>
      </c>
      <c r="AI223" s="47" t="n">
        <f aca="false">MIN(AH223,Sorted!$G$9)</f>
        <v>0</v>
      </c>
      <c r="AJ223" s="47" t="n">
        <v>0</v>
      </c>
      <c r="AK223" s="47" t="n">
        <f aca="false">ROUND(AH223-AI223-AJ223,2)</f>
        <v>0</v>
      </c>
      <c r="AL223" s="47" t="n">
        <f aca="false">ROUND(AO222*(1+Sorted!$H$10),2)</f>
        <v>0</v>
      </c>
      <c r="AM223" s="47" t="n">
        <f aca="false">MIN(AL223,Sorted!$G$10)</f>
        <v>0</v>
      </c>
      <c r="AN223" s="47" t="n">
        <v>0</v>
      </c>
      <c r="AO223" s="47" t="n">
        <f aca="false">ROUND(AL223-AM223-AN223,2)</f>
        <v>0</v>
      </c>
      <c r="AP223" s="47" t="n">
        <f aca="false">ROUND(AS222*(1+Sorted!$H$11),2)</f>
        <v>0</v>
      </c>
      <c r="AQ223" s="47" t="n">
        <f aca="false">MIN(AP223,Sorted!$G$11)</f>
        <v>0</v>
      </c>
      <c r="AR223" s="47" t="n">
        <v>0</v>
      </c>
      <c r="AS223" s="47" t="n">
        <f aca="false">ROUND(AP223-AQ223-AR223,2)</f>
        <v>0</v>
      </c>
    </row>
    <row r="224" customFormat="false" ht="15" hidden="false" customHeight="false" outlineLevel="0" collapsed="false">
      <c r="A224" s="45" t="n">
        <v>221</v>
      </c>
      <c r="B224" s="46" t="n">
        <f aca="false">EDATE('My Debts'!$C$7,A224-1)</f>
        <v>53022</v>
      </c>
      <c r="C224" s="47" t="n">
        <v>0</v>
      </c>
      <c r="D224" s="47" t="n">
        <f aca="false">(F224+J224+N224+R224+V224+Z224+AD224+AH224+AL224+AP224)-(I224+M224+Q224+U224+Y224+AC224+AG224+AK224+AO224+AS224)</f>
        <v>0</v>
      </c>
      <c r="E224" s="48" t="n">
        <f aca="false">I224+M224+Q224+U224+Y224+AC224+AG224+AK224+AO224+AS224</f>
        <v>0</v>
      </c>
      <c r="F224" s="47" t="n">
        <f aca="false">ROUND(I223*(1+Sorted!$H$2),2)</f>
        <v>0</v>
      </c>
      <c r="G224" s="47" t="n">
        <f aca="false">MIN(F224,Sorted!$G$2)</f>
        <v>0</v>
      </c>
      <c r="H224" s="47" t="n">
        <v>0</v>
      </c>
      <c r="I224" s="47" t="n">
        <f aca="false">ROUND(F224-G224-H224,2)</f>
        <v>0</v>
      </c>
      <c r="J224" s="47" t="n">
        <f aca="false">ROUND(M223*(1+Sorted!$H$3),2)</f>
        <v>0</v>
      </c>
      <c r="K224" s="47" t="n">
        <f aca="false">MIN(J224,Sorted!$G$3)</f>
        <v>0</v>
      </c>
      <c r="L224" s="47" t="n">
        <v>0</v>
      </c>
      <c r="M224" s="47" t="n">
        <f aca="false">ROUND(J224-K224-L224,2)</f>
        <v>0</v>
      </c>
      <c r="N224" s="47" t="n">
        <f aca="false">ROUND(Q223*(1+Sorted!$H$4),2)</f>
        <v>0</v>
      </c>
      <c r="O224" s="47" t="n">
        <f aca="false">MIN(N224,Sorted!$G$4)</f>
        <v>0</v>
      </c>
      <c r="P224" s="47" t="n">
        <v>0</v>
      </c>
      <c r="Q224" s="47" t="n">
        <f aca="false">ROUND(N224-O224-P224,2)</f>
        <v>0</v>
      </c>
      <c r="R224" s="47" t="n">
        <f aca="false">ROUND(U223*(1+Sorted!$H$5),2)</f>
        <v>0</v>
      </c>
      <c r="S224" s="47" t="n">
        <f aca="false">MIN(R224,Sorted!$G$5)</f>
        <v>0</v>
      </c>
      <c r="T224" s="47" t="n">
        <v>0</v>
      </c>
      <c r="U224" s="47" t="n">
        <f aca="false">ROUND(R224-S224-T224,2)</f>
        <v>0</v>
      </c>
      <c r="V224" s="47" t="n">
        <f aca="false">ROUND(Y223*(1+Sorted!$H$6),2)</f>
        <v>0</v>
      </c>
      <c r="W224" s="47" t="n">
        <f aca="false">MIN(V224,Sorted!$G$6)</f>
        <v>0</v>
      </c>
      <c r="X224" s="47" t="n">
        <v>0</v>
      </c>
      <c r="Y224" s="47" t="n">
        <f aca="false">ROUND(V224-W224-X224,2)</f>
        <v>0</v>
      </c>
      <c r="Z224" s="47" t="n">
        <f aca="false">ROUND(AC223*(1+Sorted!$H$7),2)</f>
        <v>0</v>
      </c>
      <c r="AA224" s="47" t="n">
        <f aca="false">MIN(Z224,Sorted!$G$7)</f>
        <v>0</v>
      </c>
      <c r="AB224" s="47" t="n">
        <v>0</v>
      </c>
      <c r="AC224" s="47" t="n">
        <f aca="false">ROUND(Z224-AA224-AB224,2)</f>
        <v>0</v>
      </c>
      <c r="AD224" s="47" t="n">
        <f aca="false">ROUND(AG223*(1+Sorted!$H$8),2)</f>
        <v>0</v>
      </c>
      <c r="AE224" s="47" t="n">
        <f aca="false">MIN(AD224,Sorted!$G$8)</f>
        <v>0</v>
      </c>
      <c r="AF224" s="47" t="n">
        <v>0</v>
      </c>
      <c r="AG224" s="47" t="n">
        <f aca="false">ROUND(AD224-AE224-AF224,2)</f>
        <v>0</v>
      </c>
      <c r="AH224" s="47" t="n">
        <f aca="false">ROUND(AK223*(1+Sorted!$H$9),2)</f>
        <v>0</v>
      </c>
      <c r="AI224" s="47" t="n">
        <f aca="false">MIN(AH224,Sorted!$G$9)</f>
        <v>0</v>
      </c>
      <c r="AJ224" s="47" t="n">
        <v>0</v>
      </c>
      <c r="AK224" s="47" t="n">
        <f aca="false">ROUND(AH224-AI224-AJ224,2)</f>
        <v>0</v>
      </c>
      <c r="AL224" s="47" t="n">
        <f aca="false">ROUND(AO223*(1+Sorted!$H$10),2)</f>
        <v>0</v>
      </c>
      <c r="AM224" s="47" t="n">
        <f aca="false">MIN(AL224,Sorted!$G$10)</f>
        <v>0</v>
      </c>
      <c r="AN224" s="47" t="n">
        <v>0</v>
      </c>
      <c r="AO224" s="47" t="n">
        <f aca="false">ROUND(AL224-AM224-AN224,2)</f>
        <v>0</v>
      </c>
      <c r="AP224" s="47" t="n">
        <f aca="false">ROUND(AS223*(1+Sorted!$H$11),2)</f>
        <v>0</v>
      </c>
      <c r="AQ224" s="47" t="n">
        <f aca="false">MIN(AP224,Sorted!$G$11)</f>
        <v>0</v>
      </c>
      <c r="AR224" s="47" t="n">
        <v>0</v>
      </c>
      <c r="AS224" s="47" t="n">
        <f aca="false">ROUND(AP224-AQ224-AR224,2)</f>
        <v>0</v>
      </c>
    </row>
    <row r="225" customFormat="false" ht="15" hidden="false" customHeight="false" outlineLevel="0" collapsed="false">
      <c r="A225" s="45" t="n">
        <v>222</v>
      </c>
      <c r="B225" s="46" t="n">
        <f aca="false">EDATE('My Debts'!$C$7,A225-1)</f>
        <v>53053</v>
      </c>
      <c r="C225" s="47" t="n">
        <v>0</v>
      </c>
      <c r="D225" s="47" t="n">
        <f aca="false">(F225+J225+N225+R225+V225+Z225+AD225+AH225+AL225+AP225)-(I225+M225+Q225+U225+Y225+AC225+AG225+AK225+AO225+AS225)</f>
        <v>0</v>
      </c>
      <c r="E225" s="48" t="n">
        <f aca="false">I225+M225+Q225+U225+Y225+AC225+AG225+AK225+AO225+AS225</f>
        <v>0</v>
      </c>
      <c r="F225" s="47" t="n">
        <f aca="false">ROUND(I224*(1+Sorted!$H$2),2)</f>
        <v>0</v>
      </c>
      <c r="G225" s="47" t="n">
        <f aca="false">MIN(F225,Sorted!$G$2)</f>
        <v>0</v>
      </c>
      <c r="H225" s="47" t="n">
        <v>0</v>
      </c>
      <c r="I225" s="47" t="n">
        <f aca="false">ROUND(F225-G225-H225,2)</f>
        <v>0</v>
      </c>
      <c r="J225" s="47" t="n">
        <f aca="false">ROUND(M224*(1+Sorted!$H$3),2)</f>
        <v>0</v>
      </c>
      <c r="K225" s="47" t="n">
        <f aca="false">MIN(J225,Sorted!$G$3)</f>
        <v>0</v>
      </c>
      <c r="L225" s="47" t="n">
        <v>0</v>
      </c>
      <c r="M225" s="47" t="n">
        <f aca="false">ROUND(J225-K225-L225,2)</f>
        <v>0</v>
      </c>
      <c r="N225" s="47" t="n">
        <f aca="false">ROUND(Q224*(1+Sorted!$H$4),2)</f>
        <v>0</v>
      </c>
      <c r="O225" s="47" t="n">
        <f aca="false">MIN(N225,Sorted!$G$4)</f>
        <v>0</v>
      </c>
      <c r="P225" s="47" t="n">
        <v>0</v>
      </c>
      <c r="Q225" s="47" t="n">
        <f aca="false">ROUND(N225-O225-P225,2)</f>
        <v>0</v>
      </c>
      <c r="R225" s="47" t="n">
        <f aca="false">ROUND(U224*(1+Sorted!$H$5),2)</f>
        <v>0</v>
      </c>
      <c r="S225" s="47" t="n">
        <f aca="false">MIN(R225,Sorted!$G$5)</f>
        <v>0</v>
      </c>
      <c r="T225" s="47" t="n">
        <v>0</v>
      </c>
      <c r="U225" s="47" t="n">
        <f aca="false">ROUND(R225-S225-T225,2)</f>
        <v>0</v>
      </c>
      <c r="V225" s="47" t="n">
        <f aca="false">ROUND(Y224*(1+Sorted!$H$6),2)</f>
        <v>0</v>
      </c>
      <c r="W225" s="47" t="n">
        <f aca="false">MIN(V225,Sorted!$G$6)</f>
        <v>0</v>
      </c>
      <c r="X225" s="47" t="n">
        <v>0</v>
      </c>
      <c r="Y225" s="47" t="n">
        <f aca="false">ROUND(V225-W225-X225,2)</f>
        <v>0</v>
      </c>
      <c r="Z225" s="47" t="n">
        <f aca="false">ROUND(AC224*(1+Sorted!$H$7),2)</f>
        <v>0</v>
      </c>
      <c r="AA225" s="47" t="n">
        <f aca="false">MIN(Z225,Sorted!$G$7)</f>
        <v>0</v>
      </c>
      <c r="AB225" s="47" t="n">
        <v>0</v>
      </c>
      <c r="AC225" s="47" t="n">
        <f aca="false">ROUND(Z225-AA225-AB225,2)</f>
        <v>0</v>
      </c>
      <c r="AD225" s="47" t="n">
        <f aca="false">ROUND(AG224*(1+Sorted!$H$8),2)</f>
        <v>0</v>
      </c>
      <c r="AE225" s="47" t="n">
        <f aca="false">MIN(AD225,Sorted!$G$8)</f>
        <v>0</v>
      </c>
      <c r="AF225" s="47" t="n">
        <v>0</v>
      </c>
      <c r="AG225" s="47" t="n">
        <f aca="false">ROUND(AD225-AE225-AF225,2)</f>
        <v>0</v>
      </c>
      <c r="AH225" s="47" t="n">
        <f aca="false">ROUND(AK224*(1+Sorted!$H$9),2)</f>
        <v>0</v>
      </c>
      <c r="AI225" s="47" t="n">
        <f aca="false">MIN(AH225,Sorted!$G$9)</f>
        <v>0</v>
      </c>
      <c r="AJ225" s="47" t="n">
        <v>0</v>
      </c>
      <c r="AK225" s="47" t="n">
        <f aca="false">ROUND(AH225-AI225-AJ225,2)</f>
        <v>0</v>
      </c>
      <c r="AL225" s="47" t="n">
        <f aca="false">ROUND(AO224*(1+Sorted!$H$10),2)</f>
        <v>0</v>
      </c>
      <c r="AM225" s="47" t="n">
        <f aca="false">MIN(AL225,Sorted!$G$10)</f>
        <v>0</v>
      </c>
      <c r="AN225" s="47" t="n">
        <v>0</v>
      </c>
      <c r="AO225" s="47" t="n">
        <f aca="false">ROUND(AL225-AM225-AN225,2)</f>
        <v>0</v>
      </c>
      <c r="AP225" s="47" t="n">
        <f aca="false">ROUND(AS224*(1+Sorted!$H$11),2)</f>
        <v>0</v>
      </c>
      <c r="AQ225" s="47" t="n">
        <f aca="false">MIN(AP225,Sorted!$G$11)</f>
        <v>0</v>
      </c>
      <c r="AR225" s="47" t="n">
        <v>0</v>
      </c>
      <c r="AS225" s="47" t="n">
        <f aca="false">ROUND(AP225-AQ225-AR225,2)</f>
        <v>0</v>
      </c>
    </row>
    <row r="226" customFormat="false" ht="15" hidden="false" customHeight="false" outlineLevel="0" collapsed="false">
      <c r="A226" s="45" t="n">
        <v>223</v>
      </c>
      <c r="B226" s="46" t="n">
        <f aca="false">EDATE('My Debts'!$C$7,A226-1)</f>
        <v>53083</v>
      </c>
      <c r="C226" s="47" t="n">
        <v>0</v>
      </c>
      <c r="D226" s="47" t="n">
        <f aca="false">(F226+J226+N226+R226+V226+Z226+AD226+AH226+AL226+AP226)-(I226+M226+Q226+U226+Y226+AC226+AG226+AK226+AO226+AS226)</f>
        <v>0</v>
      </c>
      <c r="E226" s="48" t="n">
        <f aca="false">I226+M226+Q226+U226+Y226+AC226+AG226+AK226+AO226+AS226</f>
        <v>0</v>
      </c>
      <c r="F226" s="47" t="n">
        <f aca="false">ROUND(I225*(1+Sorted!$H$2),2)</f>
        <v>0</v>
      </c>
      <c r="G226" s="47" t="n">
        <f aca="false">MIN(F226,Sorted!$G$2)</f>
        <v>0</v>
      </c>
      <c r="H226" s="47" t="n">
        <v>0</v>
      </c>
      <c r="I226" s="47" t="n">
        <f aca="false">ROUND(F226-G226-H226,2)</f>
        <v>0</v>
      </c>
      <c r="J226" s="47" t="n">
        <f aca="false">ROUND(M225*(1+Sorted!$H$3),2)</f>
        <v>0</v>
      </c>
      <c r="K226" s="47" t="n">
        <f aca="false">MIN(J226,Sorted!$G$3)</f>
        <v>0</v>
      </c>
      <c r="L226" s="47" t="n">
        <v>0</v>
      </c>
      <c r="M226" s="47" t="n">
        <f aca="false">ROUND(J226-K226-L226,2)</f>
        <v>0</v>
      </c>
      <c r="N226" s="47" t="n">
        <f aca="false">ROUND(Q225*(1+Sorted!$H$4),2)</f>
        <v>0</v>
      </c>
      <c r="O226" s="47" t="n">
        <f aca="false">MIN(N226,Sorted!$G$4)</f>
        <v>0</v>
      </c>
      <c r="P226" s="47" t="n">
        <v>0</v>
      </c>
      <c r="Q226" s="47" t="n">
        <f aca="false">ROUND(N226-O226-P226,2)</f>
        <v>0</v>
      </c>
      <c r="R226" s="47" t="n">
        <f aca="false">ROUND(U225*(1+Sorted!$H$5),2)</f>
        <v>0</v>
      </c>
      <c r="S226" s="47" t="n">
        <f aca="false">MIN(R226,Sorted!$G$5)</f>
        <v>0</v>
      </c>
      <c r="T226" s="47" t="n">
        <v>0</v>
      </c>
      <c r="U226" s="47" t="n">
        <f aca="false">ROUND(R226-S226-T226,2)</f>
        <v>0</v>
      </c>
      <c r="V226" s="47" t="n">
        <f aca="false">ROUND(Y225*(1+Sorted!$H$6),2)</f>
        <v>0</v>
      </c>
      <c r="W226" s="47" t="n">
        <f aca="false">MIN(V226,Sorted!$G$6)</f>
        <v>0</v>
      </c>
      <c r="X226" s="47" t="n">
        <v>0</v>
      </c>
      <c r="Y226" s="47" t="n">
        <f aca="false">ROUND(V226-W226-X226,2)</f>
        <v>0</v>
      </c>
      <c r="Z226" s="47" t="n">
        <f aca="false">ROUND(AC225*(1+Sorted!$H$7),2)</f>
        <v>0</v>
      </c>
      <c r="AA226" s="47" t="n">
        <f aca="false">MIN(Z226,Sorted!$G$7)</f>
        <v>0</v>
      </c>
      <c r="AB226" s="47" t="n">
        <v>0</v>
      </c>
      <c r="AC226" s="47" t="n">
        <f aca="false">ROUND(Z226-AA226-AB226,2)</f>
        <v>0</v>
      </c>
      <c r="AD226" s="47" t="n">
        <f aca="false">ROUND(AG225*(1+Sorted!$H$8),2)</f>
        <v>0</v>
      </c>
      <c r="AE226" s="47" t="n">
        <f aca="false">MIN(AD226,Sorted!$G$8)</f>
        <v>0</v>
      </c>
      <c r="AF226" s="47" t="n">
        <v>0</v>
      </c>
      <c r="AG226" s="47" t="n">
        <f aca="false">ROUND(AD226-AE226-AF226,2)</f>
        <v>0</v>
      </c>
      <c r="AH226" s="47" t="n">
        <f aca="false">ROUND(AK225*(1+Sorted!$H$9),2)</f>
        <v>0</v>
      </c>
      <c r="AI226" s="47" t="n">
        <f aca="false">MIN(AH226,Sorted!$G$9)</f>
        <v>0</v>
      </c>
      <c r="AJ226" s="47" t="n">
        <v>0</v>
      </c>
      <c r="AK226" s="47" t="n">
        <f aca="false">ROUND(AH226-AI226-AJ226,2)</f>
        <v>0</v>
      </c>
      <c r="AL226" s="47" t="n">
        <f aca="false">ROUND(AO225*(1+Sorted!$H$10),2)</f>
        <v>0</v>
      </c>
      <c r="AM226" s="47" t="n">
        <f aca="false">MIN(AL226,Sorted!$G$10)</f>
        <v>0</v>
      </c>
      <c r="AN226" s="47" t="n">
        <v>0</v>
      </c>
      <c r="AO226" s="47" t="n">
        <f aca="false">ROUND(AL226-AM226-AN226,2)</f>
        <v>0</v>
      </c>
      <c r="AP226" s="47" t="n">
        <f aca="false">ROUND(AS225*(1+Sorted!$H$11),2)</f>
        <v>0</v>
      </c>
      <c r="AQ226" s="47" t="n">
        <f aca="false">MIN(AP226,Sorted!$G$11)</f>
        <v>0</v>
      </c>
      <c r="AR226" s="47" t="n">
        <v>0</v>
      </c>
      <c r="AS226" s="47" t="n">
        <f aca="false">ROUND(AP226-AQ226-AR226,2)</f>
        <v>0</v>
      </c>
    </row>
    <row r="227" customFormat="false" ht="15" hidden="false" customHeight="false" outlineLevel="0" collapsed="false">
      <c r="A227" s="45" t="n">
        <v>224</v>
      </c>
      <c r="B227" s="46" t="n">
        <f aca="false">EDATE('My Debts'!$C$7,A227-1)</f>
        <v>53114</v>
      </c>
      <c r="C227" s="47" t="n">
        <v>0</v>
      </c>
      <c r="D227" s="47" t="n">
        <f aca="false">(F227+J227+N227+R227+V227+Z227+AD227+AH227+AL227+AP227)-(I227+M227+Q227+U227+Y227+AC227+AG227+AK227+AO227+AS227)</f>
        <v>0</v>
      </c>
      <c r="E227" s="48" t="n">
        <f aca="false">I227+M227+Q227+U227+Y227+AC227+AG227+AK227+AO227+AS227</f>
        <v>0</v>
      </c>
      <c r="F227" s="47" t="n">
        <f aca="false">ROUND(I226*(1+Sorted!$H$2),2)</f>
        <v>0</v>
      </c>
      <c r="G227" s="47" t="n">
        <f aca="false">MIN(F227,Sorted!$G$2)</f>
        <v>0</v>
      </c>
      <c r="H227" s="47" t="n">
        <v>0</v>
      </c>
      <c r="I227" s="47" t="n">
        <f aca="false">ROUND(F227-G227-H227,2)</f>
        <v>0</v>
      </c>
      <c r="J227" s="47" t="n">
        <f aca="false">ROUND(M226*(1+Sorted!$H$3),2)</f>
        <v>0</v>
      </c>
      <c r="K227" s="47" t="n">
        <f aca="false">MIN(J227,Sorted!$G$3)</f>
        <v>0</v>
      </c>
      <c r="L227" s="47" t="n">
        <v>0</v>
      </c>
      <c r="M227" s="47" t="n">
        <f aca="false">ROUND(J227-K227-L227,2)</f>
        <v>0</v>
      </c>
      <c r="N227" s="47" t="n">
        <f aca="false">ROUND(Q226*(1+Sorted!$H$4),2)</f>
        <v>0</v>
      </c>
      <c r="O227" s="47" t="n">
        <f aca="false">MIN(N227,Sorted!$G$4)</f>
        <v>0</v>
      </c>
      <c r="P227" s="47" t="n">
        <v>0</v>
      </c>
      <c r="Q227" s="47" t="n">
        <f aca="false">ROUND(N227-O227-P227,2)</f>
        <v>0</v>
      </c>
      <c r="R227" s="47" t="n">
        <f aca="false">ROUND(U226*(1+Sorted!$H$5),2)</f>
        <v>0</v>
      </c>
      <c r="S227" s="47" t="n">
        <f aca="false">MIN(R227,Sorted!$G$5)</f>
        <v>0</v>
      </c>
      <c r="T227" s="47" t="n">
        <v>0</v>
      </c>
      <c r="U227" s="47" t="n">
        <f aca="false">ROUND(R227-S227-T227,2)</f>
        <v>0</v>
      </c>
      <c r="V227" s="47" t="n">
        <f aca="false">ROUND(Y226*(1+Sorted!$H$6),2)</f>
        <v>0</v>
      </c>
      <c r="W227" s="47" t="n">
        <f aca="false">MIN(V227,Sorted!$G$6)</f>
        <v>0</v>
      </c>
      <c r="X227" s="47" t="n">
        <v>0</v>
      </c>
      <c r="Y227" s="47" t="n">
        <f aca="false">ROUND(V227-W227-X227,2)</f>
        <v>0</v>
      </c>
      <c r="Z227" s="47" t="n">
        <f aca="false">ROUND(AC226*(1+Sorted!$H$7),2)</f>
        <v>0</v>
      </c>
      <c r="AA227" s="47" t="n">
        <f aca="false">MIN(Z227,Sorted!$G$7)</f>
        <v>0</v>
      </c>
      <c r="AB227" s="47" t="n">
        <v>0</v>
      </c>
      <c r="AC227" s="47" t="n">
        <f aca="false">ROUND(Z227-AA227-AB227,2)</f>
        <v>0</v>
      </c>
      <c r="AD227" s="47" t="n">
        <f aca="false">ROUND(AG226*(1+Sorted!$H$8),2)</f>
        <v>0</v>
      </c>
      <c r="AE227" s="47" t="n">
        <f aca="false">MIN(AD227,Sorted!$G$8)</f>
        <v>0</v>
      </c>
      <c r="AF227" s="47" t="n">
        <v>0</v>
      </c>
      <c r="AG227" s="47" t="n">
        <f aca="false">ROUND(AD227-AE227-AF227,2)</f>
        <v>0</v>
      </c>
      <c r="AH227" s="47" t="n">
        <f aca="false">ROUND(AK226*(1+Sorted!$H$9),2)</f>
        <v>0</v>
      </c>
      <c r="AI227" s="47" t="n">
        <f aca="false">MIN(AH227,Sorted!$G$9)</f>
        <v>0</v>
      </c>
      <c r="AJ227" s="47" t="n">
        <v>0</v>
      </c>
      <c r="AK227" s="47" t="n">
        <f aca="false">ROUND(AH227-AI227-AJ227,2)</f>
        <v>0</v>
      </c>
      <c r="AL227" s="47" t="n">
        <f aca="false">ROUND(AO226*(1+Sorted!$H$10),2)</f>
        <v>0</v>
      </c>
      <c r="AM227" s="47" t="n">
        <f aca="false">MIN(AL227,Sorted!$G$10)</f>
        <v>0</v>
      </c>
      <c r="AN227" s="47" t="n">
        <v>0</v>
      </c>
      <c r="AO227" s="47" t="n">
        <f aca="false">ROUND(AL227-AM227-AN227,2)</f>
        <v>0</v>
      </c>
      <c r="AP227" s="47" t="n">
        <f aca="false">ROUND(AS226*(1+Sorted!$H$11),2)</f>
        <v>0</v>
      </c>
      <c r="AQ227" s="47" t="n">
        <f aca="false">MIN(AP227,Sorted!$G$11)</f>
        <v>0</v>
      </c>
      <c r="AR227" s="47" t="n">
        <v>0</v>
      </c>
      <c r="AS227" s="47" t="n">
        <f aca="false">ROUND(AP227-AQ227-AR227,2)</f>
        <v>0</v>
      </c>
    </row>
    <row r="228" customFormat="false" ht="15" hidden="false" customHeight="false" outlineLevel="0" collapsed="false">
      <c r="A228" s="45" t="n">
        <v>225</v>
      </c>
      <c r="B228" s="46" t="n">
        <f aca="false">EDATE('My Debts'!$C$7,A228-1)</f>
        <v>53144</v>
      </c>
      <c r="C228" s="47" t="n">
        <v>0</v>
      </c>
      <c r="D228" s="47" t="n">
        <f aca="false">(F228+J228+N228+R228+V228+Z228+AD228+AH228+AL228+AP228)-(I228+M228+Q228+U228+Y228+AC228+AG228+AK228+AO228+AS228)</f>
        <v>0</v>
      </c>
      <c r="E228" s="48" t="n">
        <f aca="false">I228+M228+Q228+U228+Y228+AC228+AG228+AK228+AO228+AS228</f>
        <v>0</v>
      </c>
      <c r="F228" s="47" t="n">
        <f aca="false">ROUND(I227*(1+Sorted!$H$2),2)</f>
        <v>0</v>
      </c>
      <c r="G228" s="47" t="n">
        <f aca="false">MIN(F228,Sorted!$G$2)</f>
        <v>0</v>
      </c>
      <c r="H228" s="47" t="n">
        <v>0</v>
      </c>
      <c r="I228" s="47" t="n">
        <f aca="false">ROUND(F228-G228-H228,2)</f>
        <v>0</v>
      </c>
      <c r="J228" s="47" t="n">
        <f aca="false">ROUND(M227*(1+Sorted!$H$3),2)</f>
        <v>0</v>
      </c>
      <c r="K228" s="47" t="n">
        <f aca="false">MIN(J228,Sorted!$G$3)</f>
        <v>0</v>
      </c>
      <c r="L228" s="47" t="n">
        <v>0</v>
      </c>
      <c r="M228" s="47" t="n">
        <f aca="false">ROUND(J228-K228-L228,2)</f>
        <v>0</v>
      </c>
      <c r="N228" s="47" t="n">
        <f aca="false">ROUND(Q227*(1+Sorted!$H$4),2)</f>
        <v>0</v>
      </c>
      <c r="O228" s="47" t="n">
        <f aca="false">MIN(N228,Sorted!$G$4)</f>
        <v>0</v>
      </c>
      <c r="P228" s="47" t="n">
        <v>0</v>
      </c>
      <c r="Q228" s="47" t="n">
        <f aca="false">ROUND(N228-O228-P228,2)</f>
        <v>0</v>
      </c>
      <c r="R228" s="47" t="n">
        <f aca="false">ROUND(U227*(1+Sorted!$H$5),2)</f>
        <v>0</v>
      </c>
      <c r="S228" s="47" t="n">
        <f aca="false">MIN(R228,Sorted!$G$5)</f>
        <v>0</v>
      </c>
      <c r="T228" s="47" t="n">
        <v>0</v>
      </c>
      <c r="U228" s="47" t="n">
        <f aca="false">ROUND(R228-S228-T228,2)</f>
        <v>0</v>
      </c>
      <c r="V228" s="47" t="n">
        <f aca="false">ROUND(Y227*(1+Sorted!$H$6),2)</f>
        <v>0</v>
      </c>
      <c r="W228" s="47" t="n">
        <f aca="false">MIN(V228,Sorted!$G$6)</f>
        <v>0</v>
      </c>
      <c r="X228" s="47" t="n">
        <v>0</v>
      </c>
      <c r="Y228" s="47" t="n">
        <f aca="false">ROUND(V228-W228-X228,2)</f>
        <v>0</v>
      </c>
      <c r="Z228" s="47" t="n">
        <f aca="false">ROUND(AC227*(1+Sorted!$H$7),2)</f>
        <v>0</v>
      </c>
      <c r="AA228" s="47" t="n">
        <f aca="false">MIN(Z228,Sorted!$G$7)</f>
        <v>0</v>
      </c>
      <c r="AB228" s="47" t="n">
        <v>0</v>
      </c>
      <c r="AC228" s="47" t="n">
        <f aca="false">ROUND(Z228-AA228-AB228,2)</f>
        <v>0</v>
      </c>
      <c r="AD228" s="47" t="n">
        <f aca="false">ROUND(AG227*(1+Sorted!$H$8),2)</f>
        <v>0</v>
      </c>
      <c r="AE228" s="47" t="n">
        <f aca="false">MIN(AD228,Sorted!$G$8)</f>
        <v>0</v>
      </c>
      <c r="AF228" s="47" t="n">
        <v>0</v>
      </c>
      <c r="AG228" s="47" t="n">
        <f aca="false">ROUND(AD228-AE228-AF228,2)</f>
        <v>0</v>
      </c>
      <c r="AH228" s="47" t="n">
        <f aca="false">ROUND(AK227*(1+Sorted!$H$9),2)</f>
        <v>0</v>
      </c>
      <c r="AI228" s="47" t="n">
        <f aca="false">MIN(AH228,Sorted!$G$9)</f>
        <v>0</v>
      </c>
      <c r="AJ228" s="47" t="n">
        <v>0</v>
      </c>
      <c r="AK228" s="47" t="n">
        <f aca="false">ROUND(AH228-AI228-AJ228,2)</f>
        <v>0</v>
      </c>
      <c r="AL228" s="47" t="n">
        <f aca="false">ROUND(AO227*(1+Sorted!$H$10),2)</f>
        <v>0</v>
      </c>
      <c r="AM228" s="47" t="n">
        <f aca="false">MIN(AL228,Sorted!$G$10)</f>
        <v>0</v>
      </c>
      <c r="AN228" s="47" t="n">
        <v>0</v>
      </c>
      <c r="AO228" s="47" t="n">
        <f aca="false">ROUND(AL228-AM228-AN228,2)</f>
        <v>0</v>
      </c>
      <c r="AP228" s="47" t="n">
        <f aca="false">ROUND(AS227*(1+Sorted!$H$11),2)</f>
        <v>0</v>
      </c>
      <c r="AQ228" s="47" t="n">
        <f aca="false">MIN(AP228,Sorted!$G$11)</f>
        <v>0</v>
      </c>
      <c r="AR228" s="47" t="n">
        <v>0</v>
      </c>
      <c r="AS228" s="47" t="n">
        <f aca="false">ROUND(AP228-AQ228-AR228,2)</f>
        <v>0</v>
      </c>
    </row>
    <row r="229" customFormat="false" ht="15" hidden="false" customHeight="false" outlineLevel="0" collapsed="false">
      <c r="A229" s="45" t="n">
        <v>226</v>
      </c>
      <c r="B229" s="46" t="n">
        <f aca="false">EDATE('My Debts'!$C$7,A229-1)</f>
        <v>53175</v>
      </c>
      <c r="C229" s="47" t="n">
        <v>0</v>
      </c>
      <c r="D229" s="47" t="n">
        <f aca="false">(F229+J229+N229+R229+V229+Z229+AD229+AH229+AL229+AP229)-(I229+M229+Q229+U229+Y229+AC229+AG229+AK229+AO229+AS229)</f>
        <v>0</v>
      </c>
      <c r="E229" s="48" t="n">
        <f aca="false">I229+M229+Q229+U229+Y229+AC229+AG229+AK229+AO229+AS229</f>
        <v>0</v>
      </c>
      <c r="F229" s="47" t="n">
        <f aca="false">ROUND(I228*(1+Sorted!$H$2),2)</f>
        <v>0</v>
      </c>
      <c r="G229" s="47" t="n">
        <f aca="false">MIN(F229,Sorted!$G$2)</f>
        <v>0</v>
      </c>
      <c r="H229" s="47" t="n">
        <v>0</v>
      </c>
      <c r="I229" s="47" t="n">
        <f aca="false">ROUND(F229-G229-H229,2)</f>
        <v>0</v>
      </c>
      <c r="J229" s="47" t="n">
        <f aca="false">ROUND(M228*(1+Sorted!$H$3),2)</f>
        <v>0</v>
      </c>
      <c r="K229" s="47" t="n">
        <f aca="false">MIN(J229,Sorted!$G$3)</f>
        <v>0</v>
      </c>
      <c r="L229" s="47" t="n">
        <v>0</v>
      </c>
      <c r="M229" s="47" t="n">
        <f aca="false">ROUND(J229-K229-L229,2)</f>
        <v>0</v>
      </c>
      <c r="N229" s="47" t="n">
        <f aca="false">ROUND(Q228*(1+Sorted!$H$4),2)</f>
        <v>0</v>
      </c>
      <c r="O229" s="47" t="n">
        <f aca="false">MIN(N229,Sorted!$G$4)</f>
        <v>0</v>
      </c>
      <c r="P229" s="47" t="n">
        <v>0</v>
      </c>
      <c r="Q229" s="47" t="n">
        <f aca="false">ROUND(N229-O229-P229,2)</f>
        <v>0</v>
      </c>
      <c r="R229" s="47" t="n">
        <f aca="false">ROUND(U228*(1+Sorted!$H$5),2)</f>
        <v>0</v>
      </c>
      <c r="S229" s="47" t="n">
        <f aca="false">MIN(R229,Sorted!$G$5)</f>
        <v>0</v>
      </c>
      <c r="T229" s="47" t="n">
        <v>0</v>
      </c>
      <c r="U229" s="47" t="n">
        <f aca="false">ROUND(R229-S229-T229,2)</f>
        <v>0</v>
      </c>
      <c r="V229" s="47" t="n">
        <f aca="false">ROUND(Y228*(1+Sorted!$H$6),2)</f>
        <v>0</v>
      </c>
      <c r="W229" s="47" t="n">
        <f aca="false">MIN(V229,Sorted!$G$6)</f>
        <v>0</v>
      </c>
      <c r="X229" s="47" t="n">
        <v>0</v>
      </c>
      <c r="Y229" s="47" t="n">
        <f aca="false">ROUND(V229-W229-X229,2)</f>
        <v>0</v>
      </c>
      <c r="Z229" s="47" t="n">
        <f aca="false">ROUND(AC228*(1+Sorted!$H$7),2)</f>
        <v>0</v>
      </c>
      <c r="AA229" s="47" t="n">
        <f aca="false">MIN(Z229,Sorted!$G$7)</f>
        <v>0</v>
      </c>
      <c r="AB229" s="47" t="n">
        <v>0</v>
      </c>
      <c r="AC229" s="47" t="n">
        <f aca="false">ROUND(Z229-AA229-AB229,2)</f>
        <v>0</v>
      </c>
      <c r="AD229" s="47" t="n">
        <f aca="false">ROUND(AG228*(1+Sorted!$H$8),2)</f>
        <v>0</v>
      </c>
      <c r="AE229" s="47" t="n">
        <f aca="false">MIN(AD229,Sorted!$G$8)</f>
        <v>0</v>
      </c>
      <c r="AF229" s="47" t="n">
        <v>0</v>
      </c>
      <c r="AG229" s="47" t="n">
        <f aca="false">ROUND(AD229-AE229-AF229,2)</f>
        <v>0</v>
      </c>
      <c r="AH229" s="47" t="n">
        <f aca="false">ROUND(AK228*(1+Sorted!$H$9),2)</f>
        <v>0</v>
      </c>
      <c r="AI229" s="47" t="n">
        <f aca="false">MIN(AH229,Sorted!$G$9)</f>
        <v>0</v>
      </c>
      <c r="AJ229" s="47" t="n">
        <v>0</v>
      </c>
      <c r="AK229" s="47" t="n">
        <f aca="false">ROUND(AH229-AI229-AJ229,2)</f>
        <v>0</v>
      </c>
      <c r="AL229" s="47" t="n">
        <f aca="false">ROUND(AO228*(1+Sorted!$H$10),2)</f>
        <v>0</v>
      </c>
      <c r="AM229" s="47" t="n">
        <f aca="false">MIN(AL229,Sorted!$G$10)</f>
        <v>0</v>
      </c>
      <c r="AN229" s="47" t="n">
        <v>0</v>
      </c>
      <c r="AO229" s="47" t="n">
        <f aca="false">ROUND(AL229-AM229-AN229,2)</f>
        <v>0</v>
      </c>
      <c r="AP229" s="47" t="n">
        <f aca="false">ROUND(AS228*(1+Sorted!$H$11),2)</f>
        <v>0</v>
      </c>
      <c r="AQ229" s="47" t="n">
        <f aca="false">MIN(AP229,Sorted!$G$11)</f>
        <v>0</v>
      </c>
      <c r="AR229" s="47" t="n">
        <v>0</v>
      </c>
      <c r="AS229" s="47" t="n">
        <f aca="false">ROUND(AP229-AQ229-AR229,2)</f>
        <v>0</v>
      </c>
    </row>
    <row r="230" customFormat="false" ht="15" hidden="false" customHeight="false" outlineLevel="0" collapsed="false">
      <c r="A230" s="45" t="n">
        <v>227</v>
      </c>
      <c r="B230" s="46" t="n">
        <f aca="false">EDATE('My Debts'!$C$7,A230-1)</f>
        <v>53206</v>
      </c>
      <c r="C230" s="47" t="n">
        <v>0</v>
      </c>
      <c r="D230" s="47" t="n">
        <f aca="false">(F230+J230+N230+R230+V230+Z230+AD230+AH230+AL230+AP230)-(I230+M230+Q230+U230+Y230+AC230+AG230+AK230+AO230+AS230)</f>
        <v>0</v>
      </c>
      <c r="E230" s="48" t="n">
        <f aca="false">I230+M230+Q230+U230+Y230+AC230+AG230+AK230+AO230+AS230</f>
        <v>0</v>
      </c>
      <c r="F230" s="47" t="n">
        <f aca="false">ROUND(I229*(1+Sorted!$H$2),2)</f>
        <v>0</v>
      </c>
      <c r="G230" s="47" t="n">
        <f aca="false">MIN(F230,Sorted!$G$2)</f>
        <v>0</v>
      </c>
      <c r="H230" s="47" t="n">
        <v>0</v>
      </c>
      <c r="I230" s="47" t="n">
        <f aca="false">ROUND(F230-G230-H230,2)</f>
        <v>0</v>
      </c>
      <c r="J230" s="47" t="n">
        <f aca="false">ROUND(M229*(1+Sorted!$H$3),2)</f>
        <v>0</v>
      </c>
      <c r="K230" s="47" t="n">
        <f aca="false">MIN(J230,Sorted!$G$3)</f>
        <v>0</v>
      </c>
      <c r="L230" s="47" t="n">
        <v>0</v>
      </c>
      <c r="M230" s="47" t="n">
        <f aca="false">ROUND(J230-K230-L230,2)</f>
        <v>0</v>
      </c>
      <c r="N230" s="47" t="n">
        <f aca="false">ROUND(Q229*(1+Sorted!$H$4),2)</f>
        <v>0</v>
      </c>
      <c r="O230" s="47" t="n">
        <f aca="false">MIN(N230,Sorted!$G$4)</f>
        <v>0</v>
      </c>
      <c r="P230" s="47" t="n">
        <v>0</v>
      </c>
      <c r="Q230" s="47" t="n">
        <f aca="false">ROUND(N230-O230-P230,2)</f>
        <v>0</v>
      </c>
      <c r="R230" s="47" t="n">
        <f aca="false">ROUND(U229*(1+Sorted!$H$5),2)</f>
        <v>0</v>
      </c>
      <c r="S230" s="47" t="n">
        <f aca="false">MIN(R230,Sorted!$G$5)</f>
        <v>0</v>
      </c>
      <c r="T230" s="47" t="n">
        <v>0</v>
      </c>
      <c r="U230" s="47" t="n">
        <f aca="false">ROUND(R230-S230-T230,2)</f>
        <v>0</v>
      </c>
      <c r="V230" s="47" t="n">
        <f aca="false">ROUND(Y229*(1+Sorted!$H$6),2)</f>
        <v>0</v>
      </c>
      <c r="W230" s="47" t="n">
        <f aca="false">MIN(V230,Sorted!$G$6)</f>
        <v>0</v>
      </c>
      <c r="X230" s="47" t="n">
        <v>0</v>
      </c>
      <c r="Y230" s="47" t="n">
        <f aca="false">ROUND(V230-W230-X230,2)</f>
        <v>0</v>
      </c>
      <c r="Z230" s="47" t="n">
        <f aca="false">ROUND(AC229*(1+Sorted!$H$7),2)</f>
        <v>0</v>
      </c>
      <c r="AA230" s="47" t="n">
        <f aca="false">MIN(Z230,Sorted!$G$7)</f>
        <v>0</v>
      </c>
      <c r="AB230" s="47" t="n">
        <v>0</v>
      </c>
      <c r="AC230" s="47" t="n">
        <f aca="false">ROUND(Z230-AA230-AB230,2)</f>
        <v>0</v>
      </c>
      <c r="AD230" s="47" t="n">
        <f aca="false">ROUND(AG229*(1+Sorted!$H$8),2)</f>
        <v>0</v>
      </c>
      <c r="AE230" s="47" t="n">
        <f aca="false">MIN(AD230,Sorted!$G$8)</f>
        <v>0</v>
      </c>
      <c r="AF230" s="47" t="n">
        <v>0</v>
      </c>
      <c r="AG230" s="47" t="n">
        <f aca="false">ROUND(AD230-AE230-AF230,2)</f>
        <v>0</v>
      </c>
      <c r="AH230" s="47" t="n">
        <f aca="false">ROUND(AK229*(1+Sorted!$H$9),2)</f>
        <v>0</v>
      </c>
      <c r="AI230" s="47" t="n">
        <f aca="false">MIN(AH230,Sorted!$G$9)</f>
        <v>0</v>
      </c>
      <c r="AJ230" s="47" t="n">
        <v>0</v>
      </c>
      <c r="AK230" s="47" t="n">
        <f aca="false">ROUND(AH230-AI230-AJ230,2)</f>
        <v>0</v>
      </c>
      <c r="AL230" s="47" t="n">
        <f aca="false">ROUND(AO229*(1+Sorted!$H$10),2)</f>
        <v>0</v>
      </c>
      <c r="AM230" s="47" t="n">
        <f aca="false">MIN(AL230,Sorted!$G$10)</f>
        <v>0</v>
      </c>
      <c r="AN230" s="47" t="n">
        <v>0</v>
      </c>
      <c r="AO230" s="47" t="n">
        <f aca="false">ROUND(AL230-AM230-AN230,2)</f>
        <v>0</v>
      </c>
      <c r="AP230" s="47" t="n">
        <f aca="false">ROUND(AS229*(1+Sorted!$H$11),2)</f>
        <v>0</v>
      </c>
      <c r="AQ230" s="47" t="n">
        <f aca="false">MIN(AP230,Sorted!$G$11)</f>
        <v>0</v>
      </c>
      <c r="AR230" s="47" t="n">
        <v>0</v>
      </c>
      <c r="AS230" s="47" t="n">
        <f aca="false">ROUND(AP230-AQ230-AR230,2)</f>
        <v>0</v>
      </c>
    </row>
    <row r="231" customFormat="false" ht="15" hidden="false" customHeight="false" outlineLevel="0" collapsed="false">
      <c r="A231" s="45" t="n">
        <v>228</v>
      </c>
      <c r="B231" s="46" t="n">
        <f aca="false">EDATE('My Debts'!$C$7,A231-1)</f>
        <v>53236</v>
      </c>
      <c r="C231" s="47" t="n">
        <v>0</v>
      </c>
      <c r="D231" s="47" t="n">
        <f aca="false">(F231+J231+N231+R231+V231+Z231+AD231+AH231+AL231+AP231)-(I231+M231+Q231+U231+Y231+AC231+AG231+AK231+AO231+AS231)</f>
        <v>0</v>
      </c>
      <c r="E231" s="48" t="n">
        <f aca="false">I231+M231+Q231+U231+Y231+AC231+AG231+AK231+AO231+AS231</f>
        <v>0</v>
      </c>
      <c r="F231" s="47" t="n">
        <f aca="false">ROUND(I230*(1+Sorted!$H$2),2)</f>
        <v>0</v>
      </c>
      <c r="G231" s="47" t="n">
        <f aca="false">MIN(F231,Sorted!$G$2)</f>
        <v>0</v>
      </c>
      <c r="H231" s="47" t="n">
        <v>0</v>
      </c>
      <c r="I231" s="47" t="n">
        <f aca="false">ROUND(F231-G231-H231,2)</f>
        <v>0</v>
      </c>
      <c r="J231" s="47" t="n">
        <f aca="false">ROUND(M230*(1+Sorted!$H$3),2)</f>
        <v>0</v>
      </c>
      <c r="K231" s="47" t="n">
        <f aca="false">MIN(J231,Sorted!$G$3)</f>
        <v>0</v>
      </c>
      <c r="L231" s="47" t="n">
        <v>0</v>
      </c>
      <c r="M231" s="47" t="n">
        <f aca="false">ROUND(J231-K231-L231,2)</f>
        <v>0</v>
      </c>
      <c r="N231" s="47" t="n">
        <f aca="false">ROUND(Q230*(1+Sorted!$H$4),2)</f>
        <v>0</v>
      </c>
      <c r="O231" s="47" t="n">
        <f aca="false">MIN(N231,Sorted!$G$4)</f>
        <v>0</v>
      </c>
      <c r="P231" s="47" t="n">
        <v>0</v>
      </c>
      <c r="Q231" s="47" t="n">
        <f aca="false">ROUND(N231-O231-P231,2)</f>
        <v>0</v>
      </c>
      <c r="R231" s="47" t="n">
        <f aca="false">ROUND(U230*(1+Sorted!$H$5),2)</f>
        <v>0</v>
      </c>
      <c r="S231" s="47" t="n">
        <f aca="false">MIN(R231,Sorted!$G$5)</f>
        <v>0</v>
      </c>
      <c r="T231" s="47" t="n">
        <v>0</v>
      </c>
      <c r="U231" s="47" t="n">
        <f aca="false">ROUND(R231-S231-T231,2)</f>
        <v>0</v>
      </c>
      <c r="V231" s="47" t="n">
        <f aca="false">ROUND(Y230*(1+Sorted!$H$6),2)</f>
        <v>0</v>
      </c>
      <c r="W231" s="47" t="n">
        <f aca="false">MIN(V231,Sorted!$G$6)</f>
        <v>0</v>
      </c>
      <c r="X231" s="47" t="n">
        <v>0</v>
      </c>
      <c r="Y231" s="47" t="n">
        <f aca="false">ROUND(V231-W231-X231,2)</f>
        <v>0</v>
      </c>
      <c r="Z231" s="47" t="n">
        <f aca="false">ROUND(AC230*(1+Sorted!$H$7),2)</f>
        <v>0</v>
      </c>
      <c r="AA231" s="47" t="n">
        <f aca="false">MIN(Z231,Sorted!$G$7)</f>
        <v>0</v>
      </c>
      <c r="AB231" s="47" t="n">
        <v>0</v>
      </c>
      <c r="AC231" s="47" t="n">
        <f aca="false">ROUND(Z231-AA231-AB231,2)</f>
        <v>0</v>
      </c>
      <c r="AD231" s="47" t="n">
        <f aca="false">ROUND(AG230*(1+Sorted!$H$8),2)</f>
        <v>0</v>
      </c>
      <c r="AE231" s="47" t="n">
        <f aca="false">MIN(AD231,Sorted!$G$8)</f>
        <v>0</v>
      </c>
      <c r="AF231" s="47" t="n">
        <v>0</v>
      </c>
      <c r="AG231" s="47" t="n">
        <f aca="false">ROUND(AD231-AE231-AF231,2)</f>
        <v>0</v>
      </c>
      <c r="AH231" s="47" t="n">
        <f aca="false">ROUND(AK230*(1+Sorted!$H$9),2)</f>
        <v>0</v>
      </c>
      <c r="AI231" s="47" t="n">
        <f aca="false">MIN(AH231,Sorted!$G$9)</f>
        <v>0</v>
      </c>
      <c r="AJ231" s="47" t="n">
        <v>0</v>
      </c>
      <c r="AK231" s="47" t="n">
        <f aca="false">ROUND(AH231-AI231-AJ231,2)</f>
        <v>0</v>
      </c>
      <c r="AL231" s="47" t="n">
        <f aca="false">ROUND(AO230*(1+Sorted!$H$10),2)</f>
        <v>0</v>
      </c>
      <c r="AM231" s="47" t="n">
        <f aca="false">MIN(AL231,Sorted!$G$10)</f>
        <v>0</v>
      </c>
      <c r="AN231" s="47" t="n">
        <v>0</v>
      </c>
      <c r="AO231" s="47" t="n">
        <f aca="false">ROUND(AL231-AM231-AN231,2)</f>
        <v>0</v>
      </c>
      <c r="AP231" s="47" t="n">
        <f aca="false">ROUND(AS230*(1+Sorted!$H$11),2)</f>
        <v>0</v>
      </c>
      <c r="AQ231" s="47" t="n">
        <f aca="false">MIN(AP231,Sorted!$G$11)</f>
        <v>0</v>
      </c>
      <c r="AR231" s="47" t="n">
        <v>0</v>
      </c>
      <c r="AS231" s="47" t="n">
        <f aca="false">ROUND(AP231-AQ231-AR231,2)</f>
        <v>0</v>
      </c>
    </row>
    <row r="232" customFormat="false" ht="15" hidden="false" customHeight="false" outlineLevel="0" collapsed="false">
      <c r="A232" s="45" t="n">
        <v>229</v>
      </c>
      <c r="B232" s="46" t="n">
        <f aca="false">EDATE('My Debts'!$C$7,A232-1)</f>
        <v>53267</v>
      </c>
      <c r="C232" s="47" t="n">
        <v>0</v>
      </c>
      <c r="D232" s="47" t="n">
        <f aca="false">(F232+J232+N232+R232+V232+Z232+AD232+AH232+AL232+AP232)-(I232+M232+Q232+U232+Y232+AC232+AG232+AK232+AO232+AS232)</f>
        <v>0</v>
      </c>
      <c r="E232" s="48" t="n">
        <f aca="false">I232+M232+Q232+U232+Y232+AC232+AG232+AK232+AO232+AS232</f>
        <v>0</v>
      </c>
      <c r="F232" s="47" t="n">
        <f aca="false">ROUND(I231*(1+Sorted!$H$2),2)</f>
        <v>0</v>
      </c>
      <c r="G232" s="47" t="n">
        <f aca="false">MIN(F232,Sorted!$G$2)</f>
        <v>0</v>
      </c>
      <c r="H232" s="47" t="n">
        <v>0</v>
      </c>
      <c r="I232" s="47" t="n">
        <f aca="false">ROUND(F232-G232-H232,2)</f>
        <v>0</v>
      </c>
      <c r="J232" s="47" t="n">
        <f aca="false">ROUND(M231*(1+Sorted!$H$3),2)</f>
        <v>0</v>
      </c>
      <c r="K232" s="47" t="n">
        <f aca="false">MIN(J232,Sorted!$G$3)</f>
        <v>0</v>
      </c>
      <c r="L232" s="47" t="n">
        <v>0</v>
      </c>
      <c r="M232" s="47" t="n">
        <f aca="false">ROUND(J232-K232-L232,2)</f>
        <v>0</v>
      </c>
      <c r="N232" s="47" t="n">
        <f aca="false">ROUND(Q231*(1+Sorted!$H$4),2)</f>
        <v>0</v>
      </c>
      <c r="O232" s="47" t="n">
        <f aca="false">MIN(N232,Sorted!$G$4)</f>
        <v>0</v>
      </c>
      <c r="P232" s="47" t="n">
        <v>0</v>
      </c>
      <c r="Q232" s="47" t="n">
        <f aca="false">ROUND(N232-O232-P232,2)</f>
        <v>0</v>
      </c>
      <c r="R232" s="47" t="n">
        <f aca="false">ROUND(U231*(1+Sorted!$H$5),2)</f>
        <v>0</v>
      </c>
      <c r="S232" s="47" t="n">
        <f aca="false">MIN(R232,Sorted!$G$5)</f>
        <v>0</v>
      </c>
      <c r="T232" s="47" t="n">
        <v>0</v>
      </c>
      <c r="U232" s="47" t="n">
        <f aca="false">ROUND(R232-S232-T232,2)</f>
        <v>0</v>
      </c>
      <c r="V232" s="47" t="n">
        <f aca="false">ROUND(Y231*(1+Sorted!$H$6),2)</f>
        <v>0</v>
      </c>
      <c r="W232" s="47" t="n">
        <f aca="false">MIN(V232,Sorted!$G$6)</f>
        <v>0</v>
      </c>
      <c r="X232" s="47" t="n">
        <v>0</v>
      </c>
      <c r="Y232" s="47" t="n">
        <f aca="false">ROUND(V232-W232-X232,2)</f>
        <v>0</v>
      </c>
      <c r="Z232" s="47" t="n">
        <f aca="false">ROUND(AC231*(1+Sorted!$H$7),2)</f>
        <v>0</v>
      </c>
      <c r="AA232" s="47" t="n">
        <f aca="false">MIN(Z232,Sorted!$G$7)</f>
        <v>0</v>
      </c>
      <c r="AB232" s="47" t="n">
        <v>0</v>
      </c>
      <c r="AC232" s="47" t="n">
        <f aca="false">ROUND(Z232-AA232-AB232,2)</f>
        <v>0</v>
      </c>
      <c r="AD232" s="47" t="n">
        <f aca="false">ROUND(AG231*(1+Sorted!$H$8),2)</f>
        <v>0</v>
      </c>
      <c r="AE232" s="47" t="n">
        <f aca="false">MIN(AD232,Sorted!$G$8)</f>
        <v>0</v>
      </c>
      <c r="AF232" s="47" t="n">
        <v>0</v>
      </c>
      <c r="AG232" s="47" t="n">
        <f aca="false">ROUND(AD232-AE232-AF232,2)</f>
        <v>0</v>
      </c>
      <c r="AH232" s="47" t="n">
        <f aca="false">ROUND(AK231*(1+Sorted!$H$9),2)</f>
        <v>0</v>
      </c>
      <c r="AI232" s="47" t="n">
        <f aca="false">MIN(AH232,Sorted!$G$9)</f>
        <v>0</v>
      </c>
      <c r="AJ232" s="47" t="n">
        <v>0</v>
      </c>
      <c r="AK232" s="47" t="n">
        <f aca="false">ROUND(AH232-AI232-AJ232,2)</f>
        <v>0</v>
      </c>
      <c r="AL232" s="47" t="n">
        <f aca="false">ROUND(AO231*(1+Sorted!$H$10),2)</f>
        <v>0</v>
      </c>
      <c r="AM232" s="47" t="n">
        <f aca="false">MIN(AL232,Sorted!$G$10)</f>
        <v>0</v>
      </c>
      <c r="AN232" s="47" t="n">
        <v>0</v>
      </c>
      <c r="AO232" s="47" t="n">
        <f aca="false">ROUND(AL232-AM232-AN232,2)</f>
        <v>0</v>
      </c>
      <c r="AP232" s="47" t="n">
        <f aca="false">ROUND(AS231*(1+Sorted!$H$11),2)</f>
        <v>0</v>
      </c>
      <c r="AQ232" s="47" t="n">
        <f aca="false">MIN(AP232,Sorted!$G$11)</f>
        <v>0</v>
      </c>
      <c r="AR232" s="47" t="n">
        <v>0</v>
      </c>
      <c r="AS232" s="47" t="n">
        <f aca="false">ROUND(AP232-AQ232-AR232,2)</f>
        <v>0</v>
      </c>
    </row>
    <row r="233" customFormat="false" ht="15" hidden="false" customHeight="false" outlineLevel="0" collapsed="false">
      <c r="A233" s="45" t="n">
        <v>230</v>
      </c>
      <c r="B233" s="46" t="n">
        <f aca="false">EDATE('My Debts'!$C$7,A233-1)</f>
        <v>53297</v>
      </c>
      <c r="C233" s="47" t="n">
        <v>0</v>
      </c>
      <c r="D233" s="47" t="n">
        <f aca="false">(F233+J233+N233+R233+V233+Z233+AD233+AH233+AL233+AP233)-(I233+M233+Q233+U233+Y233+AC233+AG233+AK233+AO233+AS233)</f>
        <v>0</v>
      </c>
      <c r="E233" s="48" t="n">
        <f aca="false">I233+M233+Q233+U233+Y233+AC233+AG233+AK233+AO233+AS233</f>
        <v>0</v>
      </c>
      <c r="F233" s="47" t="n">
        <f aca="false">ROUND(I232*(1+Sorted!$H$2),2)</f>
        <v>0</v>
      </c>
      <c r="G233" s="47" t="n">
        <f aca="false">MIN(F233,Sorted!$G$2)</f>
        <v>0</v>
      </c>
      <c r="H233" s="47" t="n">
        <v>0</v>
      </c>
      <c r="I233" s="47" t="n">
        <f aca="false">ROUND(F233-G233-H233,2)</f>
        <v>0</v>
      </c>
      <c r="J233" s="47" t="n">
        <f aca="false">ROUND(M232*(1+Sorted!$H$3),2)</f>
        <v>0</v>
      </c>
      <c r="K233" s="47" t="n">
        <f aca="false">MIN(J233,Sorted!$G$3)</f>
        <v>0</v>
      </c>
      <c r="L233" s="47" t="n">
        <v>0</v>
      </c>
      <c r="M233" s="47" t="n">
        <f aca="false">ROUND(J233-K233-L233,2)</f>
        <v>0</v>
      </c>
      <c r="N233" s="47" t="n">
        <f aca="false">ROUND(Q232*(1+Sorted!$H$4),2)</f>
        <v>0</v>
      </c>
      <c r="O233" s="47" t="n">
        <f aca="false">MIN(N233,Sorted!$G$4)</f>
        <v>0</v>
      </c>
      <c r="P233" s="47" t="n">
        <v>0</v>
      </c>
      <c r="Q233" s="47" t="n">
        <f aca="false">ROUND(N233-O233-P233,2)</f>
        <v>0</v>
      </c>
      <c r="R233" s="47" t="n">
        <f aca="false">ROUND(U232*(1+Sorted!$H$5),2)</f>
        <v>0</v>
      </c>
      <c r="S233" s="47" t="n">
        <f aca="false">MIN(R233,Sorted!$G$5)</f>
        <v>0</v>
      </c>
      <c r="T233" s="47" t="n">
        <v>0</v>
      </c>
      <c r="U233" s="47" t="n">
        <f aca="false">ROUND(R233-S233-T233,2)</f>
        <v>0</v>
      </c>
      <c r="V233" s="47" t="n">
        <f aca="false">ROUND(Y232*(1+Sorted!$H$6),2)</f>
        <v>0</v>
      </c>
      <c r="W233" s="47" t="n">
        <f aca="false">MIN(V233,Sorted!$G$6)</f>
        <v>0</v>
      </c>
      <c r="X233" s="47" t="n">
        <v>0</v>
      </c>
      <c r="Y233" s="47" t="n">
        <f aca="false">ROUND(V233-W233-X233,2)</f>
        <v>0</v>
      </c>
      <c r="Z233" s="47" t="n">
        <f aca="false">ROUND(AC232*(1+Sorted!$H$7),2)</f>
        <v>0</v>
      </c>
      <c r="AA233" s="47" t="n">
        <f aca="false">MIN(Z233,Sorted!$G$7)</f>
        <v>0</v>
      </c>
      <c r="AB233" s="47" t="n">
        <v>0</v>
      </c>
      <c r="AC233" s="47" t="n">
        <f aca="false">ROUND(Z233-AA233-AB233,2)</f>
        <v>0</v>
      </c>
      <c r="AD233" s="47" t="n">
        <f aca="false">ROUND(AG232*(1+Sorted!$H$8),2)</f>
        <v>0</v>
      </c>
      <c r="AE233" s="47" t="n">
        <f aca="false">MIN(AD233,Sorted!$G$8)</f>
        <v>0</v>
      </c>
      <c r="AF233" s="47" t="n">
        <v>0</v>
      </c>
      <c r="AG233" s="47" t="n">
        <f aca="false">ROUND(AD233-AE233-AF233,2)</f>
        <v>0</v>
      </c>
      <c r="AH233" s="47" t="n">
        <f aca="false">ROUND(AK232*(1+Sorted!$H$9),2)</f>
        <v>0</v>
      </c>
      <c r="AI233" s="47" t="n">
        <f aca="false">MIN(AH233,Sorted!$G$9)</f>
        <v>0</v>
      </c>
      <c r="AJ233" s="47" t="n">
        <v>0</v>
      </c>
      <c r="AK233" s="47" t="n">
        <f aca="false">ROUND(AH233-AI233-AJ233,2)</f>
        <v>0</v>
      </c>
      <c r="AL233" s="47" t="n">
        <f aca="false">ROUND(AO232*(1+Sorted!$H$10),2)</f>
        <v>0</v>
      </c>
      <c r="AM233" s="47" t="n">
        <f aca="false">MIN(AL233,Sorted!$G$10)</f>
        <v>0</v>
      </c>
      <c r="AN233" s="47" t="n">
        <v>0</v>
      </c>
      <c r="AO233" s="47" t="n">
        <f aca="false">ROUND(AL233-AM233-AN233,2)</f>
        <v>0</v>
      </c>
      <c r="AP233" s="47" t="n">
        <f aca="false">ROUND(AS232*(1+Sorted!$H$11),2)</f>
        <v>0</v>
      </c>
      <c r="AQ233" s="47" t="n">
        <f aca="false">MIN(AP233,Sorted!$G$11)</f>
        <v>0</v>
      </c>
      <c r="AR233" s="47" t="n">
        <v>0</v>
      </c>
      <c r="AS233" s="47" t="n">
        <f aca="false">ROUND(AP233-AQ233-AR233,2)</f>
        <v>0</v>
      </c>
    </row>
    <row r="234" customFormat="false" ht="15" hidden="false" customHeight="false" outlineLevel="0" collapsed="false">
      <c r="A234" s="45" t="n">
        <v>231</v>
      </c>
      <c r="B234" s="46" t="n">
        <f aca="false">EDATE('My Debts'!$C$7,A234-1)</f>
        <v>53328</v>
      </c>
      <c r="C234" s="47" t="n">
        <v>0</v>
      </c>
      <c r="D234" s="47" t="n">
        <f aca="false">(F234+J234+N234+R234+V234+Z234+AD234+AH234+AL234+AP234)-(I234+M234+Q234+U234+Y234+AC234+AG234+AK234+AO234+AS234)</f>
        <v>0</v>
      </c>
      <c r="E234" s="48" t="n">
        <f aca="false">I234+M234+Q234+U234+Y234+AC234+AG234+AK234+AO234+AS234</f>
        <v>0</v>
      </c>
      <c r="F234" s="47" t="n">
        <f aca="false">ROUND(I233*(1+Sorted!$H$2),2)</f>
        <v>0</v>
      </c>
      <c r="G234" s="47" t="n">
        <f aca="false">MIN(F234,Sorted!$G$2)</f>
        <v>0</v>
      </c>
      <c r="H234" s="47" t="n">
        <v>0</v>
      </c>
      <c r="I234" s="47" t="n">
        <f aca="false">ROUND(F234-G234-H234,2)</f>
        <v>0</v>
      </c>
      <c r="J234" s="47" t="n">
        <f aca="false">ROUND(M233*(1+Sorted!$H$3),2)</f>
        <v>0</v>
      </c>
      <c r="K234" s="47" t="n">
        <f aca="false">MIN(J234,Sorted!$G$3)</f>
        <v>0</v>
      </c>
      <c r="L234" s="47" t="n">
        <v>0</v>
      </c>
      <c r="M234" s="47" t="n">
        <f aca="false">ROUND(J234-K234-L234,2)</f>
        <v>0</v>
      </c>
      <c r="N234" s="47" t="n">
        <f aca="false">ROUND(Q233*(1+Sorted!$H$4),2)</f>
        <v>0</v>
      </c>
      <c r="O234" s="47" t="n">
        <f aca="false">MIN(N234,Sorted!$G$4)</f>
        <v>0</v>
      </c>
      <c r="P234" s="47" t="n">
        <v>0</v>
      </c>
      <c r="Q234" s="47" t="n">
        <f aca="false">ROUND(N234-O234-P234,2)</f>
        <v>0</v>
      </c>
      <c r="R234" s="47" t="n">
        <f aca="false">ROUND(U233*(1+Sorted!$H$5),2)</f>
        <v>0</v>
      </c>
      <c r="S234" s="47" t="n">
        <f aca="false">MIN(R234,Sorted!$G$5)</f>
        <v>0</v>
      </c>
      <c r="T234" s="47" t="n">
        <v>0</v>
      </c>
      <c r="U234" s="47" t="n">
        <f aca="false">ROUND(R234-S234-T234,2)</f>
        <v>0</v>
      </c>
      <c r="V234" s="47" t="n">
        <f aca="false">ROUND(Y233*(1+Sorted!$H$6),2)</f>
        <v>0</v>
      </c>
      <c r="W234" s="47" t="n">
        <f aca="false">MIN(V234,Sorted!$G$6)</f>
        <v>0</v>
      </c>
      <c r="X234" s="47" t="n">
        <v>0</v>
      </c>
      <c r="Y234" s="47" t="n">
        <f aca="false">ROUND(V234-W234-X234,2)</f>
        <v>0</v>
      </c>
      <c r="Z234" s="47" t="n">
        <f aca="false">ROUND(AC233*(1+Sorted!$H$7),2)</f>
        <v>0</v>
      </c>
      <c r="AA234" s="47" t="n">
        <f aca="false">MIN(Z234,Sorted!$G$7)</f>
        <v>0</v>
      </c>
      <c r="AB234" s="47" t="n">
        <v>0</v>
      </c>
      <c r="AC234" s="47" t="n">
        <f aca="false">ROUND(Z234-AA234-AB234,2)</f>
        <v>0</v>
      </c>
      <c r="AD234" s="47" t="n">
        <f aca="false">ROUND(AG233*(1+Sorted!$H$8),2)</f>
        <v>0</v>
      </c>
      <c r="AE234" s="47" t="n">
        <f aca="false">MIN(AD234,Sorted!$G$8)</f>
        <v>0</v>
      </c>
      <c r="AF234" s="47" t="n">
        <v>0</v>
      </c>
      <c r="AG234" s="47" t="n">
        <f aca="false">ROUND(AD234-AE234-AF234,2)</f>
        <v>0</v>
      </c>
      <c r="AH234" s="47" t="n">
        <f aca="false">ROUND(AK233*(1+Sorted!$H$9),2)</f>
        <v>0</v>
      </c>
      <c r="AI234" s="47" t="n">
        <f aca="false">MIN(AH234,Sorted!$G$9)</f>
        <v>0</v>
      </c>
      <c r="AJ234" s="47" t="n">
        <v>0</v>
      </c>
      <c r="AK234" s="47" t="n">
        <f aca="false">ROUND(AH234-AI234-AJ234,2)</f>
        <v>0</v>
      </c>
      <c r="AL234" s="47" t="n">
        <f aca="false">ROUND(AO233*(1+Sorted!$H$10),2)</f>
        <v>0</v>
      </c>
      <c r="AM234" s="47" t="n">
        <f aca="false">MIN(AL234,Sorted!$G$10)</f>
        <v>0</v>
      </c>
      <c r="AN234" s="47" t="n">
        <v>0</v>
      </c>
      <c r="AO234" s="47" t="n">
        <f aca="false">ROUND(AL234-AM234-AN234,2)</f>
        <v>0</v>
      </c>
      <c r="AP234" s="47" t="n">
        <f aca="false">ROUND(AS233*(1+Sorted!$H$11),2)</f>
        <v>0</v>
      </c>
      <c r="AQ234" s="47" t="n">
        <f aca="false">MIN(AP234,Sorted!$G$11)</f>
        <v>0</v>
      </c>
      <c r="AR234" s="47" t="n">
        <v>0</v>
      </c>
      <c r="AS234" s="47" t="n">
        <f aca="false">ROUND(AP234-AQ234-AR234,2)</f>
        <v>0</v>
      </c>
    </row>
    <row r="235" customFormat="false" ht="15" hidden="false" customHeight="false" outlineLevel="0" collapsed="false">
      <c r="A235" s="45" t="n">
        <v>232</v>
      </c>
      <c r="B235" s="46" t="n">
        <f aca="false">EDATE('My Debts'!$C$7,A235-1)</f>
        <v>53359</v>
      </c>
      <c r="C235" s="47" t="n">
        <v>0</v>
      </c>
      <c r="D235" s="47" t="n">
        <f aca="false">(F235+J235+N235+R235+V235+Z235+AD235+AH235+AL235+AP235)-(I235+M235+Q235+U235+Y235+AC235+AG235+AK235+AO235+AS235)</f>
        <v>0</v>
      </c>
      <c r="E235" s="48" t="n">
        <f aca="false">I235+M235+Q235+U235+Y235+AC235+AG235+AK235+AO235+AS235</f>
        <v>0</v>
      </c>
      <c r="F235" s="47" t="n">
        <f aca="false">ROUND(I234*(1+Sorted!$H$2),2)</f>
        <v>0</v>
      </c>
      <c r="G235" s="47" t="n">
        <f aca="false">MIN(F235,Sorted!$G$2)</f>
        <v>0</v>
      </c>
      <c r="H235" s="47" t="n">
        <v>0</v>
      </c>
      <c r="I235" s="47" t="n">
        <f aca="false">ROUND(F235-G235-H235,2)</f>
        <v>0</v>
      </c>
      <c r="J235" s="47" t="n">
        <f aca="false">ROUND(M234*(1+Sorted!$H$3),2)</f>
        <v>0</v>
      </c>
      <c r="K235" s="47" t="n">
        <f aca="false">MIN(J235,Sorted!$G$3)</f>
        <v>0</v>
      </c>
      <c r="L235" s="47" t="n">
        <v>0</v>
      </c>
      <c r="M235" s="47" t="n">
        <f aca="false">ROUND(J235-K235-L235,2)</f>
        <v>0</v>
      </c>
      <c r="N235" s="47" t="n">
        <f aca="false">ROUND(Q234*(1+Sorted!$H$4),2)</f>
        <v>0</v>
      </c>
      <c r="O235" s="47" t="n">
        <f aca="false">MIN(N235,Sorted!$G$4)</f>
        <v>0</v>
      </c>
      <c r="P235" s="47" t="n">
        <v>0</v>
      </c>
      <c r="Q235" s="47" t="n">
        <f aca="false">ROUND(N235-O235-P235,2)</f>
        <v>0</v>
      </c>
      <c r="R235" s="47" t="n">
        <f aca="false">ROUND(U234*(1+Sorted!$H$5),2)</f>
        <v>0</v>
      </c>
      <c r="S235" s="47" t="n">
        <f aca="false">MIN(R235,Sorted!$G$5)</f>
        <v>0</v>
      </c>
      <c r="T235" s="47" t="n">
        <v>0</v>
      </c>
      <c r="U235" s="47" t="n">
        <f aca="false">ROUND(R235-S235-T235,2)</f>
        <v>0</v>
      </c>
      <c r="V235" s="47" t="n">
        <f aca="false">ROUND(Y234*(1+Sorted!$H$6),2)</f>
        <v>0</v>
      </c>
      <c r="W235" s="47" t="n">
        <f aca="false">MIN(V235,Sorted!$G$6)</f>
        <v>0</v>
      </c>
      <c r="X235" s="47" t="n">
        <v>0</v>
      </c>
      <c r="Y235" s="47" t="n">
        <f aca="false">ROUND(V235-W235-X235,2)</f>
        <v>0</v>
      </c>
      <c r="Z235" s="47" t="n">
        <f aca="false">ROUND(AC234*(1+Sorted!$H$7),2)</f>
        <v>0</v>
      </c>
      <c r="AA235" s="47" t="n">
        <f aca="false">MIN(Z235,Sorted!$G$7)</f>
        <v>0</v>
      </c>
      <c r="AB235" s="47" t="n">
        <v>0</v>
      </c>
      <c r="AC235" s="47" t="n">
        <f aca="false">ROUND(Z235-AA235-AB235,2)</f>
        <v>0</v>
      </c>
      <c r="AD235" s="47" t="n">
        <f aca="false">ROUND(AG234*(1+Sorted!$H$8),2)</f>
        <v>0</v>
      </c>
      <c r="AE235" s="47" t="n">
        <f aca="false">MIN(AD235,Sorted!$G$8)</f>
        <v>0</v>
      </c>
      <c r="AF235" s="47" t="n">
        <v>0</v>
      </c>
      <c r="AG235" s="47" t="n">
        <f aca="false">ROUND(AD235-AE235-AF235,2)</f>
        <v>0</v>
      </c>
      <c r="AH235" s="47" t="n">
        <f aca="false">ROUND(AK234*(1+Sorted!$H$9),2)</f>
        <v>0</v>
      </c>
      <c r="AI235" s="47" t="n">
        <f aca="false">MIN(AH235,Sorted!$G$9)</f>
        <v>0</v>
      </c>
      <c r="AJ235" s="47" t="n">
        <v>0</v>
      </c>
      <c r="AK235" s="47" t="n">
        <f aca="false">ROUND(AH235-AI235-AJ235,2)</f>
        <v>0</v>
      </c>
      <c r="AL235" s="47" t="n">
        <f aca="false">ROUND(AO234*(1+Sorted!$H$10),2)</f>
        <v>0</v>
      </c>
      <c r="AM235" s="47" t="n">
        <f aca="false">MIN(AL235,Sorted!$G$10)</f>
        <v>0</v>
      </c>
      <c r="AN235" s="47" t="n">
        <v>0</v>
      </c>
      <c r="AO235" s="47" t="n">
        <f aca="false">ROUND(AL235-AM235-AN235,2)</f>
        <v>0</v>
      </c>
      <c r="AP235" s="47" t="n">
        <f aca="false">ROUND(AS234*(1+Sorted!$H$11),2)</f>
        <v>0</v>
      </c>
      <c r="AQ235" s="47" t="n">
        <f aca="false">MIN(AP235,Sorted!$G$11)</f>
        <v>0</v>
      </c>
      <c r="AR235" s="47" t="n">
        <v>0</v>
      </c>
      <c r="AS235" s="47" t="n">
        <f aca="false">ROUND(AP235-AQ235-AR235,2)</f>
        <v>0</v>
      </c>
    </row>
    <row r="236" customFormat="false" ht="15" hidden="false" customHeight="false" outlineLevel="0" collapsed="false">
      <c r="A236" s="45" t="n">
        <v>233</v>
      </c>
      <c r="B236" s="46" t="n">
        <f aca="false">EDATE('My Debts'!$C$7,A236-1)</f>
        <v>53387</v>
      </c>
      <c r="C236" s="47" t="n">
        <v>0</v>
      </c>
      <c r="D236" s="47" t="n">
        <f aca="false">(F236+J236+N236+R236+V236+Z236+AD236+AH236+AL236+AP236)-(I236+M236+Q236+U236+Y236+AC236+AG236+AK236+AO236+AS236)</f>
        <v>0</v>
      </c>
      <c r="E236" s="48" t="n">
        <f aca="false">I236+M236+Q236+U236+Y236+AC236+AG236+AK236+AO236+AS236</f>
        <v>0</v>
      </c>
      <c r="F236" s="47" t="n">
        <f aca="false">ROUND(I235*(1+Sorted!$H$2),2)</f>
        <v>0</v>
      </c>
      <c r="G236" s="47" t="n">
        <f aca="false">MIN(F236,Sorted!$G$2)</f>
        <v>0</v>
      </c>
      <c r="H236" s="47" t="n">
        <v>0</v>
      </c>
      <c r="I236" s="47" t="n">
        <f aca="false">ROUND(F236-G236-H236,2)</f>
        <v>0</v>
      </c>
      <c r="J236" s="47" t="n">
        <f aca="false">ROUND(M235*(1+Sorted!$H$3),2)</f>
        <v>0</v>
      </c>
      <c r="K236" s="47" t="n">
        <f aca="false">MIN(J236,Sorted!$G$3)</f>
        <v>0</v>
      </c>
      <c r="L236" s="47" t="n">
        <v>0</v>
      </c>
      <c r="M236" s="47" t="n">
        <f aca="false">ROUND(J236-K236-L236,2)</f>
        <v>0</v>
      </c>
      <c r="N236" s="47" t="n">
        <f aca="false">ROUND(Q235*(1+Sorted!$H$4),2)</f>
        <v>0</v>
      </c>
      <c r="O236" s="47" t="n">
        <f aca="false">MIN(N236,Sorted!$G$4)</f>
        <v>0</v>
      </c>
      <c r="P236" s="47" t="n">
        <v>0</v>
      </c>
      <c r="Q236" s="47" t="n">
        <f aca="false">ROUND(N236-O236-P236,2)</f>
        <v>0</v>
      </c>
      <c r="R236" s="47" t="n">
        <f aca="false">ROUND(U235*(1+Sorted!$H$5),2)</f>
        <v>0</v>
      </c>
      <c r="S236" s="47" t="n">
        <f aca="false">MIN(R236,Sorted!$G$5)</f>
        <v>0</v>
      </c>
      <c r="T236" s="47" t="n">
        <v>0</v>
      </c>
      <c r="U236" s="47" t="n">
        <f aca="false">ROUND(R236-S236-T236,2)</f>
        <v>0</v>
      </c>
      <c r="V236" s="47" t="n">
        <f aca="false">ROUND(Y235*(1+Sorted!$H$6),2)</f>
        <v>0</v>
      </c>
      <c r="W236" s="47" t="n">
        <f aca="false">MIN(V236,Sorted!$G$6)</f>
        <v>0</v>
      </c>
      <c r="X236" s="47" t="n">
        <v>0</v>
      </c>
      <c r="Y236" s="47" t="n">
        <f aca="false">ROUND(V236-W236-X236,2)</f>
        <v>0</v>
      </c>
      <c r="Z236" s="47" t="n">
        <f aca="false">ROUND(AC235*(1+Sorted!$H$7),2)</f>
        <v>0</v>
      </c>
      <c r="AA236" s="47" t="n">
        <f aca="false">MIN(Z236,Sorted!$G$7)</f>
        <v>0</v>
      </c>
      <c r="AB236" s="47" t="n">
        <v>0</v>
      </c>
      <c r="AC236" s="47" t="n">
        <f aca="false">ROUND(Z236-AA236-AB236,2)</f>
        <v>0</v>
      </c>
      <c r="AD236" s="47" t="n">
        <f aca="false">ROUND(AG235*(1+Sorted!$H$8),2)</f>
        <v>0</v>
      </c>
      <c r="AE236" s="47" t="n">
        <f aca="false">MIN(AD236,Sorted!$G$8)</f>
        <v>0</v>
      </c>
      <c r="AF236" s="47" t="n">
        <v>0</v>
      </c>
      <c r="AG236" s="47" t="n">
        <f aca="false">ROUND(AD236-AE236-AF236,2)</f>
        <v>0</v>
      </c>
      <c r="AH236" s="47" t="n">
        <f aca="false">ROUND(AK235*(1+Sorted!$H$9),2)</f>
        <v>0</v>
      </c>
      <c r="AI236" s="47" t="n">
        <f aca="false">MIN(AH236,Sorted!$G$9)</f>
        <v>0</v>
      </c>
      <c r="AJ236" s="47" t="n">
        <v>0</v>
      </c>
      <c r="AK236" s="47" t="n">
        <f aca="false">ROUND(AH236-AI236-AJ236,2)</f>
        <v>0</v>
      </c>
      <c r="AL236" s="47" t="n">
        <f aca="false">ROUND(AO235*(1+Sorted!$H$10),2)</f>
        <v>0</v>
      </c>
      <c r="AM236" s="47" t="n">
        <f aca="false">MIN(AL236,Sorted!$G$10)</f>
        <v>0</v>
      </c>
      <c r="AN236" s="47" t="n">
        <v>0</v>
      </c>
      <c r="AO236" s="47" t="n">
        <f aca="false">ROUND(AL236-AM236-AN236,2)</f>
        <v>0</v>
      </c>
      <c r="AP236" s="47" t="n">
        <f aca="false">ROUND(AS235*(1+Sorted!$H$11),2)</f>
        <v>0</v>
      </c>
      <c r="AQ236" s="47" t="n">
        <f aca="false">MIN(AP236,Sorted!$G$11)</f>
        <v>0</v>
      </c>
      <c r="AR236" s="47" t="n">
        <v>0</v>
      </c>
      <c r="AS236" s="47" t="n">
        <f aca="false">ROUND(AP236-AQ236-AR236,2)</f>
        <v>0</v>
      </c>
    </row>
    <row r="237" customFormat="false" ht="15" hidden="false" customHeight="false" outlineLevel="0" collapsed="false">
      <c r="A237" s="45" t="n">
        <v>234</v>
      </c>
      <c r="B237" s="46" t="n">
        <f aca="false">EDATE('My Debts'!$C$7,A237-1)</f>
        <v>53418</v>
      </c>
      <c r="C237" s="47" t="n">
        <v>0</v>
      </c>
      <c r="D237" s="47" t="n">
        <f aca="false">(F237+J237+N237+R237+V237+Z237+AD237+AH237+AL237+AP237)-(I237+M237+Q237+U237+Y237+AC237+AG237+AK237+AO237+AS237)</f>
        <v>0</v>
      </c>
      <c r="E237" s="48" t="n">
        <f aca="false">I237+M237+Q237+U237+Y237+AC237+AG237+AK237+AO237+AS237</f>
        <v>0</v>
      </c>
      <c r="F237" s="47" t="n">
        <f aca="false">ROUND(I236*(1+Sorted!$H$2),2)</f>
        <v>0</v>
      </c>
      <c r="G237" s="47" t="n">
        <f aca="false">MIN(F237,Sorted!$G$2)</f>
        <v>0</v>
      </c>
      <c r="H237" s="47" t="n">
        <v>0</v>
      </c>
      <c r="I237" s="47" t="n">
        <f aca="false">ROUND(F237-G237-H237,2)</f>
        <v>0</v>
      </c>
      <c r="J237" s="47" t="n">
        <f aca="false">ROUND(M236*(1+Sorted!$H$3),2)</f>
        <v>0</v>
      </c>
      <c r="K237" s="47" t="n">
        <f aca="false">MIN(J237,Sorted!$G$3)</f>
        <v>0</v>
      </c>
      <c r="L237" s="47" t="n">
        <v>0</v>
      </c>
      <c r="M237" s="47" t="n">
        <f aca="false">ROUND(J237-K237-L237,2)</f>
        <v>0</v>
      </c>
      <c r="N237" s="47" t="n">
        <f aca="false">ROUND(Q236*(1+Sorted!$H$4),2)</f>
        <v>0</v>
      </c>
      <c r="O237" s="47" t="n">
        <f aca="false">MIN(N237,Sorted!$G$4)</f>
        <v>0</v>
      </c>
      <c r="P237" s="47" t="n">
        <v>0</v>
      </c>
      <c r="Q237" s="47" t="n">
        <f aca="false">ROUND(N237-O237-P237,2)</f>
        <v>0</v>
      </c>
      <c r="R237" s="47" t="n">
        <f aca="false">ROUND(U236*(1+Sorted!$H$5),2)</f>
        <v>0</v>
      </c>
      <c r="S237" s="47" t="n">
        <f aca="false">MIN(R237,Sorted!$G$5)</f>
        <v>0</v>
      </c>
      <c r="T237" s="47" t="n">
        <v>0</v>
      </c>
      <c r="U237" s="47" t="n">
        <f aca="false">ROUND(R237-S237-T237,2)</f>
        <v>0</v>
      </c>
      <c r="V237" s="47" t="n">
        <f aca="false">ROUND(Y236*(1+Sorted!$H$6),2)</f>
        <v>0</v>
      </c>
      <c r="W237" s="47" t="n">
        <f aca="false">MIN(V237,Sorted!$G$6)</f>
        <v>0</v>
      </c>
      <c r="X237" s="47" t="n">
        <v>0</v>
      </c>
      <c r="Y237" s="47" t="n">
        <f aca="false">ROUND(V237-W237-X237,2)</f>
        <v>0</v>
      </c>
      <c r="Z237" s="47" t="n">
        <f aca="false">ROUND(AC236*(1+Sorted!$H$7),2)</f>
        <v>0</v>
      </c>
      <c r="AA237" s="47" t="n">
        <f aca="false">MIN(Z237,Sorted!$G$7)</f>
        <v>0</v>
      </c>
      <c r="AB237" s="47" t="n">
        <v>0</v>
      </c>
      <c r="AC237" s="47" t="n">
        <f aca="false">ROUND(Z237-AA237-AB237,2)</f>
        <v>0</v>
      </c>
      <c r="AD237" s="47" t="n">
        <f aca="false">ROUND(AG236*(1+Sorted!$H$8),2)</f>
        <v>0</v>
      </c>
      <c r="AE237" s="47" t="n">
        <f aca="false">MIN(AD237,Sorted!$G$8)</f>
        <v>0</v>
      </c>
      <c r="AF237" s="47" t="n">
        <v>0</v>
      </c>
      <c r="AG237" s="47" t="n">
        <f aca="false">ROUND(AD237-AE237-AF237,2)</f>
        <v>0</v>
      </c>
      <c r="AH237" s="47" t="n">
        <f aca="false">ROUND(AK236*(1+Sorted!$H$9),2)</f>
        <v>0</v>
      </c>
      <c r="AI237" s="47" t="n">
        <f aca="false">MIN(AH237,Sorted!$G$9)</f>
        <v>0</v>
      </c>
      <c r="AJ237" s="47" t="n">
        <v>0</v>
      </c>
      <c r="AK237" s="47" t="n">
        <f aca="false">ROUND(AH237-AI237-AJ237,2)</f>
        <v>0</v>
      </c>
      <c r="AL237" s="47" t="n">
        <f aca="false">ROUND(AO236*(1+Sorted!$H$10),2)</f>
        <v>0</v>
      </c>
      <c r="AM237" s="47" t="n">
        <f aca="false">MIN(AL237,Sorted!$G$10)</f>
        <v>0</v>
      </c>
      <c r="AN237" s="47" t="n">
        <v>0</v>
      </c>
      <c r="AO237" s="47" t="n">
        <f aca="false">ROUND(AL237-AM237-AN237,2)</f>
        <v>0</v>
      </c>
      <c r="AP237" s="47" t="n">
        <f aca="false">ROUND(AS236*(1+Sorted!$H$11),2)</f>
        <v>0</v>
      </c>
      <c r="AQ237" s="47" t="n">
        <f aca="false">MIN(AP237,Sorted!$G$11)</f>
        <v>0</v>
      </c>
      <c r="AR237" s="47" t="n">
        <v>0</v>
      </c>
      <c r="AS237" s="47" t="n">
        <f aca="false">ROUND(AP237-AQ237-AR237,2)</f>
        <v>0</v>
      </c>
    </row>
    <row r="238" customFormat="false" ht="15" hidden="false" customHeight="false" outlineLevel="0" collapsed="false">
      <c r="A238" s="45" t="n">
        <v>235</v>
      </c>
      <c r="B238" s="46" t="n">
        <f aca="false">EDATE('My Debts'!$C$7,A238-1)</f>
        <v>53448</v>
      </c>
      <c r="C238" s="47" t="n">
        <v>0</v>
      </c>
      <c r="D238" s="47" t="n">
        <f aca="false">(F238+J238+N238+R238+V238+Z238+AD238+AH238+AL238+AP238)-(I238+M238+Q238+U238+Y238+AC238+AG238+AK238+AO238+AS238)</f>
        <v>0</v>
      </c>
      <c r="E238" s="48" t="n">
        <f aca="false">I238+M238+Q238+U238+Y238+AC238+AG238+AK238+AO238+AS238</f>
        <v>0</v>
      </c>
      <c r="F238" s="47" t="n">
        <f aca="false">ROUND(I237*(1+Sorted!$H$2),2)</f>
        <v>0</v>
      </c>
      <c r="G238" s="47" t="n">
        <f aca="false">MIN(F238,Sorted!$G$2)</f>
        <v>0</v>
      </c>
      <c r="H238" s="47" t="n">
        <v>0</v>
      </c>
      <c r="I238" s="47" t="n">
        <f aca="false">ROUND(F238-G238-H238,2)</f>
        <v>0</v>
      </c>
      <c r="J238" s="47" t="n">
        <f aca="false">ROUND(M237*(1+Sorted!$H$3),2)</f>
        <v>0</v>
      </c>
      <c r="K238" s="47" t="n">
        <f aca="false">MIN(J238,Sorted!$G$3)</f>
        <v>0</v>
      </c>
      <c r="L238" s="47" t="n">
        <v>0</v>
      </c>
      <c r="M238" s="47" t="n">
        <f aca="false">ROUND(J238-K238-L238,2)</f>
        <v>0</v>
      </c>
      <c r="N238" s="47" t="n">
        <f aca="false">ROUND(Q237*(1+Sorted!$H$4),2)</f>
        <v>0</v>
      </c>
      <c r="O238" s="47" t="n">
        <f aca="false">MIN(N238,Sorted!$G$4)</f>
        <v>0</v>
      </c>
      <c r="P238" s="47" t="n">
        <v>0</v>
      </c>
      <c r="Q238" s="47" t="n">
        <f aca="false">ROUND(N238-O238-P238,2)</f>
        <v>0</v>
      </c>
      <c r="R238" s="47" t="n">
        <f aca="false">ROUND(U237*(1+Sorted!$H$5),2)</f>
        <v>0</v>
      </c>
      <c r="S238" s="47" t="n">
        <f aca="false">MIN(R238,Sorted!$G$5)</f>
        <v>0</v>
      </c>
      <c r="T238" s="47" t="n">
        <v>0</v>
      </c>
      <c r="U238" s="47" t="n">
        <f aca="false">ROUND(R238-S238-T238,2)</f>
        <v>0</v>
      </c>
      <c r="V238" s="47" t="n">
        <f aca="false">ROUND(Y237*(1+Sorted!$H$6),2)</f>
        <v>0</v>
      </c>
      <c r="W238" s="47" t="n">
        <f aca="false">MIN(V238,Sorted!$G$6)</f>
        <v>0</v>
      </c>
      <c r="X238" s="47" t="n">
        <v>0</v>
      </c>
      <c r="Y238" s="47" t="n">
        <f aca="false">ROUND(V238-W238-X238,2)</f>
        <v>0</v>
      </c>
      <c r="Z238" s="47" t="n">
        <f aca="false">ROUND(AC237*(1+Sorted!$H$7),2)</f>
        <v>0</v>
      </c>
      <c r="AA238" s="47" t="n">
        <f aca="false">MIN(Z238,Sorted!$G$7)</f>
        <v>0</v>
      </c>
      <c r="AB238" s="47" t="n">
        <v>0</v>
      </c>
      <c r="AC238" s="47" t="n">
        <f aca="false">ROUND(Z238-AA238-AB238,2)</f>
        <v>0</v>
      </c>
      <c r="AD238" s="47" t="n">
        <f aca="false">ROUND(AG237*(1+Sorted!$H$8),2)</f>
        <v>0</v>
      </c>
      <c r="AE238" s="47" t="n">
        <f aca="false">MIN(AD238,Sorted!$G$8)</f>
        <v>0</v>
      </c>
      <c r="AF238" s="47" t="n">
        <v>0</v>
      </c>
      <c r="AG238" s="47" t="n">
        <f aca="false">ROUND(AD238-AE238-AF238,2)</f>
        <v>0</v>
      </c>
      <c r="AH238" s="47" t="n">
        <f aca="false">ROUND(AK237*(1+Sorted!$H$9),2)</f>
        <v>0</v>
      </c>
      <c r="AI238" s="47" t="n">
        <f aca="false">MIN(AH238,Sorted!$G$9)</f>
        <v>0</v>
      </c>
      <c r="AJ238" s="47" t="n">
        <v>0</v>
      </c>
      <c r="AK238" s="47" t="n">
        <f aca="false">ROUND(AH238-AI238-AJ238,2)</f>
        <v>0</v>
      </c>
      <c r="AL238" s="47" t="n">
        <f aca="false">ROUND(AO237*(1+Sorted!$H$10),2)</f>
        <v>0</v>
      </c>
      <c r="AM238" s="47" t="n">
        <f aca="false">MIN(AL238,Sorted!$G$10)</f>
        <v>0</v>
      </c>
      <c r="AN238" s="47" t="n">
        <v>0</v>
      </c>
      <c r="AO238" s="47" t="n">
        <f aca="false">ROUND(AL238-AM238-AN238,2)</f>
        <v>0</v>
      </c>
      <c r="AP238" s="47" t="n">
        <f aca="false">ROUND(AS237*(1+Sorted!$H$11),2)</f>
        <v>0</v>
      </c>
      <c r="AQ238" s="47" t="n">
        <f aca="false">MIN(AP238,Sorted!$G$11)</f>
        <v>0</v>
      </c>
      <c r="AR238" s="47" t="n">
        <v>0</v>
      </c>
      <c r="AS238" s="47" t="n">
        <f aca="false">ROUND(AP238-AQ238-AR238,2)</f>
        <v>0</v>
      </c>
    </row>
    <row r="239" customFormat="false" ht="15" hidden="false" customHeight="false" outlineLevel="0" collapsed="false">
      <c r="A239" s="45" t="n">
        <v>236</v>
      </c>
      <c r="B239" s="46" t="n">
        <f aca="false">EDATE('My Debts'!$C$7,A239-1)</f>
        <v>53479</v>
      </c>
      <c r="C239" s="47" t="n">
        <v>0</v>
      </c>
      <c r="D239" s="47" t="n">
        <f aca="false">(F239+J239+N239+R239+V239+Z239+AD239+AH239+AL239+AP239)-(I239+M239+Q239+U239+Y239+AC239+AG239+AK239+AO239+AS239)</f>
        <v>0</v>
      </c>
      <c r="E239" s="48" t="n">
        <f aca="false">I239+M239+Q239+U239+Y239+AC239+AG239+AK239+AO239+AS239</f>
        <v>0</v>
      </c>
      <c r="F239" s="47" t="n">
        <f aca="false">ROUND(I238*(1+Sorted!$H$2),2)</f>
        <v>0</v>
      </c>
      <c r="G239" s="47" t="n">
        <f aca="false">MIN(F239,Sorted!$G$2)</f>
        <v>0</v>
      </c>
      <c r="H239" s="47" t="n">
        <v>0</v>
      </c>
      <c r="I239" s="47" t="n">
        <f aca="false">ROUND(F239-G239-H239,2)</f>
        <v>0</v>
      </c>
      <c r="J239" s="47" t="n">
        <f aca="false">ROUND(M238*(1+Sorted!$H$3),2)</f>
        <v>0</v>
      </c>
      <c r="K239" s="47" t="n">
        <f aca="false">MIN(J239,Sorted!$G$3)</f>
        <v>0</v>
      </c>
      <c r="L239" s="47" t="n">
        <v>0</v>
      </c>
      <c r="M239" s="47" t="n">
        <f aca="false">ROUND(J239-K239-L239,2)</f>
        <v>0</v>
      </c>
      <c r="N239" s="47" t="n">
        <f aca="false">ROUND(Q238*(1+Sorted!$H$4),2)</f>
        <v>0</v>
      </c>
      <c r="O239" s="47" t="n">
        <f aca="false">MIN(N239,Sorted!$G$4)</f>
        <v>0</v>
      </c>
      <c r="P239" s="47" t="n">
        <v>0</v>
      </c>
      <c r="Q239" s="47" t="n">
        <f aca="false">ROUND(N239-O239-P239,2)</f>
        <v>0</v>
      </c>
      <c r="R239" s="47" t="n">
        <f aca="false">ROUND(U238*(1+Sorted!$H$5),2)</f>
        <v>0</v>
      </c>
      <c r="S239" s="47" t="n">
        <f aca="false">MIN(R239,Sorted!$G$5)</f>
        <v>0</v>
      </c>
      <c r="T239" s="47" t="n">
        <v>0</v>
      </c>
      <c r="U239" s="47" t="n">
        <f aca="false">ROUND(R239-S239-T239,2)</f>
        <v>0</v>
      </c>
      <c r="V239" s="47" t="n">
        <f aca="false">ROUND(Y238*(1+Sorted!$H$6),2)</f>
        <v>0</v>
      </c>
      <c r="W239" s="47" t="n">
        <f aca="false">MIN(V239,Sorted!$G$6)</f>
        <v>0</v>
      </c>
      <c r="X239" s="47" t="n">
        <v>0</v>
      </c>
      <c r="Y239" s="47" t="n">
        <f aca="false">ROUND(V239-W239-X239,2)</f>
        <v>0</v>
      </c>
      <c r="Z239" s="47" t="n">
        <f aca="false">ROUND(AC238*(1+Sorted!$H$7),2)</f>
        <v>0</v>
      </c>
      <c r="AA239" s="47" t="n">
        <f aca="false">MIN(Z239,Sorted!$G$7)</f>
        <v>0</v>
      </c>
      <c r="AB239" s="47" t="n">
        <v>0</v>
      </c>
      <c r="AC239" s="47" t="n">
        <f aca="false">ROUND(Z239-AA239-AB239,2)</f>
        <v>0</v>
      </c>
      <c r="AD239" s="47" t="n">
        <f aca="false">ROUND(AG238*(1+Sorted!$H$8),2)</f>
        <v>0</v>
      </c>
      <c r="AE239" s="47" t="n">
        <f aca="false">MIN(AD239,Sorted!$G$8)</f>
        <v>0</v>
      </c>
      <c r="AF239" s="47" t="n">
        <v>0</v>
      </c>
      <c r="AG239" s="47" t="n">
        <f aca="false">ROUND(AD239-AE239-AF239,2)</f>
        <v>0</v>
      </c>
      <c r="AH239" s="47" t="n">
        <f aca="false">ROUND(AK238*(1+Sorted!$H$9),2)</f>
        <v>0</v>
      </c>
      <c r="AI239" s="47" t="n">
        <f aca="false">MIN(AH239,Sorted!$G$9)</f>
        <v>0</v>
      </c>
      <c r="AJ239" s="47" t="n">
        <v>0</v>
      </c>
      <c r="AK239" s="47" t="n">
        <f aca="false">ROUND(AH239-AI239-AJ239,2)</f>
        <v>0</v>
      </c>
      <c r="AL239" s="47" t="n">
        <f aca="false">ROUND(AO238*(1+Sorted!$H$10),2)</f>
        <v>0</v>
      </c>
      <c r="AM239" s="47" t="n">
        <f aca="false">MIN(AL239,Sorted!$G$10)</f>
        <v>0</v>
      </c>
      <c r="AN239" s="47" t="n">
        <v>0</v>
      </c>
      <c r="AO239" s="47" t="n">
        <f aca="false">ROUND(AL239-AM239-AN239,2)</f>
        <v>0</v>
      </c>
      <c r="AP239" s="47" t="n">
        <f aca="false">ROUND(AS238*(1+Sorted!$H$11),2)</f>
        <v>0</v>
      </c>
      <c r="AQ239" s="47" t="n">
        <f aca="false">MIN(AP239,Sorted!$G$11)</f>
        <v>0</v>
      </c>
      <c r="AR239" s="47" t="n">
        <v>0</v>
      </c>
      <c r="AS239" s="47" t="n">
        <f aca="false">ROUND(AP239-AQ239-AR239,2)</f>
        <v>0</v>
      </c>
    </row>
    <row r="240" customFormat="false" ht="15" hidden="false" customHeight="false" outlineLevel="0" collapsed="false">
      <c r="A240" s="45" t="n">
        <v>237</v>
      </c>
      <c r="B240" s="46" t="n">
        <f aca="false">EDATE('My Debts'!$C$7,A240-1)</f>
        <v>53509</v>
      </c>
      <c r="C240" s="47" t="n">
        <v>0</v>
      </c>
      <c r="D240" s="47" t="n">
        <f aca="false">(F240+J240+N240+R240+V240+Z240+AD240+AH240+AL240+AP240)-(I240+M240+Q240+U240+Y240+AC240+AG240+AK240+AO240+AS240)</f>
        <v>0</v>
      </c>
      <c r="E240" s="48" t="n">
        <f aca="false">I240+M240+Q240+U240+Y240+AC240+AG240+AK240+AO240+AS240</f>
        <v>0</v>
      </c>
      <c r="F240" s="47" t="n">
        <f aca="false">ROUND(I239*(1+Sorted!$H$2),2)</f>
        <v>0</v>
      </c>
      <c r="G240" s="47" t="n">
        <f aca="false">MIN(F240,Sorted!$G$2)</f>
        <v>0</v>
      </c>
      <c r="H240" s="47" t="n">
        <v>0</v>
      </c>
      <c r="I240" s="47" t="n">
        <f aca="false">ROUND(F240-G240-H240,2)</f>
        <v>0</v>
      </c>
      <c r="J240" s="47" t="n">
        <f aca="false">ROUND(M239*(1+Sorted!$H$3),2)</f>
        <v>0</v>
      </c>
      <c r="K240" s="47" t="n">
        <f aca="false">MIN(J240,Sorted!$G$3)</f>
        <v>0</v>
      </c>
      <c r="L240" s="47" t="n">
        <v>0</v>
      </c>
      <c r="M240" s="47" t="n">
        <f aca="false">ROUND(J240-K240-L240,2)</f>
        <v>0</v>
      </c>
      <c r="N240" s="47" t="n">
        <f aca="false">ROUND(Q239*(1+Sorted!$H$4),2)</f>
        <v>0</v>
      </c>
      <c r="O240" s="47" t="n">
        <f aca="false">MIN(N240,Sorted!$G$4)</f>
        <v>0</v>
      </c>
      <c r="P240" s="47" t="n">
        <v>0</v>
      </c>
      <c r="Q240" s="47" t="n">
        <f aca="false">ROUND(N240-O240-P240,2)</f>
        <v>0</v>
      </c>
      <c r="R240" s="47" t="n">
        <f aca="false">ROUND(U239*(1+Sorted!$H$5),2)</f>
        <v>0</v>
      </c>
      <c r="S240" s="47" t="n">
        <f aca="false">MIN(R240,Sorted!$G$5)</f>
        <v>0</v>
      </c>
      <c r="T240" s="47" t="n">
        <v>0</v>
      </c>
      <c r="U240" s="47" t="n">
        <f aca="false">ROUND(R240-S240-T240,2)</f>
        <v>0</v>
      </c>
      <c r="V240" s="47" t="n">
        <f aca="false">ROUND(Y239*(1+Sorted!$H$6),2)</f>
        <v>0</v>
      </c>
      <c r="W240" s="47" t="n">
        <f aca="false">MIN(V240,Sorted!$G$6)</f>
        <v>0</v>
      </c>
      <c r="X240" s="47" t="n">
        <v>0</v>
      </c>
      <c r="Y240" s="47" t="n">
        <f aca="false">ROUND(V240-W240-X240,2)</f>
        <v>0</v>
      </c>
      <c r="Z240" s="47" t="n">
        <f aca="false">ROUND(AC239*(1+Sorted!$H$7),2)</f>
        <v>0</v>
      </c>
      <c r="AA240" s="47" t="n">
        <f aca="false">MIN(Z240,Sorted!$G$7)</f>
        <v>0</v>
      </c>
      <c r="AB240" s="47" t="n">
        <v>0</v>
      </c>
      <c r="AC240" s="47" t="n">
        <f aca="false">ROUND(Z240-AA240-AB240,2)</f>
        <v>0</v>
      </c>
      <c r="AD240" s="47" t="n">
        <f aca="false">ROUND(AG239*(1+Sorted!$H$8),2)</f>
        <v>0</v>
      </c>
      <c r="AE240" s="47" t="n">
        <f aca="false">MIN(AD240,Sorted!$G$8)</f>
        <v>0</v>
      </c>
      <c r="AF240" s="47" t="n">
        <v>0</v>
      </c>
      <c r="AG240" s="47" t="n">
        <f aca="false">ROUND(AD240-AE240-AF240,2)</f>
        <v>0</v>
      </c>
      <c r="AH240" s="47" t="n">
        <f aca="false">ROUND(AK239*(1+Sorted!$H$9),2)</f>
        <v>0</v>
      </c>
      <c r="AI240" s="47" t="n">
        <f aca="false">MIN(AH240,Sorted!$G$9)</f>
        <v>0</v>
      </c>
      <c r="AJ240" s="47" t="n">
        <v>0</v>
      </c>
      <c r="AK240" s="47" t="n">
        <f aca="false">ROUND(AH240-AI240-AJ240,2)</f>
        <v>0</v>
      </c>
      <c r="AL240" s="47" t="n">
        <f aca="false">ROUND(AO239*(1+Sorted!$H$10),2)</f>
        <v>0</v>
      </c>
      <c r="AM240" s="47" t="n">
        <f aca="false">MIN(AL240,Sorted!$G$10)</f>
        <v>0</v>
      </c>
      <c r="AN240" s="47" t="n">
        <v>0</v>
      </c>
      <c r="AO240" s="47" t="n">
        <f aca="false">ROUND(AL240-AM240-AN240,2)</f>
        <v>0</v>
      </c>
      <c r="AP240" s="47" t="n">
        <f aca="false">ROUND(AS239*(1+Sorted!$H$11),2)</f>
        <v>0</v>
      </c>
      <c r="AQ240" s="47" t="n">
        <f aca="false">MIN(AP240,Sorted!$G$11)</f>
        <v>0</v>
      </c>
      <c r="AR240" s="47" t="n">
        <v>0</v>
      </c>
      <c r="AS240" s="47" t="n">
        <f aca="false">ROUND(AP240-AQ240-AR240,2)</f>
        <v>0</v>
      </c>
    </row>
    <row r="241" customFormat="false" ht="15" hidden="false" customHeight="false" outlineLevel="0" collapsed="false">
      <c r="A241" s="45" t="n">
        <v>238</v>
      </c>
      <c r="B241" s="46" t="n">
        <f aca="false">EDATE('My Debts'!$C$7,A241-1)</f>
        <v>53540</v>
      </c>
      <c r="C241" s="47" t="n">
        <v>0</v>
      </c>
      <c r="D241" s="47" t="n">
        <f aca="false">(F241+J241+N241+R241+V241+Z241+AD241+AH241+AL241+AP241)-(I241+M241+Q241+U241+Y241+AC241+AG241+AK241+AO241+AS241)</f>
        <v>0</v>
      </c>
      <c r="E241" s="48" t="n">
        <f aca="false">I241+M241+Q241+U241+Y241+AC241+AG241+AK241+AO241+AS241</f>
        <v>0</v>
      </c>
      <c r="F241" s="47" t="n">
        <f aca="false">ROUND(I240*(1+Sorted!$H$2),2)</f>
        <v>0</v>
      </c>
      <c r="G241" s="47" t="n">
        <f aca="false">MIN(F241,Sorted!$G$2)</f>
        <v>0</v>
      </c>
      <c r="H241" s="47" t="n">
        <v>0</v>
      </c>
      <c r="I241" s="47" t="n">
        <f aca="false">ROUND(F241-G241-H241,2)</f>
        <v>0</v>
      </c>
      <c r="J241" s="47" t="n">
        <f aca="false">ROUND(M240*(1+Sorted!$H$3),2)</f>
        <v>0</v>
      </c>
      <c r="K241" s="47" t="n">
        <f aca="false">MIN(J241,Sorted!$G$3)</f>
        <v>0</v>
      </c>
      <c r="L241" s="47" t="n">
        <v>0</v>
      </c>
      <c r="M241" s="47" t="n">
        <f aca="false">ROUND(J241-K241-L241,2)</f>
        <v>0</v>
      </c>
      <c r="N241" s="47" t="n">
        <f aca="false">ROUND(Q240*(1+Sorted!$H$4),2)</f>
        <v>0</v>
      </c>
      <c r="O241" s="47" t="n">
        <f aca="false">MIN(N241,Sorted!$G$4)</f>
        <v>0</v>
      </c>
      <c r="P241" s="47" t="n">
        <v>0</v>
      </c>
      <c r="Q241" s="47" t="n">
        <f aca="false">ROUND(N241-O241-P241,2)</f>
        <v>0</v>
      </c>
      <c r="R241" s="47" t="n">
        <f aca="false">ROUND(U240*(1+Sorted!$H$5),2)</f>
        <v>0</v>
      </c>
      <c r="S241" s="47" t="n">
        <f aca="false">MIN(R241,Sorted!$G$5)</f>
        <v>0</v>
      </c>
      <c r="T241" s="47" t="n">
        <v>0</v>
      </c>
      <c r="U241" s="47" t="n">
        <f aca="false">ROUND(R241-S241-T241,2)</f>
        <v>0</v>
      </c>
      <c r="V241" s="47" t="n">
        <f aca="false">ROUND(Y240*(1+Sorted!$H$6),2)</f>
        <v>0</v>
      </c>
      <c r="W241" s="47" t="n">
        <f aca="false">MIN(V241,Sorted!$G$6)</f>
        <v>0</v>
      </c>
      <c r="X241" s="47" t="n">
        <v>0</v>
      </c>
      <c r="Y241" s="47" t="n">
        <f aca="false">ROUND(V241-W241-X241,2)</f>
        <v>0</v>
      </c>
      <c r="Z241" s="47" t="n">
        <f aca="false">ROUND(AC240*(1+Sorted!$H$7),2)</f>
        <v>0</v>
      </c>
      <c r="AA241" s="47" t="n">
        <f aca="false">MIN(Z241,Sorted!$G$7)</f>
        <v>0</v>
      </c>
      <c r="AB241" s="47" t="n">
        <v>0</v>
      </c>
      <c r="AC241" s="47" t="n">
        <f aca="false">ROUND(Z241-AA241-AB241,2)</f>
        <v>0</v>
      </c>
      <c r="AD241" s="47" t="n">
        <f aca="false">ROUND(AG240*(1+Sorted!$H$8),2)</f>
        <v>0</v>
      </c>
      <c r="AE241" s="47" t="n">
        <f aca="false">MIN(AD241,Sorted!$G$8)</f>
        <v>0</v>
      </c>
      <c r="AF241" s="47" t="n">
        <v>0</v>
      </c>
      <c r="AG241" s="47" t="n">
        <f aca="false">ROUND(AD241-AE241-AF241,2)</f>
        <v>0</v>
      </c>
      <c r="AH241" s="47" t="n">
        <f aca="false">ROUND(AK240*(1+Sorted!$H$9),2)</f>
        <v>0</v>
      </c>
      <c r="AI241" s="47" t="n">
        <f aca="false">MIN(AH241,Sorted!$G$9)</f>
        <v>0</v>
      </c>
      <c r="AJ241" s="47" t="n">
        <v>0</v>
      </c>
      <c r="AK241" s="47" t="n">
        <f aca="false">ROUND(AH241-AI241-AJ241,2)</f>
        <v>0</v>
      </c>
      <c r="AL241" s="47" t="n">
        <f aca="false">ROUND(AO240*(1+Sorted!$H$10),2)</f>
        <v>0</v>
      </c>
      <c r="AM241" s="47" t="n">
        <f aca="false">MIN(AL241,Sorted!$G$10)</f>
        <v>0</v>
      </c>
      <c r="AN241" s="47" t="n">
        <v>0</v>
      </c>
      <c r="AO241" s="47" t="n">
        <f aca="false">ROUND(AL241-AM241-AN241,2)</f>
        <v>0</v>
      </c>
      <c r="AP241" s="47" t="n">
        <f aca="false">ROUND(AS240*(1+Sorted!$H$11),2)</f>
        <v>0</v>
      </c>
      <c r="AQ241" s="47" t="n">
        <f aca="false">MIN(AP241,Sorted!$G$11)</f>
        <v>0</v>
      </c>
      <c r="AR241" s="47" t="n">
        <v>0</v>
      </c>
      <c r="AS241" s="47" t="n">
        <f aca="false">ROUND(AP241-AQ241-AR241,2)</f>
        <v>0</v>
      </c>
    </row>
    <row r="242" customFormat="false" ht="15" hidden="false" customHeight="false" outlineLevel="0" collapsed="false">
      <c r="A242" s="45" t="n">
        <v>239</v>
      </c>
      <c r="B242" s="46" t="n">
        <f aca="false">EDATE('My Debts'!$C$7,A242-1)</f>
        <v>53571</v>
      </c>
      <c r="C242" s="47" t="n">
        <v>0</v>
      </c>
      <c r="D242" s="47" t="n">
        <f aca="false">(F242+J242+N242+R242+V242+Z242+AD242+AH242+AL242+AP242)-(I242+M242+Q242+U242+Y242+AC242+AG242+AK242+AO242+AS242)</f>
        <v>0</v>
      </c>
      <c r="E242" s="48" t="n">
        <f aca="false">I242+M242+Q242+U242+Y242+AC242+AG242+AK242+AO242+AS242</f>
        <v>0</v>
      </c>
      <c r="F242" s="47" t="n">
        <f aca="false">ROUND(I241*(1+Sorted!$H$2),2)</f>
        <v>0</v>
      </c>
      <c r="G242" s="47" t="n">
        <f aca="false">MIN(F242,Sorted!$G$2)</f>
        <v>0</v>
      </c>
      <c r="H242" s="47" t="n">
        <v>0</v>
      </c>
      <c r="I242" s="47" t="n">
        <f aca="false">ROUND(F242-G242-H242,2)</f>
        <v>0</v>
      </c>
      <c r="J242" s="47" t="n">
        <f aca="false">ROUND(M241*(1+Sorted!$H$3),2)</f>
        <v>0</v>
      </c>
      <c r="K242" s="47" t="n">
        <f aca="false">MIN(J242,Sorted!$G$3)</f>
        <v>0</v>
      </c>
      <c r="L242" s="47" t="n">
        <v>0</v>
      </c>
      <c r="M242" s="47" t="n">
        <f aca="false">ROUND(J242-K242-L242,2)</f>
        <v>0</v>
      </c>
      <c r="N242" s="47" t="n">
        <f aca="false">ROUND(Q241*(1+Sorted!$H$4),2)</f>
        <v>0</v>
      </c>
      <c r="O242" s="47" t="n">
        <f aca="false">MIN(N242,Sorted!$G$4)</f>
        <v>0</v>
      </c>
      <c r="P242" s="47" t="n">
        <v>0</v>
      </c>
      <c r="Q242" s="47" t="n">
        <f aca="false">ROUND(N242-O242-P242,2)</f>
        <v>0</v>
      </c>
      <c r="R242" s="47" t="n">
        <f aca="false">ROUND(U241*(1+Sorted!$H$5),2)</f>
        <v>0</v>
      </c>
      <c r="S242" s="47" t="n">
        <f aca="false">MIN(R242,Sorted!$G$5)</f>
        <v>0</v>
      </c>
      <c r="T242" s="47" t="n">
        <v>0</v>
      </c>
      <c r="U242" s="47" t="n">
        <f aca="false">ROUND(R242-S242-T242,2)</f>
        <v>0</v>
      </c>
      <c r="V242" s="47" t="n">
        <f aca="false">ROUND(Y241*(1+Sorted!$H$6),2)</f>
        <v>0</v>
      </c>
      <c r="W242" s="47" t="n">
        <f aca="false">MIN(V242,Sorted!$G$6)</f>
        <v>0</v>
      </c>
      <c r="X242" s="47" t="n">
        <v>0</v>
      </c>
      <c r="Y242" s="47" t="n">
        <f aca="false">ROUND(V242-W242-X242,2)</f>
        <v>0</v>
      </c>
      <c r="Z242" s="47" t="n">
        <f aca="false">ROUND(AC241*(1+Sorted!$H$7),2)</f>
        <v>0</v>
      </c>
      <c r="AA242" s="47" t="n">
        <f aca="false">MIN(Z242,Sorted!$G$7)</f>
        <v>0</v>
      </c>
      <c r="AB242" s="47" t="n">
        <v>0</v>
      </c>
      <c r="AC242" s="47" t="n">
        <f aca="false">ROUND(Z242-AA242-AB242,2)</f>
        <v>0</v>
      </c>
      <c r="AD242" s="47" t="n">
        <f aca="false">ROUND(AG241*(1+Sorted!$H$8),2)</f>
        <v>0</v>
      </c>
      <c r="AE242" s="47" t="n">
        <f aca="false">MIN(AD242,Sorted!$G$8)</f>
        <v>0</v>
      </c>
      <c r="AF242" s="47" t="n">
        <v>0</v>
      </c>
      <c r="AG242" s="47" t="n">
        <f aca="false">ROUND(AD242-AE242-AF242,2)</f>
        <v>0</v>
      </c>
      <c r="AH242" s="47" t="n">
        <f aca="false">ROUND(AK241*(1+Sorted!$H$9),2)</f>
        <v>0</v>
      </c>
      <c r="AI242" s="47" t="n">
        <f aca="false">MIN(AH242,Sorted!$G$9)</f>
        <v>0</v>
      </c>
      <c r="AJ242" s="47" t="n">
        <v>0</v>
      </c>
      <c r="AK242" s="47" t="n">
        <f aca="false">ROUND(AH242-AI242-AJ242,2)</f>
        <v>0</v>
      </c>
      <c r="AL242" s="47" t="n">
        <f aca="false">ROUND(AO241*(1+Sorted!$H$10),2)</f>
        <v>0</v>
      </c>
      <c r="AM242" s="47" t="n">
        <f aca="false">MIN(AL242,Sorted!$G$10)</f>
        <v>0</v>
      </c>
      <c r="AN242" s="47" t="n">
        <v>0</v>
      </c>
      <c r="AO242" s="47" t="n">
        <f aca="false">ROUND(AL242-AM242-AN242,2)</f>
        <v>0</v>
      </c>
      <c r="AP242" s="47" t="n">
        <f aca="false">ROUND(AS241*(1+Sorted!$H$11),2)</f>
        <v>0</v>
      </c>
      <c r="AQ242" s="47" t="n">
        <f aca="false">MIN(AP242,Sorted!$G$11)</f>
        <v>0</v>
      </c>
      <c r="AR242" s="47" t="n">
        <v>0</v>
      </c>
      <c r="AS242" s="47" t="n">
        <f aca="false">ROUND(AP242-AQ242-AR242,2)</f>
        <v>0</v>
      </c>
    </row>
    <row r="243" customFormat="false" ht="15" hidden="false" customHeight="false" outlineLevel="0" collapsed="false">
      <c r="A243" s="45" t="n">
        <v>240</v>
      </c>
      <c r="B243" s="46" t="n">
        <f aca="false">EDATE('My Debts'!$C$7,A243-1)</f>
        <v>53601</v>
      </c>
      <c r="C243" s="47" t="n">
        <v>0</v>
      </c>
      <c r="D243" s="47" t="n">
        <f aca="false">(F243+J243+N243+R243+V243+Z243+AD243+AH243+AL243+AP243)-(I243+M243+Q243+U243+Y243+AC243+AG243+AK243+AO243+AS243)</f>
        <v>0</v>
      </c>
      <c r="E243" s="48" t="n">
        <f aca="false">I243+M243+Q243+U243+Y243+AC243+AG243+AK243+AO243+AS243</f>
        <v>0</v>
      </c>
      <c r="F243" s="47" t="n">
        <f aca="false">ROUND(I242*(1+Sorted!$H$2),2)</f>
        <v>0</v>
      </c>
      <c r="G243" s="47" t="n">
        <f aca="false">MIN(F243,Sorted!$G$2)</f>
        <v>0</v>
      </c>
      <c r="H243" s="47" t="n">
        <v>0</v>
      </c>
      <c r="I243" s="47" t="n">
        <f aca="false">ROUND(F243-G243-H243,2)</f>
        <v>0</v>
      </c>
      <c r="J243" s="47" t="n">
        <f aca="false">ROUND(M242*(1+Sorted!$H$3),2)</f>
        <v>0</v>
      </c>
      <c r="K243" s="47" t="n">
        <f aca="false">MIN(J243,Sorted!$G$3)</f>
        <v>0</v>
      </c>
      <c r="L243" s="47" t="n">
        <v>0</v>
      </c>
      <c r="M243" s="47" t="n">
        <f aca="false">ROUND(J243-K243-L243,2)</f>
        <v>0</v>
      </c>
      <c r="N243" s="47" t="n">
        <f aca="false">ROUND(Q242*(1+Sorted!$H$4),2)</f>
        <v>0</v>
      </c>
      <c r="O243" s="47" t="n">
        <f aca="false">MIN(N243,Sorted!$G$4)</f>
        <v>0</v>
      </c>
      <c r="P243" s="47" t="n">
        <v>0</v>
      </c>
      <c r="Q243" s="47" t="n">
        <f aca="false">ROUND(N243-O243-P243,2)</f>
        <v>0</v>
      </c>
      <c r="R243" s="47" t="n">
        <f aca="false">ROUND(U242*(1+Sorted!$H$5),2)</f>
        <v>0</v>
      </c>
      <c r="S243" s="47" t="n">
        <f aca="false">MIN(R243,Sorted!$G$5)</f>
        <v>0</v>
      </c>
      <c r="T243" s="47" t="n">
        <v>0</v>
      </c>
      <c r="U243" s="47" t="n">
        <f aca="false">ROUND(R243-S243-T243,2)</f>
        <v>0</v>
      </c>
      <c r="V243" s="47" t="n">
        <f aca="false">ROUND(Y242*(1+Sorted!$H$6),2)</f>
        <v>0</v>
      </c>
      <c r="W243" s="47" t="n">
        <f aca="false">MIN(V243,Sorted!$G$6)</f>
        <v>0</v>
      </c>
      <c r="X243" s="47" t="n">
        <v>0</v>
      </c>
      <c r="Y243" s="47" t="n">
        <f aca="false">ROUND(V243-W243-X243,2)</f>
        <v>0</v>
      </c>
      <c r="Z243" s="47" t="n">
        <f aca="false">ROUND(AC242*(1+Sorted!$H$7),2)</f>
        <v>0</v>
      </c>
      <c r="AA243" s="47" t="n">
        <f aca="false">MIN(Z243,Sorted!$G$7)</f>
        <v>0</v>
      </c>
      <c r="AB243" s="47" t="n">
        <v>0</v>
      </c>
      <c r="AC243" s="47" t="n">
        <f aca="false">ROUND(Z243-AA243-AB243,2)</f>
        <v>0</v>
      </c>
      <c r="AD243" s="47" t="n">
        <f aca="false">ROUND(AG242*(1+Sorted!$H$8),2)</f>
        <v>0</v>
      </c>
      <c r="AE243" s="47" t="n">
        <f aca="false">MIN(AD243,Sorted!$G$8)</f>
        <v>0</v>
      </c>
      <c r="AF243" s="47" t="n">
        <v>0</v>
      </c>
      <c r="AG243" s="47" t="n">
        <f aca="false">ROUND(AD243-AE243-AF243,2)</f>
        <v>0</v>
      </c>
      <c r="AH243" s="47" t="n">
        <f aca="false">ROUND(AK242*(1+Sorted!$H$9),2)</f>
        <v>0</v>
      </c>
      <c r="AI243" s="47" t="n">
        <f aca="false">MIN(AH243,Sorted!$G$9)</f>
        <v>0</v>
      </c>
      <c r="AJ243" s="47" t="n">
        <v>0</v>
      </c>
      <c r="AK243" s="47" t="n">
        <f aca="false">ROUND(AH243-AI243-AJ243,2)</f>
        <v>0</v>
      </c>
      <c r="AL243" s="47" t="n">
        <f aca="false">ROUND(AO242*(1+Sorted!$H$10),2)</f>
        <v>0</v>
      </c>
      <c r="AM243" s="47" t="n">
        <f aca="false">MIN(AL243,Sorted!$G$10)</f>
        <v>0</v>
      </c>
      <c r="AN243" s="47" t="n">
        <v>0</v>
      </c>
      <c r="AO243" s="47" t="n">
        <f aca="false">ROUND(AL243-AM243-AN243,2)</f>
        <v>0</v>
      </c>
      <c r="AP243" s="47" t="n">
        <f aca="false">ROUND(AS242*(1+Sorted!$H$11),2)</f>
        <v>0</v>
      </c>
      <c r="AQ243" s="47" t="n">
        <f aca="false">MIN(AP243,Sorted!$G$11)</f>
        <v>0</v>
      </c>
      <c r="AR243" s="47" t="n">
        <v>0</v>
      </c>
      <c r="AS243" s="47" t="n">
        <f aca="false">ROUND(AP243-AQ243-AR243,2)</f>
        <v>0</v>
      </c>
    </row>
  </sheetData>
  <mergeCells count="10">
    <mergeCell ref="F2:I2"/>
    <mergeCell ref="J2:M2"/>
    <mergeCell ref="N2:Q2"/>
    <mergeCell ref="R2:U2"/>
    <mergeCell ref="V2:Y2"/>
    <mergeCell ref="Z2:AC2"/>
    <mergeCell ref="AD2:AG2"/>
    <mergeCell ref="AH2:AK2"/>
    <mergeCell ref="AL2:AO2"/>
    <mergeCell ref="AP2:AS2"/>
  </mergeCells>
  <conditionalFormatting sqref="E4:E243">
    <cfRule type="cellIs" priority="2" operator="lessThanOrEqual" aboveAverage="0" equalAverage="0" bottom="0" percent="0" rank="0" text="" dxfId="1">
      <formula>0.01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2026-10-29T14:27:44Z</dcterms:created>
  <dc:creator>openpyxl</dc:creator>
  <dc:description/>
  <dc:language>en-US</dc:language>
  <cp:lastModifiedBy/>
  <dcterms:modified xsi:type="dcterms:W3CDTF">2026-10-29T15:27:47Z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